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lhi-ncr" sheetId="1" r:id="rId4"/>
    <sheet state="visible" name="Greater noida " sheetId="2" r:id="rId5"/>
    <sheet state="visible" name="Gurgaon" sheetId="3" r:id="rId6"/>
    <sheet state="visible" name="Noida " sheetId="4" r:id="rId7"/>
    <sheet state="visible" name="Faridabad" sheetId="5" r:id="rId8"/>
  </sheets>
  <definedNames>
    <definedName hidden="1" localSheetId="4" name="_xlnm._FilterDatabase">Faridabad!$F$1:$F$1421</definedName>
    <definedName hidden="1" localSheetId="0" name="Z_A5F5BAF9_2DFE_4C7A_8D06_58036917C61A_.wvu.FilterData">'Delhi-ncr'!$G$6:$G$1619</definedName>
  </definedNames>
  <calcPr/>
  <customWorkbookViews>
    <customWorkbookView activeSheetId="0" maximized="1" windowHeight="0" windowWidth="0" guid="{A5F5BAF9-2DFE-4C7A-8D06-58036917C61A}" name="Filter 1"/>
  </customWorkbookViews>
  <extLst>
    <ext uri="GoogleSheetsCustomDataVersion2">
      <go:sheetsCustomData xmlns:go="http://customooxmlschemas.google.com/" r:id="rId9" roundtripDataChecksum="nmKCL74X1ttnrgmApZzIXUPSkFWhXnsyHjy6SijGZpU="/>
    </ext>
  </extLst>
</workbook>
</file>

<file path=xl/sharedStrings.xml><?xml version="1.0" encoding="utf-8"?>
<sst xmlns="http://schemas.openxmlformats.org/spreadsheetml/2006/main" count="48026" uniqueCount="4597">
  <si>
    <t>Stage 1</t>
  </si>
  <si>
    <t xml:space="preserve">Stage 1 </t>
  </si>
  <si>
    <t xml:space="preserve"> </t>
  </si>
  <si>
    <t>Stage 2</t>
  </si>
  <si>
    <t>Stage2</t>
  </si>
  <si>
    <t>Stage 3</t>
  </si>
  <si>
    <t>Total</t>
  </si>
  <si>
    <t>vendor_id</t>
  </si>
  <si>
    <t>name</t>
  </si>
  <si>
    <t>slug</t>
  </si>
  <si>
    <t>description</t>
  </si>
  <si>
    <t>vendor_type</t>
  </si>
  <si>
    <t>website</t>
  </si>
  <si>
    <t>phone</t>
  </si>
  <si>
    <t>full_address</t>
  </si>
  <si>
    <t>area</t>
  </si>
  <si>
    <t>state</t>
  </si>
  <si>
    <t>categoryKey</t>
  </si>
  <si>
    <t>currency</t>
  </si>
  <si>
    <t>priceModel</t>
  </si>
  <si>
    <t>taxIncluded</t>
  </si>
  <si>
    <t>veg_price</t>
  </si>
  <si>
    <t>Non-veg_price</t>
  </si>
  <si>
    <t>serviceStyles</t>
  </si>
  <si>
    <t>vegOnly</t>
  </si>
  <si>
    <t>handlesBar</t>
  </si>
  <si>
    <t>cuisines</t>
  </si>
  <si>
    <t>servicesoffered</t>
  </si>
  <si>
    <t>staffProvided</t>
  </si>
  <si>
    <t>chefOnSite</t>
  </si>
  <si>
    <t>serviceCaptainAvailable</t>
  </si>
  <si>
    <t>cutleryProvided</t>
  </si>
  <si>
    <t>linenProvided</t>
  </si>
  <si>
    <t>liveStationCounters</t>
  </si>
  <si>
    <t>chaatCounter</t>
  </si>
  <si>
    <t>dessertBar</t>
  </si>
  <si>
    <t>coffeeStation</t>
  </si>
  <si>
    <t>setupIncluded</t>
  </si>
  <si>
    <t>cleanupIncluded</t>
  </si>
  <si>
    <t>wasteManagement</t>
  </si>
  <si>
    <t>minGuestCount</t>
  </si>
  <si>
    <t>maxGuestCount</t>
  </si>
  <si>
    <t>minimumBillingGuests</t>
  </si>
  <si>
    <t>minimumOrderValue</t>
  </si>
  <si>
    <t>Updated by</t>
  </si>
  <si>
    <t xml:space="preserve">stage </t>
  </si>
  <si>
    <t>Knife Arts Catering</t>
  </si>
  <si>
    <t>knife-arts-catering</t>
  </si>
  <si>
    <t xml:space="preserve">Phenomenal food, Outstanding service and stunning presentation are the basic ingredients of every celebration planned at Knife Arts Catering. Established in Delhi to meet the vision of a catering company for vegetarian gourmet events, their menu includes the finest and most elegant vegetarian options from around the world, focusing on delivering impeccable culinary and event services. They ensure that each dish is prepared with locally sourced, seasonal and organic ingredients. The gracious and highly trained staff sets high standards and focuses on making your guests feel welcomed. Cuisine Offered: North Indian South Indian Italian Thai Gujarati Rajasthani
</t>
  </si>
  <si>
    <t>Catering</t>
  </si>
  <si>
    <r>
      <rPr/>
      <t xml:space="preserve">facebook </t>
    </r>
    <r>
      <rPr>
        <color rgb="FF1155CC"/>
        <u/>
      </rPr>
      <t>https://www.facebook.com/KnifeArts/</t>
    </r>
  </si>
  <si>
    <t>crockeryProvided</t>
  </si>
  <si>
    <t>8447750605 , 8447759766</t>
  </si>
  <si>
    <t>Sushant Lok, Gurgaon</t>
  </si>
  <si>
    <t>Sushant Lok</t>
  </si>
  <si>
    <t>caterer</t>
  </si>
  <si>
    <t>INR</t>
  </si>
  <si>
    <t>perPerson</t>
  </si>
  <si>
    <t>False</t>
  </si>
  <si>
    <t>buffet</t>
  </si>
  <si>
    <t>areas_covered</t>
  </si>
  <si>
    <t>True</t>
  </si>
  <si>
    <t>veg_price.1</t>
  </si>
  <si>
    <t>non_veg_price</t>
  </si>
  <si>
    <t>United Catering Services</t>
  </si>
  <si>
    <t>Harsh</t>
  </si>
  <si>
    <t>united-catering-services</t>
  </si>
  <si>
    <t>United Coffee House Established in 1942 by Lala Hans Raj Kalra, United Coffee House is a heritage restaurant offering authentic Regional Indian, British Colonial, Continental &amp; Oriental cuisine. The inception of the legendary United Coffee House was during the Victorian Era when the influence of British, French &amp; European influenced cuisine was in vogue. British Club Food &amp; Savories were the forte of UCH since the very beginning The Bohemian culture &amp; Victorian regality reflects images of the bygone old world era. The United Coffee House ever since its inception has carved its niche into being a legend and helped the city of Delhi in evolving its food culture which became a tradition later for mostly everybody to follow.</t>
  </si>
  <si>
    <t>Punjab Grill</t>
  </si>
  <si>
    <t>null</t>
  </si>
  <si>
    <t>punjab-grill</t>
  </si>
  <si>
    <t xml:space="preserve">Punjab Grill is an endeavor by Lite Bite Foods to take our guests on a culinary journey into the grandeur of the Royal State of undivided Punjab. Diners experience an exploration of wonderful diversity of the Frontier Food and the rich streams of Hindu, Sikh, Pathan and Punjabi cuisine. Punjab Grill promises an exquisite dining experience to all its patrons with an array of culinary delights that are aromatic and flavorful.
</t>
  </si>
  <si>
    <t>New Delhi, Delhi NCR</t>
  </si>
  <si>
    <t>New Delhi</t>
  </si>
  <si>
    <t>Delhi</t>
  </si>
  <si>
    <t>Gurgaon, Gurgaon</t>
  </si>
  <si>
    <t>Gurgaon</t>
  </si>
  <si>
    <t>Atara Catering</t>
  </si>
  <si>
    <t>atara-catering</t>
  </si>
  <si>
    <t>Atara Catering Gurgaon, is based in Haryana and offers professional catering services. In business since 2019, they are known for their flavorful dishes and their expert services which enhance the occasions.</t>
  </si>
  <si>
    <t>https://www.theatara.com/atara-catering/atara-catering.html</t>
  </si>
  <si>
    <t xml:space="preserve">Updated by </t>
  </si>
  <si>
    <t xml:space="preserve">Stage </t>
  </si>
  <si>
    <t>85 2757 5333</t>
  </si>
  <si>
    <t>stage 2</t>
  </si>
  <si>
    <t>Heaven Event and Catering</t>
  </si>
  <si>
    <t>heaven-event-and-catering</t>
  </si>
  <si>
    <t>North Indian South Indian Chinese Japanese Italian Lebanese Thai
Desserts Bengali Gujarati Rajasthani Goan Maharashtrian Service staff / servers Crockery and cutlery
Glassware Mineral water bottles Presentation and lighting for the food setup Soft beverages, juices, sodas, tonic Chilling and cubed ice
Vegetarian menu Non vegetarian menu</t>
  </si>
  <si>
    <t>Heaven Event and Catering is a catering company serving all over Greater Noida. He started catering for wedding and other events. With countless clients, ranging from public to private companies, Heaven Event and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</si>
  <si>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Null</t>
  </si>
  <si>
    <t>Service staff / servers Crockery and cutlery Glassware Mineral water bottles
Presentation and lighting for the food setup Soft beverages, juices, sodas, tonic
Chilling and cubed ice Vegetarian menu Non vegetarian menu</t>
  </si>
  <si>
    <t>Greater Noida, Greater Noida</t>
  </si>
  <si>
    <t>Greater Noida</t>
  </si>
  <si>
    <t>Jainco Caterers</t>
  </si>
  <si>
    <t>jainco-caterers</t>
  </si>
  <si>
    <t>Jainco Caterers is where they turn your special event into an unforgettable experience. With over 20 years of expertise in the catering industry, Jainco Caterers has established itself as a leading provider of exceptional culinary delights and impeccable service in New Delhi. Their commitment to excellence is evident in every aspect of their service. From the moment you engage with them, Jainco Caterers prioritize your satisfaction and ensure that your event is nothing short of extraordinary. They understand that your special occasion deserves the finest attention to detail, and that's exactly what they deliver.</t>
  </si>
  <si>
    <t>Diva Catering</t>
  </si>
  <si>
    <t>diva-catering</t>
  </si>
  <si>
    <t>Chef Ritu Dalmia of DIVA Catering creates menus combining flavours, ingredients and techniques from around the world for your special celebrations. DIVA Catering offers food as a spellbinding symphony of taste and presentation, combining extraordinary service with stylistic expressions that will help elevate your event into a celebration of life. DIVA Catering also offers specialised customization for International cuisines that will be tailored specifically to your event’s theme and aims to offer you a special experience.</t>
  </si>
  <si>
    <t>https://www.diva-italian.com/caterings.php</t>
  </si>
  <si>
    <t>https://www.jaincocaterers.online/update.html</t>
  </si>
  <si>
    <t>95829 94095</t>
  </si>
  <si>
    <t>Bandra Kurla Complex, Mumbai</t>
  </si>
  <si>
    <t>Bandra Kurla Complex</t>
  </si>
  <si>
    <t>Chef Ritu Dalmia of DIVA Catering creates menus combining flavours ingredients and techniques from around the world for your special celebrations. DIVA Catering offers food as a spellbinding symphony of taste and presentation combining extraordinary service with stylistic expressions that will help elevate your event into a celebration of life. DIVA Catering also offers specialised customization for International cuisines that will be tailored specifically to your event’s theme and aims to offer you a special experience.</t>
  </si>
  <si>
    <t>The Badnaam Adda</t>
  </si>
  <si>
    <t>the-badnaam-adda</t>
  </si>
  <si>
    <t>Chandni Chowk, Delhi NCR</t>
  </si>
  <si>
    <t>Shree Ram Caterers</t>
  </si>
  <si>
    <t>Chandni Chowk</t>
  </si>
  <si>
    <t>The Badnaam Adda is a catering company serving all over Greater Noida . He started catering for wedding and other events. With countless clients, ranging from public to private companies, The Badnaam Adda gained a reputation for elegant presentations and impressive services. Be assured of the fact that the food is prepared &amp; served under hygienic conditions and all rates are inclusive of top-class service, crockery &amp; cutlery. Cuisines offered: Vegetarian Only</t>
  </si>
  <si>
    <t>shree-ram-caterers</t>
  </si>
  <si>
    <t>Shree Ram Caterers is a renowned catering company serving the Greater Noida area, specializing in catering for weddings and other events. With years of experience since its establishment in 2016, Shree Ram Caterers has garnered a loyal clientele, including both public and private companies, thanks to its impeccable services and elegant presentations.</t>
  </si>
  <si>
    <t>088007 79056</t>
  </si>
  <si>
    <t>https://www.shreeramcaterers.site/</t>
  </si>
  <si>
    <t>Shahdara, Greater Noida</t>
  </si>
  <si>
    <t>Shahdara</t>
  </si>
  <si>
    <t>73037 57884</t>
  </si>
  <si>
    <t>Greater Noida, Noida</t>
  </si>
  <si>
    <t>Wedfully Yours - Catering</t>
  </si>
  <si>
    <t>wedfully-yours-catering</t>
  </si>
  <si>
    <t>Situated in South Delhi, Wedfully Yours - Catering provides professional catering services. With operations beginning from 2020, they have been delivering top notch services and delicious food over the years.</t>
  </si>
  <si>
    <t xml:space="preserve">null </t>
  </si>
  <si>
    <t>South Delhi, Delhi NCR</t>
  </si>
  <si>
    <t>South Delhi</t>
  </si>
  <si>
    <t>North Indian South Indian Chinese Bengali Desserts Hygienic Food Preparation and Service
Inclusive Rates with Top-Class Service, Crockery, and Cutlery Seamless and Enjoyable Dining Experience for Guests
Vegetarian and Non-Vegetarian Menu Options Commitment to Excellence in Taste and Presentation</t>
  </si>
  <si>
    <t>Hygienic Food Preparation and Service Inclusive Rates with Top-Class Service, Crockery, and Cutlery
Seamless and Enjoyable Dining Experience for Guests Vegetarian and Non-Vegetarian Menu Options
Commitment to Excellence in Taste and Presentation</t>
  </si>
  <si>
    <t>North indian</t>
  </si>
  <si>
    <t>UnMess Catering</t>
  </si>
  <si>
    <t>unmess-catering</t>
  </si>
  <si>
    <t>UnMess Catering is a catering company serving all over Delhi NCR. They started catering for wedding and other events in 2019 and with countless clients, ranging from public to private companies, UnMess Catering gained a reputation for elegant presentations and impressive services.</t>
  </si>
  <si>
    <t>http://www.unmess.in/</t>
  </si>
  <si>
    <t>The team caters to events all over Greater Noida, ensuring that clients can enjoy their exceptional services and delicious cuisines regardless of their location within the city. From intimate gatherings to grand celebrations with up to 2000 guests, Shree Ram Caterers is equipped to meet the catering needs of any event.</t>
  </si>
  <si>
    <t>Shagun Caterers And Decorators</t>
  </si>
  <si>
    <t>shagun-caterers-and-decorators</t>
  </si>
  <si>
    <t>Offering professional food catering services, Shagun Caterers And Decorators is located in Noida of Uttar Pradesh. In business since 2003, they are known for their wonderfully curated and rich in taste offerings.</t>
  </si>
  <si>
    <t>https://shaguncaterers.com/</t>
  </si>
  <si>
    <t>Mangalam Caterers</t>
  </si>
  <si>
    <t>Fusion Street</t>
  </si>
  <si>
    <t>mangalam-caterers</t>
  </si>
  <si>
    <t>fusion-street</t>
  </si>
  <si>
    <t>Mangalam Caterers is a team that works enthusiastically to deliver food in a way that delights the eyes and is palatable to the tongue! Mangalam Caterers is based in the city of Delhi NCR.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Japanese Italian Greek Lebanese Thai Desserts Bengali Gujarati Rajasthani Goan Maharashtrian</t>
  </si>
  <si>
    <t>Central Delhi, Delhi NCR</t>
  </si>
  <si>
    <t xml:space="preserve">Fusion Street is a catering company serving all over Noida. He started catering for wedding and other events. With countless clients, ranging from public to private companies,Fusion Street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t>
  </si>
  <si>
    <t>Central Delhi</t>
  </si>
  <si>
    <t>https://www.fusionstreet.co.in/</t>
  </si>
  <si>
    <t>098993 01832</t>
  </si>
  <si>
    <t>Noida, Noida</t>
  </si>
  <si>
    <t>Noida</t>
  </si>
  <si>
    <t>North Indian South Indian Mexican Continental Lebanese
Italian Mughlai Thai Moroccan Chinese Desserts
Bengali Rajasthani</t>
  </si>
  <si>
    <t>72176 56500</t>
  </si>
  <si>
    <t>The Kamath Caterers</t>
  </si>
  <si>
    <t>the-kamath-caterers</t>
  </si>
  <si>
    <t>Located in Hauz Khas, Delhi NCR, The Kamath Caterers are reputed and popular wedding caterers. The team consists of professional and skilled chefs who have years of experience in the field of cooking. They offer wide range of cuisines for their clients and will make sure that your guests enjoy their food. The chefs use fresh and finest ingredients for their cooking. They maintain all the hygiene and safety level to ensure the health of the guests. The chefs will also customise their menu according to the needs and regional preferences of the clients.</t>
  </si>
  <si>
    <t>Muskan Food Catering</t>
  </si>
  <si>
    <t>http://www.thekamathcaterers.in/</t>
  </si>
  <si>
    <t>muskan-food-catering</t>
  </si>
  <si>
    <t xml:space="preserve">Muskan Food Catering is a catering company serving all over Gurgaon. He started catering for wedding and other events. With countless clients, ranging from public to private companies, Muskan Food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</si>
  <si>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Shree Ram Caterers is a renowned catering company serving the Greater Noida area, specializing in catering for weddings and other events. With years of experience since its establishment in 2016, Shree Ram Caterers has garnered a loyal clientele, including both public and private companies, thanks to its impeccable services and elegant presentations."Shree Ram Caterers is a renowned catering company serving the Greater Noida area, specializing in catering for weddings and other events. With years of experience since its establishment in 2016, Shree Ram Caterers has garnered a loyal clientele, including both public and private companies, thanks to its impeccable services and elegant presentations.</t>
  </si>
  <si>
    <t xml:space="preserve">073037 57884
</t>
  </si>
  <si>
    <t>Sector 33, Gurgaon</t>
  </si>
  <si>
    <t>Sector 33</t>
  </si>
  <si>
    <t>North Indian South Indian Chinese Bengali Desserts
Hygienic Food Preparation and Service Inclusive Rates with Top-Class Service, Crockery, and Cutlery
Seamless and Enjoyable Dining Experience for Guests Vegetarian and Non-Vegetarian Menu Options Commitment to Excellence in Taste and Presentation</t>
  </si>
  <si>
    <t>097187 80690</t>
  </si>
  <si>
    <t>ATMOSFIRE Catering by Barbeque Nation</t>
  </si>
  <si>
    <t>atmosfire-catering-by-barbeque-nation</t>
  </si>
  <si>
    <t>The Purple Plate</t>
  </si>
  <si>
    <t>ATMOSFIRE by barbeque Nation based in Noida is a catering service, designed to meet all your party requirements - whether it's birthdays, weddings, anniversaries, corporate events, or intimate home gatherings. They provide customized catering solutions for any menu, location, or occasion to ensure their guests are well taken care of.</t>
  </si>
  <si>
    <t>the-purple-plate</t>
  </si>
  <si>
    <t>North Indian South Indian Thai Japanese Italian Lebanese
Gujarati Rajasthani Goan Bengali Chinese
Maharashtrian</t>
  </si>
  <si>
    <t>The Purple Plate has long been involved in the catering business. Based in Delhi, they are here to provide quality service and tasty food along with maintaining proper hygiene. According to them, they love catering at weddings because they are all about extravagant layouts, beautiful looking venues, live interactive counters and most importantly experiments with cuisines, everything they strive upon! They quote "The taste of food lies not in how it is cooked but how it is served as well. Purple Plate does them both."</t>
  </si>
  <si>
    <t>https://www.barbequenation.com/restaurants/bangalore/electronic-city</t>
  </si>
  <si>
    <t xml:space="preserve">Instagram · purpleplatecatering
</t>
  </si>
  <si>
    <t>98997 75259</t>
  </si>
  <si>
    <t>Shree Bala Ji Caterers and Tent Decorator</t>
  </si>
  <si>
    <t>shree-bala-ji-caterers-and-tent-decorator</t>
  </si>
  <si>
    <t xml:space="preserve">Shree Bala Ji Caterers and Tent Decorator is a catering company serving all over Greater Noida. He started catering for wedding and other events. With countless clients, ranging from public to private companies. Shree Bala Ji Caterers and Tent Decorator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</si>
  <si>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https://shreebalajicaterers.co.in/</t>
  </si>
  <si>
    <t>The Purple Plate has long been involved in the catering business. Based in Delhi they are here to provide quality service and tasty food along with maintaining proper hygiene. According to them they love catering at weddings because they are all about extravagant layouts
beautiful looking venues live interactive counters and most importantly experiments with cuisines
everything they strive upon! They quote "The taste of food lies not in how it is cooked but how it is served as well. Purple Plate does them both."</t>
  </si>
  <si>
    <t>The Kamath Caterers is located in Hauz Khas, Delhi NCR.</t>
  </si>
  <si>
    <t>80 6902 6708</t>
  </si>
  <si>
    <t>KANAK by Chef Sanjeev</t>
  </si>
  <si>
    <t>kanak-by-chef-sanjeev</t>
  </si>
  <si>
    <t>Moments of Life Events</t>
  </si>
  <si>
    <t>moments-of-life-events</t>
  </si>
  <si>
    <t>8595180223 or 9654862035</t>
  </si>
  <si>
    <t>Moments of Life Events is a catering company located in South Delhi, renowned for its amazing culinary offerings. Established in 2016, the company has been dedicated to enhancing various occasions with a unique blend of flavours and exquisite presentation.</t>
  </si>
  <si>
    <t>093138 98116</t>
  </si>
  <si>
    <t xml:space="preserve">
Instagram · momentsoflifelb
</t>
  </si>
  <si>
    <t>079823 55391</t>
  </si>
  <si>
    <t>Vegetarian Menu Non-vegetarian Menu Seafood Menu
Professional Service Staff Crockery &amp; Cutlery</t>
  </si>
  <si>
    <t>North Indian The caterers are known for their remarkable presentation and flawless service, which attract a diverse clientele, including both private individuals and public organisations. They prioritise the highest standards of hygiene, ensuring that all crockery and cutlery used during food preparation are of top notch quality.</t>
  </si>
  <si>
    <t>Fenugreek Events</t>
  </si>
  <si>
    <t>PREMIER PALATE</t>
  </si>
  <si>
    <t>fenugreek-events</t>
  </si>
  <si>
    <t>premier-palate</t>
  </si>
  <si>
    <t>Fenugreek Events is a wedding caterer based in Delhi NCR, India, providing a comprehensive range of event catering services since 2005. They specialize in crafting bespoke menus reflecting the flavor, culture, and heritage of India and its neighboring countries. They also provide quality beverage services from their experienced bartenders, offering a wide range of drinks and servings. Making sure that the quality of service is held to their highest standards, they create bespoke ambience to set the perfect tone for each event. With comprehensive services from concept to implementation, their team of specialists and dedicated staff ensures a smooth and stylish event. If you are seeking the services of an experienced professional wedding caterer for your special day, then look no further than Fenugreek Events.</t>
  </si>
  <si>
    <t>PREMIER PALATE is a premium catering service offering customized, high-quality food for events of all sizes in Gurgaon and the surrounding NCR region. Specializing in a diverse range of cuisines, from traditional Indian to international and fusion dishes, they provide tailored catering solutions for Private Parties, Weddings, Corporate events and more. Their team ensures fresh ingredients, impeccable presentation, and seamless execution, making your event truly memorable.</t>
  </si>
  <si>
    <t xml:space="preserve">Instagram · fenugreek_events
</t>
  </si>
  <si>
    <t>https://premierpalate.in/</t>
  </si>
  <si>
    <t>Feastly Catering Services</t>
  </si>
  <si>
    <t>093500 50578</t>
  </si>
  <si>
    <t>feastly-catering-services</t>
  </si>
  <si>
    <t>Aya Nagar, Delhi NCR</t>
  </si>
  <si>
    <t>Aya Nagar</t>
  </si>
  <si>
    <t xml:space="preserve">Feastly Catering Services, located in Delhi NCR, caters to all types of functions. Be it birthdays, corporate or weddings, their skilled team can easily manage all aspects of these functions from the beginning till the very end. They provide both vegetarian and non-vegetarian food. Their vegetarian food menu starts at a very reasonable price of Rs. 700. Their exquisite &amp; innovative food, spectacular presentation &amp; unfailing service has enabled them to create a seamless match in New Delhi. Cuisines Offered: North Indian South Indian Chinese Italian Lebanese Desserts
</t>
  </si>
  <si>
    <t>https://feastary.in/</t>
  </si>
  <si>
    <t>Katraaneel Kitchens</t>
  </si>
  <si>
    <t>katraaneel-kitchens</t>
  </si>
  <si>
    <t>Fenugreek Events is a wedding caterer based in Delhi NCR India providing a comprehensive range of event catering services since 2005. They specialize in crafting bespoke menus reflecting the flavor culture and heritage of India and its neighboring countries. They also provide quality beverage services from their experienced bartenders offering a wide range of drinks and servings. Making sure that the quality of service is held to their highest standards they create bespoke ambience to set the perfect tone for each event. With comprehensive services from concept to implementation
their team of specialists and dedicated staff ensures a smooth and stylish event. If you are seeking the services of an experienced professional wedding caterer for your special day then look no further than Fenugreek Events.</t>
  </si>
  <si>
    <t>Katraaneel Kitchens is a catering company serving all over Noida. He started catering for wedding and other events. With countless clients, ranging from public to private companies, Katraaneel Kitchens gained a reputation for elegant presentations and impressive services. Be assured of the fact that the food is prepared &amp; served under hygienic conditions and all rates are inclusive of top-class service, crockery &amp; cutlery. Cuisines offered: North Indian Thai Chinese Desserts</t>
  </si>
  <si>
    <t>https://katraaneelkitchens.com/</t>
  </si>
  <si>
    <t>93193 04595</t>
  </si>
  <si>
    <t>088823 11120</t>
  </si>
  <si>
    <t>Private Parties Weddings Events Corporates
North Indian South Indian Chinese Desserts</t>
  </si>
  <si>
    <t>Private Parties Weddings
Events Corporates</t>
  </si>
  <si>
    <t>Big Belly Kitchen</t>
  </si>
  <si>
    <t>big-belly-kitchen</t>
  </si>
  <si>
    <t xml:space="preserve">Big Belly Kitchen Delhi’s leading #Cateringservice provider Experts in #Weddingfunctions, #CorporateDinners, Special #Birthdayparty, #CocktailParties. www.bigbellykitchen.com
</t>
  </si>
  <si>
    <t>https://bigbellykitchen.com/</t>
  </si>
  <si>
    <t>1900 AD A Kitchen</t>
  </si>
  <si>
    <t>1900-ad-a-kitchen</t>
  </si>
  <si>
    <t xml:space="preserve">090157 03000
</t>
  </si>
  <si>
    <t>V &amp; J Catering</t>
  </si>
  <si>
    <t>v-j-catering</t>
  </si>
  <si>
    <t xml:space="preserve">V &amp; J Catering is a catering company serving all over Noida. He started catering for wedding and other events. With countless clients, ranging from public to private companies, V &amp; J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</si>
  <si>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http://paramountparadise.com/</t>
  </si>
  <si>
    <t>858-707-8979</t>
  </si>
  <si>
    <t>Taste of Food</t>
  </si>
  <si>
    <t>Taste of Food is a catering company serving all over Greater Noida. He started catering for wedding and other events. With countless clients, ranging from public to private companies, Taste of Food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</si>
  <si>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092125 60919</t>
  </si>
  <si>
    <t>Neha Sprouts Catering Services</t>
  </si>
  <si>
    <t>neha-sprouts-catering-services</t>
  </si>
  <si>
    <t>https://nehasprouts.com/</t>
  </si>
  <si>
    <t>Chetan Caterings &amp; Events</t>
  </si>
  <si>
    <t>chetan-caterings-events</t>
  </si>
  <si>
    <t xml:space="preserve">Chetan Caterings &amp; Events is a catering company serving all over Gurgaon. He started catering for wedding and other events. With countless clients, ranging from public to private companies, Chetan Caterings &amp; Events gained a reputation for elegant presentations and impressive services. Be assured of the fact that the food is prepared &amp; served under hygienic conditions and all rates are inclusive of top-class service, crockery &amp; cutlery. Cuisines offered: North Indian Chinese Rajasthani
</t>
  </si>
  <si>
    <t>https://chetancateringsandevents.com/</t>
  </si>
  <si>
    <t>Garam Masala</t>
  </si>
  <si>
    <t>garam-masala</t>
  </si>
  <si>
    <t>Garam Masala is a catering company serving all over Delhi NCR. He started catering for wedding and other events. With countless clients, ranging from public to private companies, Garam Masala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t>
  </si>
  <si>
    <t>https://www.google.co.in/intl/en/about/products?tab=lh</t>
  </si>
  <si>
    <t>Flame n Grills</t>
  </si>
  <si>
    <t xml:space="preserve"> 062626 23630</t>
  </si>
  <si>
    <t>flame-n-grills</t>
  </si>
  <si>
    <t>Sector 26, Gurgaon</t>
  </si>
  <si>
    <t>Sector 26</t>
  </si>
  <si>
    <t xml:space="preserve">Flame n Grills is a catering company serving all over Noida. He started catering for wedding and other events. With countless clients, ranging from public to private companies, Flame n Grills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</si>
  <si>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The Heritage Catering  services</t>
  </si>
  <si>
    <t>the-heritage-catering-services</t>
  </si>
  <si>
    <t>The Heritage Catering is a catering company serving all over Gurgaon. He started catering for wedding and other events. With countless clients, ranging from public to private companies, Dutta Caterers and Decorators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t>
  </si>
  <si>
    <t>099900 72070</t>
  </si>
  <si>
    <t>https://heritagecateringservices.com/</t>
  </si>
  <si>
    <t>Atul Kataria Chowk, Gurgaon</t>
  </si>
  <si>
    <t>Atul Kataria Chowk</t>
  </si>
  <si>
    <t>Raj Tent Caterers &amp; Decorators</t>
  </si>
  <si>
    <t>raj-tent-caterers-decorators</t>
  </si>
  <si>
    <t>Golden Plate Catering</t>
  </si>
  <si>
    <t xml:space="preserve">Raj Tent Caterers &amp; Decorators is a catering company serving all over Ghaziabad. He started catering for wedding and other events. With countless clients, ranging from public to private companies, Raj Tent Caterers &amp; Decorators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</si>
  <si>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 xml:space="preserve">Golden Plate Catering is a catering company serving all over Greater Noida. He started catering for wedding and other events. With countless clients, ranging from public to private companies, Golden Plate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</si>
  <si>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https://www.instagram.com/raj_tent_catterers_decorators?igsh=OThseGFmMzRwYTRj</t>
  </si>
  <si>
    <t>North Indian Hygienic Food Preparation and Service Inclusive Rates with Top-Class Service, Crockery, and Cutlery
Seamless and Enjoyable Dining Experience for Guests Vegetarian and Non-Vegetarian Menu Options
Commitment to Excellence in Taste and Presentation</t>
  </si>
  <si>
    <t>Misri K'la</t>
  </si>
  <si>
    <t>misri-k-la</t>
  </si>
  <si>
    <t>Misri K'la is a catering company that has its headquarters in the Sector-29 neighbourhood of Gurgaon. This business is an excellent choice if you are looking for a place that can fulfil all of your requirements for the wedding, including the provision of meals and the use of facilities. The members of their crew ensure that the cuisine is delectable and that all of your visitors like it. You have the option of providing Misri K'la with particular requests, which will allow them to better prepare food for you. This gives you the opportunity to communicate your choices to them. If you are looking for a first-rate catering company that can supply scrumptious meals for your wedding, you should make Misri K'la your first pick.</t>
  </si>
  <si>
    <t>https://thekamathcaterers.in/</t>
  </si>
  <si>
    <t>Leisure Valley Sector 29, Gurgaon</t>
  </si>
  <si>
    <t>Leisure Valley Sector 29</t>
  </si>
  <si>
    <t>Blazing Bistro</t>
  </si>
  <si>
    <t>Blazing Bistro is a Delhi NCR based catering company. He started catering for wedding and other events. With countless clients, ranging from public to private companies, Blazing Bistro gained a reputation for elegant presentations and impressive services. Be assured of the fact that the food is prepared &amp; served under hygienic conditions and all rates are inclusive of top-class service, crockery &amp; cutlery. Cuisines offered: North Indian South Indian Chinese Italian</t>
  </si>
  <si>
    <t>North Indian South Indian Chinese Italian
Thai Desserts Maharashtrian</t>
  </si>
  <si>
    <t>Greater Noida, Delhi NCR</t>
  </si>
  <si>
    <t>098994 23348</t>
  </si>
  <si>
    <t>Indirapuram, Noida</t>
  </si>
  <si>
    <t>Indirapuram</t>
  </si>
  <si>
    <t>North Indian</t>
  </si>
  <si>
    <t>Ena's Kitchen</t>
  </si>
  <si>
    <t>ena-s-kitchen</t>
  </si>
  <si>
    <t>Ena’s Kitchen is a catering company based in Gurgaon. Ena's Kitchen consist of one of the finest team of chefs who will take care of each and every requirement of yours and will ensure that your guests leave the wedding site completely satisfied and licking their fingers after savouring their mouthwatering meals. They have established themselves as a reputable company through the ages and their services can be availed at affordable prices.</t>
  </si>
  <si>
    <t>https://enaskitchen.com/</t>
  </si>
  <si>
    <t>Ocean Pearl Catering</t>
  </si>
  <si>
    <t xml:space="preserve">91 8699775061, +91 9501011213, +91 8860755097
</t>
  </si>
  <si>
    <t>ocean-pearl-catering</t>
  </si>
  <si>
    <t>Ocean Pearl Catering is a renowned wedding and event catering company based in Chattarpur, Delhi NCR. Established in 1990, it has decades of experience in delivering impeccable food and hospitality services for weddings and various events across Delhi. Known for elegant presentations, hygienic preparation, and seamless service, Ocean Pearl Catering has built a strong reputation among both private and corporate clients. Whether it's a lavish wedding or a sophisticated corporate gathering, they tailor their offerings to meet every need with professionalism and flavor.</t>
  </si>
  <si>
    <t xml:space="preserve">Instagram · oceanpearldelhi
</t>
  </si>
  <si>
    <t>Chattarpur, Delhi NCR</t>
  </si>
  <si>
    <t>Chattarpur</t>
  </si>
  <si>
    <t>Premium Outdoor Catering Wedding Mehandi / Sangeet Engagement
Social Events Government /Corporate Events Birthday &amp; House warming
Many More Service Staff/ Servers Crockery &amp; cutlery Glassware
Presentation and lighting for the food setup Mineral water bottles Bartender &amp; other bar services
Soft beverages, juices, sodas, tonic Chilling and cubed ice</t>
  </si>
  <si>
    <t xml:space="preserve">Premium Outdoor Catering Wedding
Mehandi / Sangeet Engagement Social Events Government /Corporate Events
Birthday &amp; House warming Many More </t>
  </si>
  <si>
    <t>Shree Bala Ji Caterers and Tent Decorator is a catering company serving all over Greater Noida. He started catering for wedding and other events. With countless clients, ranging from public to private companies. Shree Bala Ji Caterers and Tent Decorator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</si>
  <si>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North Indian Full-service catering for both vegetarian and non-vegetarian menus Elegant food presentation and thematic setups
Hygienically prepared food using high-quality ingredients Top-class service with inclusive crockery and cutlery
Capability to cater to a guest list ranging from 100 to 5000 guests Customized menus as per client preferences and event themes</t>
  </si>
  <si>
    <t>Full-service catering for both vegetarian and non-vegetarian menus Elegant food presentation and thematic setups
Hygienically prepared food using high-quality ingredients Top-class service with inclusive crockery and cutlery
Capability to cater to a guest list ranging from 100 to 5000 guests Customized menus as per client preferences and event themes</t>
  </si>
  <si>
    <t>golden-plate-catering</t>
  </si>
  <si>
    <t xml:space="preserve">Golden Plate Catering is a catering company serving all over Greater Noida. He started catering for wedding and other events. With countless clients, ranging from public to private companies, Golden Plate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</si>
  <si>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https://goldenplatecaterers.com/</t>
  </si>
  <si>
    <t>Chatpata Stories By Nathu's</t>
  </si>
  <si>
    <t>chatpata-stories-by-nathu-s</t>
  </si>
  <si>
    <t>Chatpata Stories is a signature catering service offered by the renowned Nathu Sweets, a legacy brand known for its rich history in providing delectable Indian sweets and culinary delights. With over decades of expertise in perfecting flavors, Chatpata Stories takes you on a journey through the diverse and bold flavors of Indian cuisine, blending traditional recipes with modern culinary twists.</t>
  </si>
  <si>
    <t>https://chatpatastories.com/</t>
  </si>
  <si>
    <t>North Indian South Indian Chinese Japanese Italian Lebanese
Thai Desserts Bengali Gujarati Rajasthani Goan Maharashtrian Service staff / servers
Crockery and cutlery Glassware Mineral water bottles Presentation and lighting for the food setup
Soft beverages, juices, sodas, tonic Chilling and cubed ice Vegetarian menu Non vegetarian menu</t>
  </si>
  <si>
    <t>Service staff / servers Crockery and cutlery Glassware Mineral water bottles
Presentation and lighting for the food setup Soft beverages, juices, sodas, tonic Chilling and cubed ice
Vegetarian menu Non vegetarian menu</t>
  </si>
  <si>
    <t>097179 99353</t>
  </si>
  <si>
    <t>Delhi NCR, Gurgaon</t>
  </si>
  <si>
    <t>Delhi NCR</t>
  </si>
  <si>
    <t>Chatpata Stories is a signature catering service offered by the renowned Nathu Sweets a legacy brand known for its rich history in providing delectable Indian sweets and culinary delights. With over decades of expertise in perfecting flavors Chatpata Stories takes you on a journey through the diverse and bold flavors of Indian cuisine blending traditional recipes with modern culinary twists.</t>
  </si>
  <si>
    <t>Chatpata Stories is a signature catering service offered by the renowned Nathu Sweets a legacy brand known for its rich history in providing delectable Indian sweets and culinary delights. With over decades of expertise in perfecting flavors
Chatpata Stories takes you on a journey through the diverse and bold flavors of Indian cuisine blending traditional recipes with modern culinary twists.</t>
  </si>
  <si>
    <t>https://nathusweets.com/</t>
  </si>
  <si>
    <t>Turban Tales</t>
  </si>
  <si>
    <t>turban-tales</t>
  </si>
  <si>
    <t>Maverick Matrimonials and Caterers</t>
  </si>
  <si>
    <t>maverick-matrimonials-and-caterers</t>
  </si>
  <si>
    <t>Turban Tales is a reputed wedding catering service based in Rajouri Garden, Delhi NCR. Known for their elegant presentation and attention to detail, they cater to a wide range of events from intimate gatherings to grand celebrations. Their emphasis on hygiene, quality, and full-service delivery has made them a go-to name for many couples and corporate clients alike.</t>
  </si>
  <si>
    <t>Maverick Matrimonials and Caterers is a Gurgaon based catering company that brings exceptional culinary experiences to weddings and events. Known for their innovative menus, premium service, and exquisite presentation, they have developed a firm name in the catering industry. Their team of skilled chefs and professionals ensures that their dishes taste out of the world. From traditional Indian feasts to global cuisines, Maverick Matrimonials and Caterers will offer a wide range of cuisines for all your guests on your special day.</t>
  </si>
  <si>
    <t>Instagram · turbantalesrestaurants</t>
  </si>
  <si>
    <t>Rajouri Garden, Delhi NCR</t>
  </si>
  <si>
    <t>Rajouri Garden</t>
  </si>
  <si>
    <t>97179 99353</t>
  </si>
  <si>
    <t>North Indian Greek Full-service catering for weddings and events
Inclusive of crockery, cutlery, and professional staff</t>
  </si>
  <si>
    <t>North Indian South Indian Italian Desserts
Bengali Chinese</t>
  </si>
  <si>
    <t>Full-service catering for weddings and events Hygienic food preparation and service
Inclusive of crockery, cutlery, and professional staff</t>
  </si>
  <si>
    <t>Chatpata Stories is a signature catering service offered by the renowned Nathu Sweets a legacy brand known for its rich history in providing delectable Indian sweets and culinary delights. With over decades of expertise in perfecting flavors Chatpata Stories takes you on a journey through the diverse and bold flavors of Indian cuisine
blending traditional recipes with modern culinary twists.</t>
  </si>
  <si>
    <t>Maverick Matrimonials and Caterers is based in Gurgaon, India.</t>
  </si>
  <si>
    <t>EBK Luxury Catering</t>
  </si>
  <si>
    <t>ebk-luxury-catering</t>
  </si>
  <si>
    <t xml:space="preserve">EBK Luxury Catering is a catering company serving all over Delhi. He started catering for wedding and other events. With countless clients, ranging from public to private companies, EBK Luxury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</si>
  <si>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Udyog Vihar, Gurgaon</t>
  </si>
  <si>
    <t>Udyog Vihar</t>
  </si>
  <si>
    <t>086997 75061</t>
  </si>
  <si>
    <t>38</t>
  </si>
  <si>
    <t>Premium Outdoor Catering Wedding
Mehandi / Sangeet
Engagement
Social Events
Government /Corporate Events
Birthday &amp; House warming
Many More
Service Staff/ Servers
Crockery &amp; cutlery
Bartender &amp; other bar services</t>
  </si>
  <si>
    <t>Premium Outdoor Catering Wedding
Mehandi / Sangeet
Engagement
Social Events
Government /Corporate Events
Birthday &amp; House warming
Many More</t>
  </si>
  <si>
    <t>https://shreeramcaterers.site/?utm_source=google_profile&amp;utm_campaign=localo&amp;utm_medium=mainlink</t>
  </si>
  <si>
    <t>073037 57884</t>
  </si>
  <si>
    <t>false</t>
  </si>
  <si>
    <t>699</t>
  </si>
  <si>
    <t>899</t>
  </si>
  <si>
    <t xml:space="preserve">Chetan Caterings &amp; Events is a catering company serving all over Gurgaon. He started catering for wedding and other events. With countless clients, ranging from public to private companies, Chetan Caterings &amp; Events gained a reputation for elegant presentations and impressive services. Be assured of the fact that the food is prepared &amp; served under hygienic conditions and all rates are inclusive of top-class service, crockery &amp; cutlery. Cuisines offered: North Indian Chinese Rajasthani
</t>
  </si>
  <si>
    <t>Food Tales Catering</t>
  </si>
  <si>
    <t>062626 23630</t>
  </si>
  <si>
    <t>food-tales-catering</t>
  </si>
  <si>
    <t>Bansooriwala's</t>
  </si>
  <si>
    <t>Food Tales Catering, established in 2012, is a Delhi NCR-based catering company known for creating memorable culinary experiences for weddings, corporate gatherings, and intimate celebrations. With years of industry expertise, the team focuses on delivering thoughtfully curated menus, elegant presentations, and seamless hospitality that elevate every event.</t>
  </si>
  <si>
    <t>Hygienic Food Preparation and Service</t>
  </si>
  <si>
    <t>bansooriwala-s</t>
  </si>
  <si>
    <t>true</t>
  </si>
  <si>
    <t>https://foodtalescatering.com/</t>
  </si>
  <si>
    <t xml:space="preserve">Bansooriwala's is a catering company serving all over Noida. He started catering for wedding and other events. With countless clients, ranging from public to private companies, Bansooriwala's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t>
  </si>
  <si>
    <t>50</t>
  </si>
  <si>
    <t>2000</t>
  </si>
  <si>
    <t>0</t>
  </si>
  <si>
    <t xml:space="preserve"> 099994 41310</t>
  </si>
  <si>
    <t>liveStations</t>
  </si>
  <si>
    <t>Vegetarian &amp; Non-Vegetarian Menus North Indian &amp; South Indian
Chinese &amp; Thai
Japanese &amp; Italian
Greek &amp; Lebanese
Regional desserts including Bengali, Gujarati, Rajasthani, Goan, and Maharashtrian specialties
Expert chefs specialising in regional and global cuisines
Complete catering planning and management
Customised menu design based on event preferences
Live food counters and modern catering concepts
Professional service staff ensuring a smooth guest experience</t>
  </si>
  <si>
    <t>Expert chefs specialising in regional and global cuisines Complete catering planning and management
Customised menu design based on event preferences
Live food counters and modern catering concepts
Professional service staff ensuring a smooth guest experience</t>
  </si>
  <si>
    <t>Maharaja Catering Services</t>
  </si>
  <si>
    <t>maharaja-catering-services</t>
  </si>
  <si>
    <t xml:space="preserve">Maharaja Catering Services are a team that works enthusiastically to deliver food in a way that delights the eyes and is palatable to the tongue! They are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Japanese Italian Greek Lebanese Thai Desserts Bengali Gujarati Rajasthani Goan Maharashtrian
</t>
  </si>
  <si>
    <t>085870 97284</t>
  </si>
  <si>
    <t>Flavourful Caterers</t>
  </si>
  <si>
    <t>flavourful-caterers</t>
  </si>
  <si>
    <t xml:space="preserve">Flavourful Caterers is a catering company serving all over Delhi NCR. He started catering for wedding and other events. With countless clients, ranging from public to private companies, Flavourful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Italian Desserts Gujarati Rajasthani
</t>
  </si>
  <si>
    <t>Civil Lines, Delhi NCR</t>
  </si>
  <si>
    <t>Civil Lines</t>
  </si>
  <si>
    <t>LEAT Catering</t>
  </si>
  <si>
    <t>The Catering Crew</t>
  </si>
  <si>
    <t>leat-catering</t>
  </si>
  <si>
    <t>the-catering-crew</t>
  </si>
  <si>
    <t xml:space="preserve">LEAT Catering a Delhi based catering company. It was started by Udit. He started catering for wedding and other events. With countless clients, ranging from public to private companies, LEAT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Bengali Desserts Italian Rajasthani Gujarati Goan
</t>
  </si>
  <si>
    <t xml:space="preserve">The Catering Crew is a catering company serving all over Noida. He started catering for wedding and other events. With countless clients, ranging from public to private companies, The Catering Crew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</si>
  <si>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ww1.l-eat.com/?usid=26&amp;utid=13922936607</t>
  </si>
  <si>
    <t xml:space="preserve">088009 34550
</t>
  </si>
  <si>
    <t>Sprouts Catering</t>
  </si>
  <si>
    <t>sprouts-catering</t>
  </si>
  <si>
    <t>Sprouts Catering is a well-known catering company based in South Delhi, Delhi NCR that has been delighting couples across the city and beyond with its culinary excellence and best-in-class catering serving, adding more flavor to their celebrations. They have been in the business for years and have a selection of experienced and skilled chefs who prepare mouthwatering delicacies for clients and their guests.</t>
  </si>
  <si>
    <t xml:space="preserve">Instagram · sprouts.catering
</t>
  </si>
  <si>
    <t>098113 56690</t>
  </si>
  <si>
    <t>NH8, Gurgaon</t>
  </si>
  <si>
    <t>NH8</t>
  </si>
  <si>
    <t>Catering Serving
North Indian</t>
  </si>
  <si>
    <t>Catering Serving</t>
  </si>
  <si>
    <t>Virtuoso Catering House</t>
  </si>
  <si>
    <t>virtuoso-catering-house</t>
  </si>
  <si>
    <t xml:space="preserve">Virtuoso Catering House is a catering company serving all over Noida. He started catering for wedding and other events. With countless clients, ranging from public to private companies, Virtuoso Catering House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Italian Thai
</t>
  </si>
  <si>
    <t>Nandi Caterers</t>
  </si>
  <si>
    <t>nandi-caterers</t>
  </si>
  <si>
    <t>https://virtuosocatering.com/</t>
  </si>
  <si>
    <t>Nandi Caterers is one of the leading catering companies in Delhi. Established in 1975, it has garnered a strong reputation for being one of the finest names for impressive services and cuisines. From the beginning itself Nandi Caterers always maintained quality, integrity and professionalism as its core values, striving to make a difference in each of its flavoursome endeavours. They have skills and expertise to host the biggest events to the smallest of parties. From bespoke menus to impressive presentations, Nandi Caterers is a complete catering company with amazing record for comprehensive services, including decoration to crockery.</t>
  </si>
  <si>
    <t xml:space="preserve">NULL </t>
  </si>
  <si>
    <t>099713 49444</t>
  </si>
  <si>
    <t>Faridabad, Faridabad</t>
  </si>
  <si>
    <t>Faridabad</t>
  </si>
  <si>
    <t>Spice Route Hospitality Services</t>
  </si>
  <si>
    <t>North Indian coastal
hyderabadi
kashmiri
indian street-food
continental
mexican
mediterranean</t>
  </si>
  <si>
    <t>spice-route-hospitality-services</t>
  </si>
  <si>
    <t xml:space="preserve">Spice Route Hospitality Services is a catering company serving all over Gurgaon. He started catering for wedding and other events. With countless clients, ranging from public to private companies, Spice Route Hospitality Services gained a reputation for elegant presentations and impressive services. Be assured of the fact that the food is prepared &amp; served under hygienic conditions and all rates are inclusive of top-class service, crockery &amp; cutlery. Cuisines offered: North Indian South Indian Chinese
</t>
  </si>
  <si>
    <t>87009 15463</t>
  </si>
  <si>
    <t>098730 95279</t>
  </si>
  <si>
    <t>Old Gurgaon, Gurgaon</t>
  </si>
  <si>
    <t>Old Gurgaon</t>
  </si>
  <si>
    <t>Hari Ram Caterers</t>
  </si>
  <si>
    <t>hari-ram-caterers</t>
  </si>
  <si>
    <t>Hari Ram Caterers is a trusted catering company based in Delhi NCR, carrying forward a rich culinary legacy since 1952. Drawing inspiration from the iconic flavours of Old Delhi, the team specialises in delivering premium, customised catering experiences for weddings and celebrations of all kinds. With over seven decades of expertise, they are known for blending traditional recipes with refined presentation and professional service.</t>
  </si>
  <si>
    <t>https://hariramcaterers.in/</t>
  </si>
  <si>
    <t>Mohit Caterers</t>
  </si>
  <si>
    <t>mohit-caterers</t>
  </si>
  <si>
    <t xml:space="preserve">Mohit Caterers is a Delhi based catering company. They started catering for wedding and other events. With countless clients, ranging from public to private companies, Mohit Caterers gained a reputation for elegant presentations and impressive services. Be assured of the fact that the food is prepared &amp; served under hygienic conditions and all rates are inclusive of top-class service, crockery &amp; cutlery. Cuisines offered: North Indian Chinese Desserts
</t>
  </si>
  <si>
    <t>https://wa.me/917291833910</t>
  </si>
  <si>
    <t>Laxmi Nagar, Delhi NCR</t>
  </si>
  <si>
    <t>Laxmi Nagar</t>
  </si>
  <si>
    <t>072918 33910</t>
  </si>
  <si>
    <t xml:space="preserve">Muskan Food Catering is a catering company serving all over Gurgaon. He started catering for wedding and other events. With countless clients, ranging from public to private companies, Muskan Food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</si>
  <si>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Heera Catering Inc</t>
  </si>
  <si>
    <t>heera-catering-inc</t>
  </si>
  <si>
    <t xml:space="preserve">Heera Catering Inc is a catering company serving all over Delhi. Heera Catering Inc started catering for wedding and other events. With countless clients, ranging from public to private companies, Heera Catering Inc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</si>
  <si>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 xml:space="preserve"> 099537 83152</t>
  </si>
  <si>
    <t>R K Puram, Delhi NCR</t>
  </si>
  <si>
    <t>R K Puram</t>
  </si>
  <si>
    <t>Ministry of Taste</t>
  </si>
  <si>
    <t>ministry-of-taste</t>
  </si>
  <si>
    <t xml:space="preserve">Ministry of Taste is a catering company serving all over Noida. He started catering for wedding and other events. With countless clients, ranging from public to private companies, Ministry of Taste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t>
  </si>
  <si>
    <t>Irtaza Catering</t>
  </si>
  <si>
    <t>irtaza-catering</t>
  </si>
  <si>
    <t xml:space="preserve">Irtaza Catering is a catering company serving all over Gurgaon. He started catering for wedding and other events. With countless clients, ranging from public to private companies, Irtaza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</si>
  <si>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97174 10666</t>
  </si>
  <si>
    <t>Cilantro Catering</t>
  </si>
  <si>
    <t>cilantro-catering</t>
  </si>
  <si>
    <t xml:space="preserve">Cilantro Catering are a team that works enthusiastically to deliver food in a way that delights the eyes and is palatable to the tongue! Cilantro Catering are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Maharashtrian
</t>
  </si>
  <si>
    <t>088023 38595</t>
  </si>
  <si>
    <t>North Indian Mughlai
Moroccan</t>
  </si>
  <si>
    <t>Phenomenal food, Outstanding service and stunning presentation are the basic ingredients of every celebration planned at Knife Arts Catering. Established in Delhi to meet the vision of a catering company for vegetarian gourmet events, their menu includes the finest and most elegant vegetarian options from around the world, focusing on delivering impeccable culinary and event services. They ensure that each dish is prepared with locally sourced, seasonal and organic ingredients. The gracious and highly trained staff sets high standards and focuses on making your guests feel welcomed. Cuisine Offered: North Indian South Indian Italian Thai Gujarati Rajasthani</t>
  </si>
  <si>
    <t>https://www.jaincocaterers.online/</t>
  </si>
  <si>
    <t>Food Delecious Caterers</t>
  </si>
  <si>
    <t>food-delecious-caterers</t>
  </si>
  <si>
    <t xml:space="preserve">Delicious Food Caterers is a catering company serving all over Bareilly. He started catering for wedding and other events. With countless clients, ranging from public to private companies, Delicious Food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</si>
  <si>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http://www.deliciousfoodcaterers.co.in/</t>
  </si>
  <si>
    <t>Concuro Catering Services &amp; Events</t>
  </si>
  <si>
    <t>concuro-catering-services-events</t>
  </si>
  <si>
    <t>Concuro Catering Services &amp; Events is a one-stop solution for weddings and events catering and is based in Gurgaon. It is a reputed and renowned catering company offering exceptional services for clients. With a focus on culinary excellence, Concuro Catering Services &amp; Events ensures that every event is deliciously memorable. The team makes sure that the food is prepared and served under hygienic conditions and provided at reasonable rates. They are general caterers providing all services and have a minimum capacity of 25 guests and a maximum capacity of 4000 guests.</t>
  </si>
  <si>
    <t>https://www.facebook.com/ConcuroByManishPandey/</t>
  </si>
  <si>
    <t>093108 12341</t>
  </si>
  <si>
    <t>099711 23242</t>
  </si>
  <si>
    <t>98709 54434</t>
  </si>
  <si>
    <t>North Indian Thai</t>
  </si>
  <si>
    <t>North Indian South Indian
Italian Thai Desserts Chinese</t>
  </si>
  <si>
    <t>Kardamom Katering</t>
  </si>
  <si>
    <t>kardamom-katering</t>
  </si>
  <si>
    <t>Kardamom Katering is a catering business situated in Kirti nagar, Delhi NCR. Weddings in India are grandiose and fervent affairs, with every detail meticulously arranged. The cuisine and food that you will provide on your wedding day will be something that all of your wedding presents will look forward to because it will leave a mark on them as well as on their brains. If you are seeking for a good catering service within the town that can provide you with first-rate services as well as a delectable selection of cuisine, your quest can come to an end here.</t>
  </si>
  <si>
    <t xml:space="preserve">Instagram · kardamom.katering
</t>
  </si>
  <si>
    <t>9912-200-700</t>
  </si>
  <si>
    <t>Kirti Nagar, Delhi NCR</t>
  </si>
  <si>
    <t>Kirti Nagar</t>
  </si>
  <si>
    <t>North Indian Chinese,
Italian,
Desserts,
Japanese,</t>
  </si>
  <si>
    <t>Concuro Catering Services &amp; Events is based in Gurgaon, India.</t>
  </si>
  <si>
    <t>https://kardamomkatering.com/</t>
  </si>
  <si>
    <t xml:space="preserve">Instagram · theunitedcateringservices
</t>
  </si>
  <si>
    <t>North Indian Chinese, Italian, Desserts, Japanese,
Gujarati Rajasthani Maharashtrian</t>
  </si>
  <si>
    <t>Foxnut Catering</t>
  </si>
  <si>
    <t>foxnut-catering</t>
  </si>
  <si>
    <t>In the city of Delhi, there is a catering business referred to as Foxnut Catering. In India, weddings are a huge affair, celebrated with great zeal and with every last detail meticulously arranged. The cuisine and food you will serve on your special day will be something that all of your wedding presents will eagerly anticipate because it can create an impression on them as well as on their brains. Your quest is over if you're seeking for a reputable catering business in the area that can provide you with first-rate services and a delectable selection of meals.</t>
  </si>
  <si>
    <t xml:space="preserve">Instagram · foxnut_catering
</t>
  </si>
  <si>
    <t>084485 71725</t>
  </si>
  <si>
    <t>North Indian Bartender and other bar services
Driver Food</t>
  </si>
  <si>
    <t>Glassware Bartender and other bar services
Driver Food</t>
  </si>
  <si>
    <t>The Salthouse Catering Services</t>
  </si>
  <si>
    <t>the-salthouse-catering-services</t>
  </si>
  <si>
    <t>The Salthouse Catering Services is a catering company serving all over Gurgaon. He started catering for wedding and other events. With countless clients, ranging from public to private companies, The Salthouse Catering Services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</si>
  <si>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https://www.thesalthousecaterers.in/</t>
  </si>
  <si>
    <t>Gourmet Gathering</t>
  </si>
  <si>
    <t>gourmet-gathering</t>
  </si>
  <si>
    <t>Gourmet Gathering is a catering company based in Malviya Nagar of Delhi. Operating since 2022, they are applauded for their top notch offerings and services.</t>
  </si>
  <si>
    <t xml:space="preserve">Instagram · gourmet.gathering
</t>
  </si>
  <si>
    <t xml:space="preserve">98716 13305
</t>
  </si>
  <si>
    <t>Malviya Nagar, Delhi NCR</t>
  </si>
  <si>
    <t>Malviya Nagar</t>
  </si>
  <si>
    <t>North indian Italian
Thai Goan</t>
  </si>
  <si>
    <t>Red Plate: Catering &amp; Events</t>
  </si>
  <si>
    <t>red-plate-catering-events</t>
  </si>
  <si>
    <t>Delhi, the city with a heart, is an amalgamation of the good, the bad and the ugly. The contrasting structural masterpieces contributes most in making Delhi one of the most sort after tourist destination and a great place to plan your destination wedding. Amidst such historic location, Red Plate: Catering and Events, Delhi, NCR is a reliable wedding caterer providing extremely good service with their enthusiasm and dedication to make your special day memorable with their lip-smacking catering services.</t>
  </si>
  <si>
    <t xml:space="preserve">Instagram · redplateevents
</t>
  </si>
  <si>
    <t>Dabbasingh Caterers</t>
  </si>
  <si>
    <t>dabbasingh-caterers</t>
  </si>
  <si>
    <t xml:space="preserve">Dabbasingh Caterers is a renowned personalized catering company that provides services for corporate events, house parties, weddings and any type of informal or formal gathering. Based in the city of Delhi, it is quality driven and client oriented organization which works for customer satisfaction. From a small gathering to a large one, they provide sumptuous food to all kinds of events. Their professional chefs ensure proper hygiene while cooking. The food is prepared with lots of love and affection and is presented in a very innovative manner. Their catering services encompass to every traditional as well as international cuisine. Be ready to wow your guests with some mouth-watering dishes which is going to make them remember your wedding forever. Cuisines Offered: Italian North Indian South Indian Chinese Bengali Gujarati Rajasthani
</t>
  </si>
  <si>
    <t>Banarasiya</t>
  </si>
  <si>
    <t>banarasiya</t>
  </si>
  <si>
    <t xml:space="preserve"> 099999 89980</t>
  </si>
  <si>
    <t>North Indian Gujrati
deserts</t>
  </si>
  <si>
    <t xml:space="preserve">Banarasiya is a Gurgaon based catering company serving all over Delhi NCR. He started catering for wedding and other events. With countless clients, ranging from public to private companies, Banarasiya gained a reputation for elegant presentations and impressive services. Be assured of the fact that the food is prepared &amp; served under hygienic conditions and all rates are inclusive of top-class service, crockery &amp; cutlery. Cuisines offered: Paan Chushki Lemonade
</t>
  </si>
  <si>
    <t>North Indian South Indian
Chinese
Italian
Rajasthani
Gujrati
Maharashtrian
deserts</t>
  </si>
  <si>
    <t>Cuisine n Art</t>
  </si>
  <si>
    <t>cuisine-n-art</t>
  </si>
  <si>
    <t>Founded on 1 January 2014, Cuisine N Art, based in Delhi NCR, aims to redefine fine dining. It is a luxury catering company specializing into Wedding parties, Theme Parties &amp; Corporate Events. Having years of experience in this industry they have well-trained master chefs who cook amazing delicacies for their clients and guests. Ensuring to maintain the hygiene level while cooking the food they believe to satisfy everyone with their mouth-watering food. Presenting their dishes in the most unique and creative manner, Cuisine N Art is a one-stop shop for getting sumptuous cuisines for your pre-wedding and post-wedding functions.</t>
  </si>
  <si>
    <t xml:space="preserve">Instagram · cuisineartcatering
</t>
  </si>
  <si>
    <t>Indian Cuisine International Cuisine
Live Interactive Stations</t>
  </si>
  <si>
    <t>Saucy Feel</t>
  </si>
  <si>
    <t>Kastoori Catering</t>
  </si>
  <si>
    <t>kastoori-catering</t>
  </si>
  <si>
    <t xml:space="preserve">Kastoori Catering is a catering company serving all over Gurugram. He started catering for wedding and other events. With countless clients, ranging from public to private companies, Kastoori Caterings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</si>
  <si>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Sector 15, Gurgaon</t>
  </si>
  <si>
    <t>Sector 15</t>
  </si>
  <si>
    <t>saucy-feel</t>
  </si>
  <si>
    <t xml:space="preserve">Saucy Feel is a catering company serving all over Delhi. He started catering for wedding and other events. With countless clients, ranging from public to private companies, Saucy Feel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</si>
  <si>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https://spicy-n-saucy.grexa.site/</t>
  </si>
  <si>
    <t xml:space="preserve">The Heritage Catering is a catering company serving all over Gurgaon. He started catering for wedding and other events. With countless clients, ranging from public to private companies, Dutta Caterers and Decorators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t>
  </si>
  <si>
    <t>099903 51299</t>
  </si>
  <si>
    <t>096500 60855</t>
  </si>
  <si>
    <t>Preet Caterers</t>
  </si>
  <si>
    <t>preet-caterers</t>
  </si>
  <si>
    <t>Kalash Cuisines</t>
  </si>
  <si>
    <t xml:space="preserve">Preet Caterers is a team that works enthusiastically to deliver food in a way that delights the eyes and is palatable to the tongue! Preet Caterers is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
</t>
  </si>
  <si>
    <t>kalash-cuisines</t>
  </si>
  <si>
    <t>https://preet-caterers.grexa.site/</t>
  </si>
  <si>
    <t xml:space="preserve">Kalash cuisines are a team that works enthusiastically to deliver food in a way that delights the eyes and is palatable to the tongue! Kalash cuisines are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
</t>
  </si>
  <si>
    <t>98109 81355</t>
  </si>
  <si>
    <t>West Delhi, Delhi NCR</t>
  </si>
  <si>
    <t>West Delhi</t>
  </si>
  <si>
    <t>Dry Curry Foodworks</t>
  </si>
  <si>
    <t>dry-curry-foodworks</t>
  </si>
  <si>
    <t>Dry Curry Foodworks are a professional wedding caterers based in Delhi, providing their services throughout the NCR region. Their passion for bringing food and people together shines through in beautiful, flavor-filled home-style cooking. They are one of the best caterers in the city not only for their quality but also for their end to end services and complete customer satisfaction. Dry Curry Foodworks also provide delectable cuisine and services for outstation and destination weddings. Dry Curry Foodworks is an ideal choice for those that love exotic and flavorful dishes and want their wedding menu to consist a wide variety of choices. They specialize in a range of cuisines from all over India, North Indian, South Indian, Bengali, Gujarati, Maharashtra as well as International cuisine like Greek, Lebanese, Thai. Indian weddings are undoubtedly all about food, it’s what your guests will be talking about even after the celebrations are over. As such it is extremely important to select the right catering service that will guarantee a unique culinary experience. With Dry Curry Foodworks you will have nothing to worry about as they take care of all your requirements and preferences and promise an array of delightful and scrumptious dishes that will leave your guests amazed.</t>
  </si>
  <si>
    <t>Central Park Catering Service</t>
  </si>
  <si>
    <t>central-park-catering-service</t>
  </si>
  <si>
    <t xml:space="preserve">Central Park Catering Service is a catering company serving all over Gurgaon. He started catering for wedding and other events. With countless clients, ranging from public to private companies, Central Park Catering Service gained a reputation for elegant presentations and impressive services. Be assured of the fact that the food is prepared &amp; served under hygienic conditions and all rates are inclusive of top-class service, crockery &amp; cutlery. Cuisines offered: North Indian South Indian Chinese
</t>
  </si>
  <si>
    <t>Sector 47, Gurgaon</t>
  </si>
  <si>
    <t>Sector 47</t>
  </si>
  <si>
    <t>Mirch Masala Caterers</t>
  </si>
  <si>
    <t>mirch-masala-caterers</t>
  </si>
  <si>
    <t>Mirch masala caterers started back in the year 2000 and are based in Delhi NCR. Since then it has been satisfying its customers with provisions for all kinds of auspicious events and gatherings offering sumptuous variety of menus. To meet the vision of a catering company, their menu includes the finest and most elegant vegetarian options from around the world, focusing on delivering impeccable culinary and event services.</t>
  </si>
  <si>
    <t>https://www.mirchmasalacaterers.com/</t>
  </si>
  <si>
    <t>The Grub House</t>
  </si>
  <si>
    <t>the-grub-house</t>
  </si>
  <si>
    <t xml:space="preserve">Having a year of experience, The Grub House, located in Delhi enjoys the rare distinction of being an all in one organizer for all types of functions that their clients could think of hosting. Be it birthdays or weddings their skilled team can easily manage all aspects of these functions from the beginning till the very end. They will make your special event memorable not only for you but, for every one of your guests. Their exquisite &amp; innovative food, spectacular presentation &amp; unfailing service has enabled The Grub House to create a seamless match in New Delhi &amp; other cities. They provide only vegetarian food. Cuisines Offered: North Indian South Indian Chinese Japanese Italian Greek Lebanese Thai Desserts Bengali Gujarati Rajasthani Goan Maharashtrian
</t>
  </si>
  <si>
    <t>Royal Affairs Catering</t>
  </si>
  <si>
    <t>royal-affairs-catering</t>
  </si>
  <si>
    <t>78380 81940</t>
  </si>
  <si>
    <t xml:space="preserve">Royal Affairs Catering is a catering company serving all over Gurugram. He started catering for wedding and other events. With countless clients, ranging from public to private companies, Royal Affairs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</si>
  <si>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https://royalaffairs.in/</t>
  </si>
  <si>
    <t>Sparklin Hotel &amp; Caterers</t>
  </si>
  <si>
    <t>sparklin-hotel-caterers</t>
  </si>
  <si>
    <t xml:space="preserve">Sparklin Hotel &amp; Caterers is a Delhi based catering company. It was started by Arvind. He started catering for wedding and other events. With countless clients, ranging from public to private companies, Kang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Italian Desserts Italian Rajasthani Gujarati
</t>
  </si>
  <si>
    <t xml:space="preserve"> 098117 27475</t>
  </si>
  <si>
    <t xml:space="preserve"> 079857 06795</t>
  </si>
  <si>
    <t>Sector 14, Gurgaon</t>
  </si>
  <si>
    <t>Sector 14</t>
  </si>
  <si>
    <t xml:space="preserve">Katraaneel Kitchens is a catering company serving all over Noida. He started catering for wedding and other events. With countless clients, ranging from public to private companies, Katraaneel Kitchens gained a reputation for elegant presentations and impressive services. Be assured of the fact that the food is prepared &amp; served under hygienic conditions and all rates are inclusive of top-class service, crockery &amp; cutlery. Cuisines offered: North Indian Thai Chinese Desserts
</t>
  </si>
  <si>
    <t>Vibe Catering</t>
  </si>
  <si>
    <t>vibe-catering</t>
  </si>
  <si>
    <t>Vibe is a premium catering company that meets the needs of clients needs all over Delhi NCR as well different parts of India. They started their venture focussing on premium weddings and other prestigious corporate events. With countless clients, ranging from public to private companies, Vibe Catering has gained a reputation for elegant presentations and impressive services. The food is prepared under the watchful eyes of their top chefs , incorporating hygienic conditions at the central kitchen.</t>
  </si>
  <si>
    <t xml:space="preserve">
Instagram · vibethecateringcompany
</t>
  </si>
  <si>
    <t>096676 03072</t>
  </si>
  <si>
    <t>Chef's Kitchen Caterers</t>
  </si>
  <si>
    <t>Pan Asian Authentic local</t>
  </si>
  <si>
    <t>chef-s-kitchen-caterers</t>
  </si>
  <si>
    <t xml:space="preserve">Chef's Kitchen Caterers is a catering company serving all over Gurgaon. He started catering for wedding and other events. With countless clients, ranging from public to private companies, Chef's Kitchen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</si>
  <si>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https://www.cuisineo.co/</t>
  </si>
  <si>
    <t xml:space="preserve"> 099583 49333</t>
  </si>
  <si>
    <t>Beyond Cuisine</t>
  </si>
  <si>
    <t>beyond-cuisine</t>
  </si>
  <si>
    <t xml:space="preserve">Beyond Cuisine is a Delhi based catering company. It was started by Namit. He started catering for wedding and other events. With countless clients, ranging from public to private companies, Beyond Cuisine gained a reputation for elegant presentations and impressive services. Be assured of the fact that the food is prepared &amp; served under hygienic conditions and all rates are inclusive of top-class service, crockery &amp; cutlery. Cuisines offered: North Indian South Indian Chinese Italian Desserts Rajasthani Maharashtrian Gujarati
</t>
  </si>
  <si>
    <t>The Kitchen Art Co. ™ (TKAC)</t>
  </si>
  <si>
    <t>the-kitchen-art-co-tkac</t>
  </si>
  <si>
    <t xml:space="preserve">Based out in Delhi, The Kitchen Art Co. already a well known name in the City. They have achieved many a milestones by providing top notch service and culinary excellence at hundreds of weddings and special occasions. Their delectable food, first class presentation and careful attention to our product and the needs of our clients has resulted in 5 wonderful years of critical acclaim, and a sterling reputation among our many happy clients and their guests. Their goal is not simply to make your event a beautiful and joyful experience, but to craft a unique event that will transcend your every expectation. They specialize in: North Indian South Indian Chinese Japanese Italian Greek Lebanese Thai Desserts Bengali Gujarati Rajasthani Goan Maharashtrian
</t>
  </si>
  <si>
    <t>https://www.tkac.in/</t>
  </si>
  <si>
    <t>Mr Cook Organic</t>
  </si>
  <si>
    <t>mr-cook-organic</t>
  </si>
  <si>
    <t>Mr Cook Organic is a wedding catering service. They provide all round reception to their patrons, by setting new standards through potent and impressive catering with each event. The company’s secret lies in offering heavenly food items paired with fascination and good conduct, making people happy through food. Mr Cook Organic makes sure that you receive exclusive wedding catering services, corporate catering and outdoor catering services with the usage of quality raw materials to attain customer’s satisfaction.</t>
  </si>
  <si>
    <t>97170 93536</t>
  </si>
  <si>
    <t>R S Tent &amp;  Cateres</t>
  </si>
  <si>
    <t>r-s-tent-cateres</t>
  </si>
  <si>
    <t xml:space="preserve">R S Tent &amp; Caterers is a catering company serving all over Ghaziabad. He started catering for wedding and other events. With countless clients, ranging from public to private companies, R S Tent &amp;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t>
  </si>
  <si>
    <t>Mr Cook Organic is a wedding catering service. They provide all round reception to their patrons by setting new standards through potent and impressive catering with each event. The company’s secret lies in offering heavenly food items paired with fascination and good conduct making people happy through food. Mr Cook Organic makes sure that you receive exclusive wedding catering services corporate catering and outdoor catering services with the usage of quality raw materials to attain customer’s satisfaction.</t>
  </si>
  <si>
    <t>North Indian Japanese Lebanese Bengali Gujarati
Rajasthani Goan Maharashtrian</t>
  </si>
  <si>
    <t>Ghaziabad, Ghaziabad</t>
  </si>
  <si>
    <t>Ghaziabad</t>
  </si>
  <si>
    <t>Sartaj Catering Services</t>
  </si>
  <si>
    <t>Flavour House by Royal Imperial Feast</t>
  </si>
  <si>
    <t>sartaj-catering-services</t>
  </si>
  <si>
    <t>flavour-house-by-royal-imperial-feast</t>
  </si>
  <si>
    <t>Flavour House by Royal Imperial Feast, is situated in East Delhi and provides food catering services. Since its inception in 2020, the team has consistently impressed clients with their exquisite culinary creations, showcasing a commitment to quality in every dish they serve.</t>
  </si>
  <si>
    <t xml:space="preserve">Sartaj Catering Services is a catering company serving in Gurgaon. He started catering for wedding and other events. With countless clients, ranging from public to private companies, Sartaj Catering Services gained a reputation for elegant presentations and impressive services. Be assured of the fact that the food is prepared &amp; served under hygienic conditions and all rates are inclusive of top-class service, crockery &amp; cutlery. Sartaj Catering Services incorporate Style in every food we serve, to make your event astonishing, graceful &amp; memorable. They present you a wide range of multi-cuisine to choose from according to your choice, taste &amp; gathering. They are always up- to- date with the latest décor style . Cuisines offered: North Indian South Indian Chinese Italian Desserts Gujarati Rajasthani
</t>
  </si>
  <si>
    <t>https://theroyalimperialfeast.com/</t>
  </si>
  <si>
    <t>https://sartaj.co.in/</t>
  </si>
  <si>
    <t>Dishout Catering</t>
  </si>
  <si>
    <t>dishout-catering</t>
  </si>
  <si>
    <t xml:space="preserve">Dishout Catering is a catering company serving all over Noida. He started catering for wedding and other events. With countless clients, ranging from public to private companies, Dishout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</si>
  <si>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r>
      <rPr>
        <rFont val="Calibri"/>
        <sz val="11.0"/>
      </rPr>
      <t xml:space="preserve"> </t>
    </r>
    <r>
      <rPr>
        <rFont val="Calibri"/>
        <color rgb="FF1155CC"/>
        <sz val="11.0"/>
        <u/>
      </rPr>
      <t>dishoutcatering.in</t>
    </r>
  </si>
  <si>
    <t>098101 70164</t>
  </si>
  <si>
    <t xml:space="preserve"> 098115 87220</t>
  </si>
  <si>
    <t>East Delhi, Delhi NCR</t>
  </si>
  <si>
    <t>East Delhi</t>
  </si>
  <si>
    <t>97166 90690</t>
  </si>
  <si>
    <t>North Indian The caterers offer an extensive range of culinary options, catering to a wide array of tastes and dietary requirements, ensuring that every guest finds something to enjoy.
They maintain exceptional hygiene practices and utilise premium crockery and cutlery.
The visual appeal of their food presentation matches the delightful flavours of their food.</t>
  </si>
  <si>
    <t>Thai Kitchen Delhi</t>
  </si>
  <si>
    <t>Food Fiesta</t>
  </si>
  <si>
    <t>thai-kitchen-delhi</t>
  </si>
  <si>
    <t>food-fiesta</t>
  </si>
  <si>
    <t xml:space="preserve">Food Fiesta Caterers is a team that works enthusiastically to deliver food in a way that delights the eyes and is palatable to the tongue! Food Fiesta Caterers is based in the city of New Delhi . They enjoy what they do as a team and ensure that the quality is nothing less than delightful. The team is led by experienced caterers, who works fervently for the comfort and satisfaction of the client. Be sure to give them the privilege of catering on your special day if you have a good feeling about them! Cuisines Offered: North Indian South Indian Chinese Italian Thai Desserts Gujarati Rajasthani
</t>
  </si>
  <si>
    <t xml:space="preserve">In Gurgaon, there is a catering business called Thai Kitchen Delhi. Quite possibly of the most critical and vital event in an individual's life is their wedding, and they believe that each and every part of their important day should be exquisite and wonderful so it will be a memorable festival. Food is one component that is constantly associated with any festival, however outstandingly weddings when the hosts just need the best and most delightful presentation of cooking that can take every one of their visitors on a culinary journey that they would recall for the years to come. Thai Kitchen Delhi is a brand you can trust assuming you're looking for a respectable cooking business in the space that will just offer you the best. They will masterfully deal with each culinary part of your wedding and proposition you a flavorful assortment of foods that you will not have the option to eat enough of. They can oblige quite a few guests you have as a top priority and assurance the best expectations in both food and administrations. Everybody of your guests will get the best feast administration from them.
</t>
  </si>
  <si>
    <t>Aggarwal Catering N Events</t>
  </si>
  <si>
    <t>https://www.foodfiesta.in/</t>
  </si>
  <si>
    <t>aggarwal-catering-n-events</t>
  </si>
  <si>
    <t>DLF Phase 3, Gurgaon</t>
  </si>
  <si>
    <t>Aggarwal Catering N Events is a Ghaziabad-based wedding catering company that caters to all special occasions, from intimate gatherings to large weddings. With an emphasis on fresh ingredients and distinctively flavorful creations, they offer a wealth of diverse cuisines to fulfill any desire. They also offer a full selection of starters, accompaniments, desserts, beverages, and spices. With their knowledgeable and accommodating personnel, they make sure that every event is an unforgettable success. With so many services to choose from, you can trust that Aggarwal Catering N Events will provide the perfect catering solution for your special event. Their highly-trained and experienced staff will collaborate with you in order to make sure that your special day goes smoothly. From customized menus to beverages, no detail is overlooked in order to make sure that your wedding is a celebration to remember.</t>
  </si>
  <si>
    <t>DLF Phase 3</t>
  </si>
  <si>
    <t>Indirapuram, Ghaziabad</t>
  </si>
  <si>
    <t>North Indian Treats</t>
  </si>
  <si>
    <t>Aggarwal Catering N Events is a Ghaziabad-based wedding catering company that caters to all special occasions from intimate gatherings to large weddings. With an emphasis on fresh ingredients and distinctively flavorful creations they offer a wealth of diverse cuisines to fulfill any desire. They also offer a full selection of starters accompaniments beverages and spices. With their knowledgeable and accommodating personnel
they make sure that every event is an unforgettable success. With so many services to choose from you can trust that Aggarwal Catering N Events will provide the perfect catering solution for your special event. Their highly-trained and experienced staff will collaborate with you in order to make sure that your special day goes smoothly. From customized menus to beverages no detail is overlooked in order to make sure that your wedding is a celebration to remember.</t>
  </si>
  <si>
    <t xml:space="preserve">79857 06795
</t>
  </si>
  <si>
    <t>Aggarwal Catering N Events is a catering company based in Ghaziabad.</t>
  </si>
  <si>
    <t>Gourmet Spice</t>
  </si>
  <si>
    <t>gourmet-spice</t>
  </si>
  <si>
    <t>Gourmet Spice is a wedding catering company that is based in Delhi. Having more than 2 years of experience in the industry they have well-trained master chefs who cook delicious cuisines for their clients and guests. Presenting their dishes in the most unique and creative manner, Gourmet Spice is a one-stop shop for getting sumptuous cuisines for your pre-wedding and post-wedding functions. Cuisines &amp; Capacity: Gourmet Spice provides both veg and Non-Veg Menu. They offer the following cuisines: North Indian South Indian Italian Lebanese Thai Chinese Rajasthani Desserts</t>
  </si>
  <si>
    <t xml:space="preserve">The Salthouse Catering Services is a catering company serving all over Gurgaon. He started catering for wedding and other events. With countless clients, ranging from public to private companies, The Salthouse Catering Services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</si>
  <si>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98716 13305</t>
  </si>
  <si>
    <t>Fusion Of Flavours</t>
  </si>
  <si>
    <t>fusion-of-flavours</t>
  </si>
  <si>
    <t>Red And Greens</t>
  </si>
  <si>
    <t>red-and-greens</t>
  </si>
  <si>
    <t xml:space="preserve">Fusion Of Flavours is a catering company serving all over Delhi. He started catering for wedding and other events. With countless clients, ranging from public to private companies, Fusion Of Flavours gained a reputation for elegant presentations and impressive services. Be assured of the fact that the food is prepared &amp; served under hygienic conditions and all rates are inclusive of top-class service, crockery &amp; cutlery. Cuisines offered: North Indian South Indian Chinese
</t>
  </si>
  <si>
    <t>redngreens.co.uk</t>
  </si>
  <si>
    <t>Noida, Delhi NCR</t>
  </si>
  <si>
    <t>The Food Affairs by Sarita Bazaz</t>
  </si>
  <si>
    <t>the-food-affairs-by-sarita-bazaz</t>
  </si>
  <si>
    <t>The Food Affairs, led by Sarita Bazaz, is a 30 years old high-end catering company that offers a plethora of delicious cuisines. Their commitment to excellence is evident in every aspect of their services, making them the surefire choice for wedding catering. They devote ourselves to offering unparalleled hospitality &amp; impeccable food with authentic flavours. Which is done via procuring only the freshest, premium ingredients, ensuring superior food quality that leaves an everlasting impression. Their forte lies in innovating &amp; reinventing recipes so no two events are the same. Their Guests Don't Eat, They Feast!</t>
  </si>
  <si>
    <t>https://thefoodaffairs.com/</t>
  </si>
  <si>
    <t>Palam Vihar, Gurgaon</t>
  </si>
  <si>
    <t>Palam Vihar</t>
  </si>
  <si>
    <t xml:space="preserve"> 076692 83334</t>
  </si>
  <si>
    <t>Brijwasan, Delhi NCR</t>
  </si>
  <si>
    <t>Brijwasan</t>
  </si>
  <si>
    <t>Ankit Multi Cuisine Catering</t>
  </si>
  <si>
    <t>ankit-multi-cuisine-catering</t>
  </si>
  <si>
    <t>Ankit Multi Cuisine Catering are a team that works enthusiastically to deliver food in a way that delights the eyes and is palatable to the tongue! Ankit Multi Cuisine Catering are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t>
  </si>
  <si>
    <t>Pawan Caterers</t>
  </si>
  <si>
    <t>pawan-caterers</t>
  </si>
  <si>
    <t xml:space="preserve">Pawan Caterers is a catering company serving all over Gurgaon. He started catering for wedding and other events. With countless clients, ranging from public to private companies, Pawan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</si>
  <si>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https://www.pawancaterershasija.in/</t>
  </si>
  <si>
    <t>Shervani Kitchen</t>
  </si>
  <si>
    <t>shervani-kitchen</t>
  </si>
  <si>
    <t>Shervani Kitchen is a wedding catering company based in Delhi. Having years of experience they have chefs who are well trained and who cook authentic food for your menu. They are into a lot of cuisines from vegetarian to Non- vegetarian having wide variety menu for you. They ensure to maintain hygiene level while preparing as well as serving the food. They present their food in the most unique manner. They have a huge menu from which you can shortlist the best items as per you and they would ensure that the food they prepare the taste buds would relish them as well as the guests would drool over it.</t>
  </si>
  <si>
    <t>https://www.shervanihotels.com/nehru-place-new-delhi/</t>
  </si>
  <si>
    <t>99103 47224</t>
  </si>
  <si>
    <t>Pink Diamond Catering</t>
  </si>
  <si>
    <t>pink-diamond-catering</t>
  </si>
  <si>
    <t xml:space="preserve">011 4680 1000
</t>
  </si>
  <si>
    <t>Pink Diamond Catering is a catering company serving all over Noida . They started catering for wedding and other events. With countless clients, ranging from public to private companies, Pink Diamond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</si>
  <si>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Creative Food Catering</t>
  </si>
  <si>
    <t>creative-food-catering</t>
  </si>
  <si>
    <t xml:space="preserve">Irtaza Catering is a catering company serving all over Gurgaon. He started catering for wedding and other events. With countless clients, ranging from public to private companies, Irtaza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</si>
  <si>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 xml:space="preserve">Creative Food Catering is a catering company serving all over Gurgaon. He started catering for wedding and other events. With countless clients, ranging from public to private companies, Creative Food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t>
  </si>
  <si>
    <t>Sanwaria Caterers</t>
  </si>
  <si>
    <t>sanwaria-caterers</t>
  </si>
  <si>
    <t>Sanwaria Caterers is a catering company serving all over Noida. He started catering for wedding and other events. With countless clients, ranging from public to private companies, Sanwaria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</si>
  <si>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Sector 13, Gurgaon</t>
  </si>
  <si>
    <t>Sector 13</t>
  </si>
  <si>
    <t>The Basil Kitchen</t>
  </si>
  <si>
    <t>the-basil-kitchen</t>
  </si>
  <si>
    <t>The Basil Kitchen is a Delhi NCR based catering service provider. Their mission is to specialize in partnering with their discerning Guests to create elegant, memorable experiences. Whether it is a wedding, corporate gathering, or other special occasion, they are committed to providing impeccable service and hand-prepared cuisine in warm, timeless settings. They offer their expertise for Weddings, Corporate events, Private parties and Special events. They have been in association with WMG for more than 3 years and have never seize to present their lip smacking cuisines that leaves a long lasting impression on each and every guest.</t>
  </si>
  <si>
    <t>https://www.thebasilkitchen.in/basil/welcome?fbclid=IwY2xjawSN8OoBHSoS_0lGR6TKyEsDk2yyM3xi2tLfb4a6i6R70oER5zjJ1Rx-fWL8dppWZw</t>
  </si>
  <si>
    <t>Saini Caterers</t>
  </si>
  <si>
    <t>A One Caterers and Hospitality</t>
  </si>
  <si>
    <t>saini-caterers</t>
  </si>
  <si>
    <t>a-one-caterers-and-hospitality</t>
  </si>
  <si>
    <t xml:space="preserve">Saini Caterers is a catering company serving all over Gurgaon. He started catering for wedding and other events. With countless clients, ranging from public to private companies, Saini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</si>
  <si>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A One Caterers and Hospitality is a catering company serving all over Noida. He started catering for wedding and other events. With countless clients, ranging from public to private companies, A One Caterers And Hospitality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</si>
  <si>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98997 95719</t>
  </si>
  <si>
    <t>Sector 7, Gurgaon</t>
  </si>
  <si>
    <t>Sector 7</t>
  </si>
  <si>
    <t>098118 20807</t>
  </si>
  <si>
    <t>Off Premise Catering Wedding Catering
Corporate Catering
Indian Food
Modern European Food
Pan Asian Food
Mediterranean Food</t>
  </si>
  <si>
    <t>The Singhs Food Company</t>
  </si>
  <si>
    <t>the-singhs-food-company</t>
  </si>
  <si>
    <t>The Singhs Food Company is a team that works enthusiastically to deliver food in a way that delights the eyes and is palatable to the tongue! The team of The Singhs Food Company is based in Noida, Delhi NCR. They enjoy what they do as a team and ensure that the quality is nothing less than delightful. The team is led by Mr. Tejendra Singh who works fervently for the comfort and satisfaction of the client. Be sure to give them the privilege of catering on your special day if you have a good feeling about them!</t>
  </si>
  <si>
    <t>Khana Mantra</t>
  </si>
  <si>
    <t>khana-mantra</t>
  </si>
  <si>
    <t xml:space="preserve">Khana Mantra is a catering company serving all over Gurugram. He started catering for wedding and other events. With countless clients, ranging from public to private companies, Khana Mantra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</si>
  <si>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South City 1, Gurgaon</t>
  </si>
  <si>
    <t>South City 1</t>
  </si>
  <si>
    <t>The Singhs Food Company is a team that works enthusiastically to deliver food in a way that delights the eyes and is palatable to the tongue! The team of The Singhs Food Company is based in Noida Delhi NCR. They enjoy what they do as a team and ensure that the quality is nothing less than delightful. The team is led by Mr. Tejendra Singh who works fervently for the comfort and satisfaction of the client. Be sure to give them the privilege of catering on your special day if you have a good feeling about them!</t>
  </si>
  <si>
    <t>Food Inc By The Yum Yum Tree</t>
  </si>
  <si>
    <t>food-inc-by-the-yum-yum-tree</t>
  </si>
  <si>
    <t>Owned by Delhi-based restaurateur Varun Tuli, Food, Inc. Catering by the Yum Yum Tree is your one-stop buy your meals on the marriage day. Be it delicious starters, sumptuous cuisines set on the table or the wedding dinner, they are experienced to serve the best! When you hire Food, Inc. Catering by the Yum Yum Tree, the management makes sure that the food served will be hand-picked by you and hygienically-cooked by them! Food Inc Catering is a Delhi-based company which creates a world of delicious flavours and enticing presentations for all kinds of occasions and events. It is one of the leading companies to offer premium services that reflect the expectations and preferences of its clients.</t>
  </si>
  <si>
    <t>https://theyumyumtree.in/</t>
  </si>
  <si>
    <t>Dark Rose Caterers &amp; Events</t>
  </si>
  <si>
    <t>dark-rose-caterers-events</t>
  </si>
  <si>
    <t>https://www.mangalamcaterers.in/</t>
  </si>
  <si>
    <t>Dark Rose Caterers &amp; Events is located in DLF Phase 3 of Gurugram and offers food catering as well as event management services. This company which started in 2011 is known for their top notch offerings for various events.</t>
  </si>
  <si>
    <t>https://drcevent.com/</t>
  </si>
  <si>
    <t>Indian Pakistani
Coastal European</t>
  </si>
  <si>
    <t>North indian Deserts</t>
  </si>
  <si>
    <t xml:space="preserve">KANAK by Chef Sanjeev is a catering company serving all over Gurgaon. He started catering for wedding and other events. With countless clients, ranging from public to private companies, KANAK by Chef Sanjeev gained a reputation for elegant presentations and impressive services. Be assured of the fact that the food is prepared &amp; served under hygienic conditions and all rates are inclusive of top-class service, crockery &amp; cutlery. Cuisines offered: North Indian South Indian Desserts
</t>
  </si>
  <si>
    <t>Rohilla Caterers</t>
  </si>
  <si>
    <t>rohilla-caterers</t>
  </si>
  <si>
    <r>
      <rPr/>
      <t xml:space="preserve">facebook </t>
    </r>
    <r>
      <rPr>
        <color rgb="FF1155CC"/>
        <u/>
      </rPr>
      <t>https://www.facebook.com/Kanakbychefsanjeev/</t>
    </r>
  </si>
  <si>
    <t>Rohilla caterers is a reputed catering company based in Gurgaon. They are known for their fantastic meals with exemplary services. Food is probably one of the most important parts of weddings and other celebrations. Rohilla caterers make sure that hygiene is maintained in the preparation of food. With an experience of over 5 years, they make sure that the customers are satisfied and the wedding guests are mesmerised by the cuisines and the services provided. If you are looking for caterers that do vegetarian only cuisines and meals, Rohilla caterers is surely one of the best caterers in Gurgaon. They have a minimum capacity of 200 people and offer different mouth watering cuisines.</t>
  </si>
  <si>
    <t>Ramkrishna Catering Service</t>
  </si>
  <si>
    <t>ramkrishna-catering-service</t>
  </si>
  <si>
    <t>Ramkrishna Catering Service is a catering company serving all over Ghaziabad. He started catering for wedding and other events. With countless clients, ranging from public to private companies, Ramkrishna Catering Service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</si>
  <si>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North Indian Chinese And to add a cherry on top, they provide amazing desserts which are irresistible for anyone. Delicious and mouth watering desserts are a special part of occasions and Rohilla caterers make sure that they make your special day more special by adding that special touch to the celebration.</t>
  </si>
  <si>
    <t xml:space="preserve"> 089295 51204</t>
  </si>
  <si>
    <t>Sugandh Catering</t>
  </si>
  <si>
    <t>sugandh-catering</t>
  </si>
  <si>
    <t>Aggarwal Tent Decorator &amp; Caters</t>
  </si>
  <si>
    <t>aggarwal-tent-decorator-caters</t>
  </si>
  <si>
    <t>A celebration is all about great food and a good time. Aggarwal Tent Decorator &amp; Caters is a full-service catering company, combining innovative catered food with superior customer service and is leading catering services in the greater city of Chennai and its sub-areas. They ensure to use high-quality ingredients to provide their customers with a first-class gourmet food experience that will leave your taste buds for joy. They serve vegetarian and non-vegetarian foods for a small casual gathering to a lavish party. Cuisines Offered: North Indian South Indian Desserts</t>
  </si>
  <si>
    <t xml:space="preserve">Banarasiya is a Gurgaon based catering company serving all over Delhi NCR. He started catering for wedding and other events. With countless clients, ranging from public to private companies, Banarasiya gained a reputation for elegant presentations and impressive services. Be assured of the fact that the food is prepared &amp; served under hygienic conditions and all rates are inclusive of top-class service, crockery &amp; cutlery. Cuisines offered: Paan Chushki Lemonade
</t>
  </si>
  <si>
    <t>072192 22727</t>
  </si>
  <si>
    <t>Cheffed For You</t>
  </si>
  <si>
    <t>Gurgaon Caterers</t>
  </si>
  <si>
    <t>cheffed-for-you</t>
  </si>
  <si>
    <t>gurgaon-caterers</t>
  </si>
  <si>
    <t>Cheffed For You is a catering company serving all over Noida. The team started catering for weddings and other events. With countless clients, ranging from public to private companies, Cheffed For You gained a reputation for elegant presentations and impressive services. Be assured of the fact that the food is prepared &amp; served under hygienic conditions and all rates are inclusive of top-class service, crockery &amp; cutlery. Cuisines offered: North Indian Chinese Desserts Thai</t>
  </si>
  <si>
    <t xml:space="preserve">Gurgaon Caterers is a catering company serving all over Gurgaon. He started catering for wedding and other events. With countless clients, ranging from public to private companies, Gurgaon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</si>
  <si>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Nitin Caterers</t>
  </si>
  <si>
    <t>nitin-caterers</t>
  </si>
  <si>
    <t xml:space="preserve">Nitin Caterers is a Delhi based catering company. It was started by Nitin. He started catering for wedding and other events. With countless clients, ranging from public to private companies, Nitin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t>
  </si>
  <si>
    <t>House of Rakabdar</t>
  </si>
  <si>
    <t>house-of-rakabdar</t>
  </si>
  <si>
    <t>The Sharp Knife</t>
  </si>
  <si>
    <t>the-sharp-knife</t>
  </si>
  <si>
    <t xml:space="preserve">House of Rakabdar is a catering company serving all over Gurgaon. He started catering for wedding and other events. With countless clients, ranging from public to private companies, House of Rakabdar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</si>
  <si>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 xml:space="preserve">The Sharp Knife is a catering company serving all over Noida. The Sharp Knife started catering for wedding and other events. With countless clients, ranging from public to private companies, The Sharp Knife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</si>
  <si>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Eleven Course by Jain Caterer</t>
  </si>
  <si>
    <r>
      <rPr>
        <rFont val="Calibri"/>
        <color rgb="FF000000"/>
        <sz val="11.0"/>
      </rPr>
      <t xml:space="preserve">instagram    </t>
    </r>
    <r>
      <rPr>
        <rFont val="Calibri"/>
        <color rgb="FF1155CC"/>
        <sz val="11.0"/>
        <u/>
      </rPr>
      <t>https://www.instagram.com/house_of_rakabdar/?hl=en</t>
    </r>
  </si>
  <si>
    <t>eleven-course-by-jain-caterer</t>
  </si>
  <si>
    <t>East Delhi, Noida</t>
  </si>
  <si>
    <t xml:space="preserve">Eleven Course by Jain Caterer is a catering company serving all over Delhi NCR. He started catering for wedding and other events. With countless clients, ranging from public to private companies, Eleven Course by Jain Caterer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</si>
  <si>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https://www.elevencourse.com/</t>
  </si>
  <si>
    <t>098112 37638</t>
  </si>
  <si>
    <t>Rohini, Delhi NCR</t>
  </si>
  <si>
    <t>RabSukh Events</t>
  </si>
  <si>
    <t>Rohini</t>
  </si>
  <si>
    <t>rabsukh-events</t>
  </si>
  <si>
    <t>78383 75644</t>
  </si>
  <si>
    <t>RabSukh Events is a catering company serving all over Ghaziabad. He started catering for wedding and other events. With countless clients, ranging from public to private companies, RabSukh Events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</si>
  <si>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Ghaziabad, Noida</t>
  </si>
  <si>
    <t>Cuisines n Concepts</t>
  </si>
  <si>
    <t>cuisines-n-concepts</t>
  </si>
  <si>
    <t>Cuisines and Concepts is a prestigious catering company that serves clients throughout Delhi. Their journey in the catering business began with a focus on weddings and various events. Over time, they have amassed a diverse clientele, ranging from the public to private companies. Cuisines and Concepts has garnered a reputation for their elegant presentations and impressive catering services. Clients can rest assured that their food is meticulously prepared and served under hygienic conditions. Moreover, all their rates are inclusive of top-class service, as well as high-quality crockery and cutlery.</t>
  </si>
  <si>
    <t>98711 96926</t>
  </si>
  <si>
    <t>Saket, Delhi NCR</t>
  </si>
  <si>
    <t>Saket</t>
  </si>
  <si>
    <t>Box24*7 Caterers</t>
  </si>
  <si>
    <t>box24-7-caterers</t>
  </si>
  <si>
    <t>AV Caterer &amp; Event Company</t>
  </si>
  <si>
    <t>av-caterer-event-company</t>
  </si>
  <si>
    <t>AV Caterer and Event Company is a wedding catering service. They provide complete hospitality solutions, by setting new benchmarks through an effective and efficient catering with each event. The company, AV Caterer and Event Company’s success lies in offering scrumptious food items and the pairing of discipline and passion of making people happy through food.</t>
  </si>
  <si>
    <t>083681 18721</t>
  </si>
  <si>
    <t>AV Caterer and Event Company is a wedding catering service. They provide complete hospitality solutions by setting new benchmarks through an effective and efficient catering with each event. The company AV Caterer and Event Company’s success lies in offering scrumptious food items and the pairing of discipline and passion of making people happy through food.</t>
  </si>
  <si>
    <t>North Indian South Indian Italian
Chinese Continental</t>
  </si>
  <si>
    <t>https://instagram.com/garammasala_flavoursofindia</t>
  </si>
  <si>
    <t>DGR Caterers</t>
  </si>
  <si>
    <t>Velvet Vapour Hookah</t>
  </si>
  <si>
    <t>dgr-caterers</t>
  </si>
  <si>
    <t>velvet-vapour-hookah</t>
  </si>
  <si>
    <t>Velvet Vapour Hookah is a catering company serving all over Noida. He started catering for wedding and other events. With countless clients, ranging from public to private companies, Velvet Vapour Hookah gained a reputation for elegant presentations and impressive services. Be assured of the fact that the food is prepared &amp; served under hygienic conditions and all rates are inclusive of top-class service, crockery &amp; cutlery. Cuisines offered: Live Hookah Station</t>
  </si>
  <si>
    <t>Swaad Caterers</t>
  </si>
  <si>
    <t>The Clove Catering</t>
  </si>
  <si>
    <t>swaad-caterers</t>
  </si>
  <si>
    <t>Madhav</t>
  </si>
  <si>
    <t>the-clove-catering</t>
  </si>
  <si>
    <t>The Clove Catering is a catering company serving all over Ghaziabad. He started catering for wedding and other events. With countless clients, ranging from public to private companies, The Clove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</si>
  <si>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The city of Gurgaon is home to the catering industry Swaad Food providers. Wedding ceremonies are incomplete without a custom menu for every one of the wedding occasions, so you can decide to fabricate your own. Serve the best food to each individual from your family at your weddings to make it significant. So you can pick them assuming that you're looking for a business that gives you a great many administrations and items. They've been giving their clients a different determination of foods beginning around 2010. Regardless of what the dish is — starters, mixed greens, desserts, or sweets — the group of cooks dabbles with the choices to make it inviting and tempting. The staff works with you to pick the menu things you need for the wedding, whether it's a normal feast, occasion arranging with botanical plan, or an extraordinary mix of treats.</t>
  </si>
  <si>
    <t>https://theclovecatering.com/</t>
  </si>
  <si>
    <t>In Gurgaon, there is a catering business called Thai Kitchen Delhi. Quite possibly of the most critical and vital event in an individual's life is their wedding, and they believe that each and every part of their important day should be exquisite and wonderful so it will be a memorable festival. Food is one component that is constantly associated with any festival, however outstandingly weddings when the hosts just need the best and most delightful presentation of cooking that can take every one of their visitors on a culinary journey that they would recall for the years to come. Thai Kitchen Delhi is a brand you can trust assuming you're looking for a respectable cooking business in the space that will just offer you the best. They will masterfully deal with each culinary part of your wedding and proposition you a flavorful assortment of foods that you will not have the option to eat enough of. They can oblige quite a few guests you have as a top priority and assurance the best expectations in both food and administrations. Everybody of your guests will get the best feast administration from them.</t>
  </si>
  <si>
    <t>http://thaikitchen.in/</t>
  </si>
  <si>
    <t>North Indian Japanese
Goan</t>
  </si>
  <si>
    <t>099901 66008</t>
  </si>
  <si>
    <t>Shri S.R. Catering</t>
  </si>
  <si>
    <t>shri-s-r-catering</t>
  </si>
  <si>
    <t>Near Gurgaon, there is a wedding catering business called Shri S.R. They provide enticing meals right to your door while providing catering services to match the occasion's theme and décor. Everyone is inspired by their wonderful and effective service. Their dedication to providing top-notch catering services and a high standard of client satisfaction have made them a well-known name in the catering industry. In order to satisfy their customers' needs for amazing performances and delectable food, they always make sure to deliver the best. It offers a variety of services and a multi-cuisine menu to make your event opulent and fragrant. Your guests will be impressed by the knowledgeable personnel and the tempting variety of meals, which will undoubtedly make for a memorable dining experience. Each delicacy is prepared by their in-house, specifically trained chefs using the finest ingredients and flavours that are difficult to refuse.Shri S.R. Catering will provide all you need to make your wedding feast delectable and entertaining with a customised package. Their wide range of cuisines can be tailored to your tastes, whether vegetarian or not, with unique packages that fit your budget.</t>
  </si>
  <si>
    <t>88001 15201</t>
  </si>
  <si>
    <t>Uttam Caterers &amp; Decorators</t>
  </si>
  <si>
    <t>uttam-caterers-decorators</t>
  </si>
  <si>
    <t xml:space="preserve">Uttam Caterers &amp; Decorators is a Delhi based catering company. It was started by Ashim. He started catering for wedding and other events. With countless clients, ranging from public to private companies, Uttam Caterers &amp; Decorators gained a reputation for elegant presentations and impressive services. Be assured of the fact that the food is prepared &amp; served under hygienic conditions and all rates are inclusive of top-class service, crockery &amp; cutlery. Cuisines offered: North Indian South Indian Chinese Bengali Desserts Italian Rajasthani Gujarati
</t>
  </si>
  <si>
    <t>VaDee Cafe Catering Services</t>
  </si>
  <si>
    <t>http://www.uttamcaterers.in/</t>
  </si>
  <si>
    <t>vadee-cafe-catering-services</t>
  </si>
  <si>
    <t>VaDee Cafe Catering Services is a catering company serving all over Delhi NCR. He started catering for wedding and other events. With countless clients, ranging from public to private companies, VaDee Cafe Catering Services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</si>
  <si>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0120 410 5083</t>
  </si>
  <si>
    <t>92125 61588</t>
  </si>
  <si>
    <t>Homa by The Dinner Box</t>
  </si>
  <si>
    <t>homa-by-the-dinner-box</t>
  </si>
  <si>
    <t>Homa by The Dinner Box is a premium wedding caterer based in Gurgaon, India. They specialize in bringing a unique and memorable wedding dining experience. Their goal is to create a one-of-a-kind wedding atmosphere that guests will enjoy, whether it’s a traditional Indian cuisine or fusion of regional favorites. The team comprises of experts who work around the clock to make sure that every guest gets the same memorable experience. They also provide customized menus according to the clients preferences They even provide dessert buffets, wedding cakes, and other delicacies that their guests will love. Homa by The Dinner Box is the perfect choice for any wedding, be it a traditional Indian style, international, local, or fusion wedding. With their hassle-free services, customized menu options, and delicious food, they are sure to make your wedding a memorable one that will be cherished for years to come.</t>
  </si>
  <si>
    <t>Paratha</t>
  </si>
  <si>
    <t>paratha</t>
  </si>
  <si>
    <t>Sector 43, Gurgaon</t>
  </si>
  <si>
    <t>Sector 43</t>
  </si>
  <si>
    <t>Paratha is a catering company serving all over Noida. He started catering for wedding and other events. With countless clients, ranging from public to private companies, Paratha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</si>
  <si>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Modern Indian Pan-Asian European Greek Lebanese
and many more. Homa by The Dinner Box provides wedding catering services for a variety of budgets and events. They offer catering for 20 to 250 guests.</t>
  </si>
  <si>
    <t>Juice Cult</t>
  </si>
  <si>
    <t>juice-cult</t>
  </si>
  <si>
    <t xml:space="preserve">Juice Cult is a catering company serving all over Delhi NCR. He started catering for wedding and other events. With countless clients, ranging from public to private companies, Juice Cult gained a reputation for elegant presentations and impressive services. Be assured of the fact that the food is prepared &amp; served under hygienic conditions and all rates are inclusive of top-class service, crockery &amp; cutlery. Cuisines offered: Drinks only
</t>
  </si>
  <si>
    <t>https://juicecult.in/</t>
  </si>
  <si>
    <t>Homa by The Dinner Box is a catering company from Sector 43, Gurgaon.</t>
  </si>
  <si>
    <t>The Chef’s Story by Akriti</t>
  </si>
  <si>
    <t>VG Caterer</t>
  </si>
  <si>
    <t>the-chef-s-story-by-akriti</t>
  </si>
  <si>
    <t>vg-caterer</t>
  </si>
  <si>
    <t xml:space="preserve">The Chef’s Story by Akriti is a catering company serving all over Gurgaon. He started catering for wedding and other events. With countless clients, ranging from public to private companies, The Chef’s Story by Akriti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t>
  </si>
  <si>
    <t>The catering at the weddings is mainly the real spice of the whole event. When it comes to catering, it can make your grand celebration from a hit to miss and vice versa but dont worry, we’re here to save you from the trouble, not scare you away. There’s a VG Caterer services based in Noida. They specialize in providing bespoke catering services for your special occasions. Their forte resides in menu customization as per your liking, occasion, and budget. From bespoke house parties to large corporate events and extravagant weddings, VG Caterer is your go-to catering company. Backed by a team of experienced staff, they make sure that your guests don't leave the party disappointed.</t>
  </si>
  <si>
    <t>Sector 24, Gurgaon</t>
  </si>
  <si>
    <t>Sector 24</t>
  </si>
  <si>
    <t>083680 05523</t>
  </si>
  <si>
    <t>Nangloi, Delhi NCR</t>
  </si>
  <si>
    <t>Nangloi</t>
  </si>
  <si>
    <t>Utsav Catering Services</t>
  </si>
  <si>
    <t>Food Planet</t>
  </si>
  <si>
    <t>utsav-catering-services</t>
  </si>
  <si>
    <t>food-planet</t>
  </si>
  <si>
    <t>Utsav Catering Services is a catering company serving all over Delhi. He started catering for wedding and other events. With countless clients, ranging from public to private companies, Utsav Catering Services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</si>
  <si>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https://utsavcaterer.in/</t>
  </si>
  <si>
    <t>Food Planet is a Gurgaon-based business that makes an assortment of delectable flavors and charming indulgences for occasions and events, everything being equal. One of the top organizations offers first class types of assistance that consider the inclinations and assumptions for its clients. For different merriments and financial plans, Food Planet offers various bundles. Therefore, you can pick them and have a food celebration on the off chance that you believe a firm should deal with all of your food-related needs. It offers a phenomenal group of talented and inventive culinary specialists, qualified workers, and occasion supervisors to assemble the most staggering occasion for you. Food Planet is an organization that offers modified and sensibly evaluated catering arrangements with an accentuation on boosting client pleasure.Food Planet has been in this business for some time, so they know about what their clients need and need and attempt to fulfill those requirements. With the heavenly feasts and superior grade administrations they accommodate all of your wedding-related exercises, they assurance to convey the greatest amount of degree of client delight. They deal with every one of the culinary courses of action so you can partake in your occasions without stressing.</t>
  </si>
  <si>
    <t>VIP Kitchen</t>
  </si>
  <si>
    <t>vip-kitchen</t>
  </si>
  <si>
    <t>https://foodplanetonline.com/</t>
  </si>
  <si>
    <t>VIP's kitchen is a authentic Italian and international food caterer, and cater in weddings, Birthdays, corporate events, and many more. VIP catering is evolving as a cutting edge leading professional catering company in India with a strong commitment to deliver quality services to its customers. They believe in devising personalised grand events through unforgettable food that takes your occasion to another level by bestowing you a memorable day. They have previously hosted grand events for about more than hundred weddings entailing the high-class destination weddings.</t>
  </si>
  <si>
    <t xml:space="preserve">Instagram · vipkitchen65
</t>
  </si>
  <si>
    <t>Italian Swiss
Indian
Chaat and street food counters</t>
  </si>
  <si>
    <t>097160 02134</t>
  </si>
  <si>
    <t>Mayur Vihar, Noida</t>
  </si>
  <si>
    <t>Mayur Vihar</t>
  </si>
  <si>
    <t>084474 42004</t>
  </si>
  <si>
    <t>Jaina Mohan Caterers And Halwai</t>
  </si>
  <si>
    <t>jaina-mohan-caterers-and-halwai</t>
  </si>
  <si>
    <t>North Indian Sweets</t>
  </si>
  <si>
    <t xml:space="preserve">Jaina Mohan Caterers And Halwai, they know that every event requires the best service with ingenuity &amp; creativity. They are a catering company based in Saket New Delhi. They deliver the best of authentic, delicious and mouth-watering cuisines. They have very reasonable rates for both non-vegetarian as well as vegetarian menus and would provide any cuisine according to the demands and needs of their clients. Cuisines Offered: North Indian South Indian Chinese Desserts Gujarati Rajasthani
</t>
  </si>
  <si>
    <r>
      <rPr/>
      <t xml:space="preserve">instagram  </t>
    </r>
    <r>
      <rPr>
        <color rgb="FF1155CC"/>
        <u/>
      </rPr>
      <t>https://www.instagram.com/jmcdelicacy/</t>
    </r>
  </si>
  <si>
    <t>070182 94946</t>
  </si>
  <si>
    <t>Seeking Roots</t>
  </si>
  <si>
    <t>seeking-roots</t>
  </si>
  <si>
    <t>Sandeep Singh Madhok</t>
  </si>
  <si>
    <t>Seeking Roots is a business in the city of Noida that provides catering services. When two people decide to get married at Seeking Roots, there should be a big party to celebrate. Several studies have found that the quality of the food served at a wedding is strongly linked to how happy the guests are about it. For this kind of event, you need the help of a good caterer. In Hyderabad, Seeking Roots is so popular that its name is almost a household word, thanks to its reputation for serving delicious food and great service. Seeking Roots has a beautiful dining room, a very well-trained staff, and a huge selection of delicious food.</t>
  </si>
  <si>
    <t>sandeep-singh-madhok</t>
  </si>
  <si>
    <t>www.seekingroots.in</t>
  </si>
  <si>
    <t>Shree Ganesh Caters</t>
  </si>
  <si>
    <t>shree-ganesh-caters</t>
  </si>
  <si>
    <t>Shri Ganesh Caterers is a Delhi based catering company. He started catering for wedding and other events. With countless clients, ranging from public to private companies, Shri Ganesh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Italian Desserts Italian Rajasthani</t>
  </si>
  <si>
    <t>Seeking Roots is a business in the city of Noida that provides catering services. When two people decide to get married at Seeking Roots there should be a big party to celebrate. Several studies have found that the quality of the food served at a wedding is strongly linked to how happy the guests are about it. For this kind of event you need the help of a good caterer. In Hyderabad. Seeking Roots is so popular that its name is almost a household word
thanks to its reputation for serving delicious food and great service. Seeking Roots has a beautiful dining room a very well-trained staff and a huge selection of delicious food.</t>
  </si>
  <si>
    <t>http://veggie.co.in/</t>
  </si>
  <si>
    <t>Amrit Caterers</t>
  </si>
  <si>
    <t>amrit-caterers</t>
  </si>
  <si>
    <t>Amrit Caterers is a catering company serving all over Gurgaon. He started catering for wedding and other events. With countless clients, ranging from public to private companies, Amrit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</si>
  <si>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91 99901 18841</t>
  </si>
  <si>
    <t>097425 77002</t>
  </si>
  <si>
    <t>A3A Caterers</t>
  </si>
  <si>
    <t>a3a-caterers</t>
  </si>
  <si>
    <t xml:space="preserve">A3A Caterers is a catering company serving all over Noida. He started catering for wedding and other events. With countless clients, ranging from public to private companies, A3A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</si>
  <si>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Oye Halwai</t>
  </si>
  <si>
    <t>oye-halwai</t>
  </si>
  <si>
    <t xml:space="preserve">Oye Halwai is a catering company serving all over Delhi. He started catering for wedding and other events. With countless clients, ranging from public to private companies, Oye Halwai gained a reputation for elegant presentations and impressive services. Be assured of the fact that the food is prepared &amp; served under hygienic conditions and all rates are inclusive of top-class service, crockery &amp; cutlery. Cuisines offered: Chaat &amp; Food Stalls
</t>
  </si>
  <si>
    <t>Greenzilla Cafe - Caterer</t>
  </si>
  <si>
    <t>greenzilla-cafe-caterer</t>
  </si>
  <si>
    <t xml:space="preserve"> 085950 39830</t>
  </si>
  <si>
    <t>In Gurgaon, close to Sector 29, there is a catering business called Greenzilla Cafe - Caterer. They have been providing delectable food and excellent service. On the off chance that you're looking for someone who can provide delicious food for your wedding and other associated events while making sure that each and every one of your guests has the best possible dining experience, then you should put your trust in them. They are aware of the impact that wedding cuisine will have as well as all the other ways it will be associated. They will ensure that your meal is the best-tasting one for you and your guests as well.</t>
  </si>
  <si>
    <t>Woodwill Cafe</t>
  </si>
  <si>
    <t>woodwill-cafe</t>
  </si>
  <si>
    <t>070648 14185</t>
  </si>
  <si>
    <t>North Indian ,</t>
  </si>
  <si>
    <t>The Clean Plate By Shaurya</t>
  </si>
  <si>
    <t>the-clean-plate-by-shaurya</t>
  </si>
  <si>
    <t xml:space="preserve">The Clean Plate By Shaurya is a catering company serving all over Delhi NCR. He started catering for wedding and other events. With countless clients, ranging from public to private companies, The Clean Plate By Shaurya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</si>
  <si>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Dwarka, Delhi NCR</t>
  </si>
  <si>
    <t>Dwarka</t>
  </si>
  <si>
    <t>AKNNS Eventas</t>
  </si>
  <si>
    <t>aknns-eventas</t>
  </si>
  <si>
    <t>"AKNNS Eventas is one of the best &amp; renowned caterers in Ghaziabad, Delhi NCR. They provide catering for various events and occasions like- Birthday parties, Seminars, House warming, Corporate parties, Marriages, etc. AKNNS Eventas believe in providing quality service and tasty food along with maintaining proper hygiene. They believe in building a relationship with the customers. AKNNS Eventas caterers is the hub for all celebration.They have delighted countless customers through culinary expertise, innovation, and sheer warmth since years.Their main motto is the utmost satisfaction of customers.</t>
  </si>
  <si>
    <t>Chawla Caterers &amp; Tent House</t>
  </si>
  <si>
    <t>chawla-caterers-tent-house</t>
  </si>
  <si>
    <t>Chawla Caterers &amp; Tent House is a wedding decor company based out of Naresh Chawla, providing wedding designing, decor and floral arrangement services for wedding and other events. Having started the company in 1998, they have been decorating weddings for over 10 years now and have made a name for themselves in the wedding industry .due to their talent and professionalism Chawla Caterers &amp; Tent House provides a full package for your wedding services, not only designing decor for your banquet and event spaces but also providing decor for the home where the wedding is. Home decor packages can be enquired for seperately. Apart from this they offer the following services: Flowers, Decorative Draping, Event concept &amp; Design, Lighting, Mandap, Home Decoration The team is adept at managing wedding decor outside of Naresh Chawla and has created many memorable events for destination weddings in Delhi/NCR</t>
  </si>
  <si>
    <t>98104 09957</t>
  </si>
  <si>
    <t>Events Etc</t>
  </si>
  <si>
    <t>events-etc</t>
  </si>
  <si>
    <t>Events Etc, a company that represents Events! Events Etc. is based out of Delhi, it is the catering and entertainment division of Old World Hospitality Pvt. Ltd. They specialize in providing bespoke catering services for your special occasions. Their forte resides in menu customization as per your liking, occasion, and budget.</t>
  </si>
  <si>
    <t xml:space="preserve">Facebook · Events Etc
</t>
  </si>
  <si>
    <t>Leisuree Event</t>
  </si>
  <si>
    <t>Indian Italian, Mediterranean
Oriental
Modern Indian
Kashmiri cuisines.</t>
  </si>
  <si>
    <t>leisuree-event</t>
  </si>
  <si>
    <t>Indian Continental
Italian, Mediterranean
Oriental
Modern Indian
Kashmiri cuisines.</t>
  </si>
  <si>
    <t>https://leisure-events.co.uk/</t>
  </si>
  <si>
    <t>Cherish Hospitality</t>
  </si>
  <si>
    <t>cherish-hospitality</t>
  </si>
  <si>
    <t xml:space="preserve">Cherish Hospitality Delhi NCR, not only provides professional food and beverage services but also arranges tailor made theme parties with tents, lighting, floral and other miscellaneous services. They are into catering and bar services, institutional catering, tenting and decoration, location rental as well as event planning. With their own set of machinery and other equipments, they adhere to the highest standards of quality control and hygiene that is personally monitored from time to time. They cater for all occasions such as conferences, corporate launches, anniversaries, socio-cultural gatherings, birthday bashes, cocktails, institutional caterings &amp; of course all wedding functions. Cuisines offered: North Indian South Indian
</t>
  </si>
  <si>
    <t>https://cherishhospitality.com/</t>
  </si>
  <si>
    <t>Captain Joe</t>
  </si>
  <si>
    <t>captain-joe</t>
  </si>
  <si>
    <t>Captain Joe is a premier catering service known for handling wedding receptions and other events, offering a wide variety of cuisines from North-Indian to international options.</t>
  </si>
  <si>
    <t>98999 88185</t>
  </si>
  <si>
    <t>98500 50870</t>
  </si>
  <si>
    <t>Connaught Place, Delhi NCR</t>
  </si>
  <si>
    <t>Connaught Place</t>
  </si>
  <si>
    <t>Royal Swan Catering</t>
  </si>
  <si>
    <t>royal-swan-catering</t>
  </si>
  <si>
    <t>Located in Gurugram, Haryana, Royal Swan Banquet is a beautiful venue space to host a variety of functions and events. This place is adorned with dazzling interiors and royal designing, making it extremely liked by customers.</t>
  </si>
  <si>
    <t>99993 04381</t>
  </si>
  <si>
    <t>Fusion Of Flavours is a catering company serving all over Delhi. He started catering for wedding and other events. With countless clients, ranging from public to private companies, Fusion Of Flavours gained a reputation for elegant presentations and impressive services. Be assured of the fact that the food is prepared &amp; served under hygienic conditions and all rates are inclusive of top-class service, crockery &amp; cutlery. Cuisines offered: North Indian South Indian Chinese</t>
  </si>
  <si>
    <t>https://www.fusionflavours.ca/?srsltid=AfmBOoomqOTV1PQIrOY1EyKJ4tZCEayImre3Oxk92Ix14F5BZDHg2TrJ</t>
  </si>
  <si>
    <t>Shree Radhe Catering</t>
  </si>
  <si>
    <t>shree-radhe-catering</t>
  </si>
  <si>
    <t>Shree Radhe Catering is a catering company serving all over Gurgaon. He started catering for wedding and other events. With countless clients, ranging from public to private companies, Shree Radhe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</si>
  <si>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91 94279 37482</t>
  </si>
  <si>
    <t>Sector 105, Gurgaon</t>
  </si>
  <si>
    <t>Sector 105</t>
  </si>
  <si>
    <t>Evergreen Caterers</t>
  </si>
  <si>
    <t>evergreen-caterers</t>
  </si>
  <si>
    <t>Vendor Information is not available</t>
  </si>
  <si>
    <t>098110 46864</t>
  </si>
  <si>
    <t>The Appumm House</t>
  </si>
  <si>
    <t>the-appumm-house</t>
  </si>
  <si>
    <t>The Appumm House is a catering company serving in Gurgaon. He started catering for wedding and other events. With countless clients, ranging from public to private companies, The Appumm House gained a reputation for elegant presentations and impressive services. Be assured of the fact that the food is prepared &amp; served under hygienic conditions and all rates are inclusive of top-class service, crockery &amp; cutlery. The Appumm House incorporate Style in every food we serve, to make your event astonishing, graceful &amp; memorable. They present you a wide range of multi-cuisine to choose from according to your choice, taste &amp; gathering. They are always up- to- date with the latest décor style . Cuisines offered: North Indian South Indian Maharashtrian Desserts</t>
  </si>
  <si>
    <t>99711 00955</t>
  </si>
  <si>
    <t>Chatpata Stories is a signature catering service offered by the renowned Nathu Sweets</t>
  </si>
  <si>
    <t>KIA Hospitality</t>
  </si>
  <si>
    <t>kia-hospitality</t>
  </si>
  <si>
    <t xml:space="preserve">KIA Hospitality is a Delhi based General catering company. They started catering for weddings and other events. With countless clients, ranging from public to private companies, they gained a reputation for elegant presentations and impressive services. Be assured of the fact that the food is prepared &amp; served under hygienic conditions and all rates are inclusive of top-class service, they are a complete general catering service providers. Cuisines offered: North Indian South Indian Chinese Desserts Italian
</t>
  </si>
  <si>
    <t>7898981555, 9109141555</t>
  </si>
  <si>
    <t>https://kardamomkatering.com/contact-us/</t>
  </si>
  <si>
    <t>Chawla Caterer &amp; Decoraters</t>
  </si>
  <si>
    <t>Lachii</t>
  </si>
  <si>
    <t>chawla-caterer-decoraters</t>
  </si>
  <si>
    <t>lachii</t>
  </si>
  <si>
    <t xml:space="preserve">Chawla Caterer &amp; Decoraters is a team that works enthusiastically to deliver food in a way that delights the eyes and is palatable to the tongue! Chawla Caterer &amp; Decoraters is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
</t>
  </si>
  <si>
    <t>Lachii, a firm with its central command in Gurgaon, may give cooking administrations to your wedding or some other associated occasions. A phenomenal dining experience is frequently connected with weddings and some other festivals you could go to in your life, particularly weddings where a superb presentation of global exchange is open for both the hosts and the wedding visitors to appreciate. In the impossible occasion that you are searching for a respectable providing food administration nearby, your journey can now reach a conclusion. For your unique events, you can add their extraordinarily created food choices to the menu. They have up to this point covered a great deal of weddings. A far reaching scope of cooking and food-related administrations are what the business is focused on proposing to its clients.Lachii can oblige a sizable horde of guests while thinking about your necessities. They will verify that everybody is content with their administrations. Their flavorful foods, made with first rate fixings, are their unmistakable selling point.</t>
  </si>
  <si>
    <t>North Indian Dessert</t>
  </si>
  <si>
    <t>Pawan Chauhan Halwai and Caterer</t>
  </si>
  <si>
    <t>pawan-chauhan-halwai-and-caterer</t>
  </si>
  <si>
    <t xml:space="preserve">Pawan Chauhan Halwai and Caterer is a Delhi based General catering company. They started catering for weddings and other events. With countless clients, ranging from public to private companies, they gained a reputation for elegant presentations and impressive services. Be assured of the fact that the food is prepared &amp; served under hygienic conditions and all rates are inclusive of top-class service, they are a complete general catering service providers. Cuisines offered: North Indian South Indian Chinese Gujarati Rajasthani Goan
</t>
  </si>
  <si>
    <t xml:space="preserve"> 088004 48390</t>
  </si>
  <si>
    <t>The Culinary Affair</t>
  </si>
  <si>
    <t>the-culinary-affair</t>
  </si>
  <si>
    <t>The Culinary Affair is a catering company serving all over Gurgaon. He started catering for wedding and other events. With countless clients, ranging from public to private companies, The Culinary Affair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</si>
  <si>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96250 74946</t>
  </si>
  <si>
    <t>Sector 50, Gurgaon</t>
  </si>
  <si>
    <t>Sector 50</t>
  </si>
  <si>
    <t>North Indian Full-service catering for both vegetarian and non-vegetarian menus. Elegant food presentation and thematic setups
Hygienically prepared food using high-quality ingredients Top-class service with inclusive crockery and cutlery Capability to cater to a guest list ranging from 100 to 5000 guests Customized menus as per client preferences and event themes</t>
  </si>
  <si>
    <t>Ocean Pearl Catering is located in Chattarpur, Delhi NCR, and provides catering services throughout the city and surrounding regions. Their large operational capacity and experienced team make them a reliable choice for destination weddings and high-scale celebrations across North India.</t>
  </si>
  <si>
    <t>Maggo Caterers</t>
  </si>
  <si>
    <t>maggo-caterers</t>
  </si>
  <si>
    <t>www.turbantales.in</t>
  </si>
  <si>
    <t>A cooking business with its base camp in Gurgaon is called Maggo Caterers. They are known for offering great types of assistance and a delightful choice of food to ensure that all of your unique events is a connoisseur happiness. One of the most pivotal parts of any festival is the cooking and food since they keep the gathering working all in all and the visitors engaged. Your mission is finished assuming that you're looking for a respectable food provider in the space who can ensure that your wedding and the going with occasions are all nothing not exactly the best culinary experience. In explicitly for a wedding, food has forever been a magnificent and fundamental part of any get-together. The culinary strategy and its substance ought to be immaculate and scrumptious in light of the fact that the visitors will without a doubt recollect it for quite a while. As they will be accountable for concluding what kinds of foods will be served at your wedding, picking the right wedding cook is fundamental. Maggo Caterers is the decision you ought to pick on the off chance that you're searching for such a wedding catering administration.</t>
  </si>
  <si>
    <t>DLF Phase 2, Gurgaon</t>
  </si>
  <si>
    <t>DLF Phase 2</t>
  </si>
  <si>
    <t>R R Caterers</t>
  </si>
  <si>
    <t>r-r-caterers</t>
  </si>
  <si>
    <t>RR Caterers is a wedding catering company based in Delhi NCR. With a vast experience in the field, they have a team of well trained chefs who cook delectable food in a variety of cuisines for their clients. They assure you not only of the maintenance of hygiene levels but also satisfy your taste buds. With great presentation and sumptuous taste, RR caterers are a great option for your wedding functions.</t>
  </si>
  <si>
    <t xml:space="preserve">
Instagram · rrcaters3
</t>
  </si>
  <si>
    <t>North Indian Japanese Greek Lebanese Full-service catering for weddings and events
Inclusive of crockery, cutlery, and professional staff</t>
  </si>
  <si>
    <t xml:space="preserve"> 099538 23701</t>
  </si>
  <si>
    <t>Bang Bang Momo</t>
  </si>
  <si>
    <t>bang-bang-momo</t>
  </si>
  <si>
    <t>Indian</t>
  </si>
  <si>
    <t>Bang Bang Momo is a catering company serving all over Gurgaon. He started catering for wedding and other events. With countless clients, ranging from public to private companies, Bang Bang Momo gained a reputation for elegant presentations and impressive services. Be assured of the fact that the food is prepared &amp; served under hygienic conditions and all rates are inclusive of top-class service, crockery &amp; cutlery. Cuisines offered: Momos</t>
  </si>
  <si>
    <t>The team caters to events across Delhi NCR and is open to serving both private and public events across the region.</t>
  </si>
  <si>
    <t>Kaliram Chaat Creations</t>
  </si>
  <si>
    <t>https://www.flamengrills.in/</t>
  </si>
  <si>
    <t>kaliram-chaat-creations</t>
  </si>
  <si>
    <t xml:space="preserve">Kaliram Chaat Creations is a Delhi based catering company.They started catering for wedding and other events. With countless clients, ranging from public to private companies, Kaliram Chaat Creations gained a reputation for elegant presentations and impressive services. Be assured of the fact that the food is prepared &amp; served under hygienic conditions and all rates are inclusive of top-class service, crockery &amp; cutlery. Cuisines offered: Chaat &amp; Food Stalls
</t>
  </si>
  <si>
    <r>
      <rPr/>
      <t xml:space="preserve">instagram </t>
    </r>
    <r>
      <rPr>
        <color rgb="FF1155CC"/>
        <u/>
      </rPr>
      <t>https://www.instagram.com/kaliramchaatcreations/</t>
    </r>
  </si>
  <si>
    <t>079829 43138</t>
  </si>
  <si>
    <t>Fat Guy’s Kitchen</t>
  </si>
  <si>
    <t>fat-guy-s-kitchen</t>
  </si>
  <si>
    <t>Fat Guy’s Kitchen is a Delhi NCR based catering company. It was started by Garvit Sachdeva. He started catering for wedding and other events. With countless clients, ranging from public to private companies, Fat Guy’s Kitchen gained a reputation for elegant presentations and impressive services. Be assured of the fact that the food is prepared &amp; served under hygienic conditions and all rates are inclusive of top-class service, crockery &amp; cutlery. Cuisines offered: Chinese Italian Desserts Lebanese</t>
  </si>
  <si>
    <t>Jogi Chai - The Sip Spot</t>
  </si>
  <si>
    <t>jogi-chai-the-sip-spot</t>
  </si>
  <si>
    <t xml:space="preserve">Jogi Chai - The Sip Spot is a catering company serving all over Delhi NCR. He started catering for wedding and other events. With countless clients, ranging from public to private companies, Jogi Chai - The Sip Spot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</si>
  <si>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 xml:space="preserve">Golden Plate Catering is a catering company serving all over Greater Noida. He started catering for wedding and other events. With countless clients, ranging from public to private companies, Golden Plate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</si>
  <si>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Gopal Cook and Catering Services</t>
  </si>
  <si>
    <t>gopal-cook-and-catering-services</t>
  </si>
  <si>
    <t>Gopal Cook and Catering Services is a Gurgaon-based caterer that provides delectable treats for the wedding and other events that are part of the ceremony. They serve the best food in the city and are renowned for their homemade flavour. Both aesthetically and gastronomically, the cuisine is fascinating. They give their services for all types of wedding festivities, from pre-wedding to post-wedding, and have a bundle of services that they make available to all of their clients. The team at Gopal Cook and Catering Services always makes events pleasant for everyone and serves delectable treats. In order for your guests to enjoy delectable cuisine and for you to receive comments, the food at your graduation events should be ideal in taste and quality. Food has always been an integral component of every occasion. Gopal Cook and Catering Services is the firm you should unquestionably choose if you're looking for one of those caterers that can meet all of your needs for wedding catering.</t>
  </si>
  <si>
    <t>Sector 52, Gurgaon</t>
  </si>
  <si>
    <t>Sector 52</t>
  </si>
  <si>
    <t>Neha Sprouts Catering Services is a catering company serving all over Gurgaon. He started catering for wedding and other events. With countless clients, ranging from public to private companies, Neha Sprouts Catering Services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</si>
  <si>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Vinay Caterer</t>
  </si>
  <si>
    <t>vinay-caterer</t>
  </si>
  <si>
    <t>Vinay Caterer, the culinary virtuoso transforming events into gastronomic experiences in Gurgaon's Sector 7. With a journey that commenced in 2020, Vinay Caterer has swiftly become a beacon of excellence in wedding catering. From intimate gatherings to grand celebrations, this catering company has garnered a stellar reputation for its elegant presentations and impressive services.</t>
  </si>
  <si>
    <t>Indo Caterers</t>
  </si>
  <si>
    <t>indo-caterers</t>
  </si>
  <si>
    <t>Indo Caterers is a Delhi based catering company. He started catering for wedding and other events. With countless clients, ranging from public to private companies,Indo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t>
  </si>
  <si>
    <t>High Class Caterer</t>
  </si>
  <si>
    <t>high-class-caterer</t>
  </si>
  <si>
    <t>A wedding catering business called High Class Caterer is situated close to Gurgaon. To make your wedding feast a memorable event, you need a fantastic caterer. High Class Caterer is the only name you need to remember. This wedding catering service offers a wide range of delectable vegetarian food options from all around the nation. All of its preparations, which have a strong emphasis on quality and flavour, will delight your guests and turn your gathering into a memorable culinary experience. High Class Caterer's inventive menus, superior customer service, and unwavering commitment to client pleasure make it a successful caterer. They have a team of skilled chefs that ensure that they give their customers delicious meals thanks to their more than five years of experience. At your wedding event, they serve mocktails, juices, salads, and gourmet foods. With exceptional service personnel, High Class Caterer will arrange everything to meet your needs and budget.</t>
  </si>
  <si>
    <t>Masala Artz Catering</t>
  </si>
  <si>
    <t>masala-artz-catering</t>
  </si>
  <si>
    <t>Masala Artz is a Delhi NCR based catering service that has been in this business since 2010. They offer services in events like weddings, pre/post wedding functions, pool parties, get togethers, corporate events, birthday parties and receptions. They cater to minimum 100 to maximum 2000 people.</t>
  </si>
  <si>
    <t>https://masala-art.com/catering</t>
  </si>
  <si>
    <t>Yadav Catering</t>
  </si>
  <si>
    <t>yadav-catering</t>
  </si>
  <si>
    <t xml:space="preserve">Yadav Catering is a catering company serving all over Gurgaon. He started catering for wedding and other events. With countless clients, ranging from public to private companies, Yadav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</si>
  <si>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Lajwaab Caterers</t>
  </si>
  <si>
    <t>lajwaab-caterers</t>
  </si>
  <si>
    <t>Lajwaab Caterers is a catering company serving all over Gurgaon. He started catering for wedding and other events. With countless clients, ranging from public to private companies, Lajwaab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t>
  </si>
  <si>
    <t>Civil Lines, Gurgaon</t>
  </si>
  <si>
    <t>Satender Yadav Caters</t>
  </si>
  <si>
    <t>Sartaj Catering Services is a catering company serving in Gurgaon. He started catering for wedding and other events. With countless clients, ranging from public to private companies, Sartaj Catering Services gained a reputation for elegant presentations and impressive services. Be assured of the fact that the food is prepared &amp; served under hygienic conditions and all rates are inclusive of top-class service, crockery &amp; cutlery. Sartaj Catering Services incorporate Style in every food we serve, to make your event astonishing, graceful &amp; memorable. They present you a wide range of multi-cuisine to choose from according to your choice, taste &amp; gathering. They are always up- to- date with the latest décor style . Cuisines offered: North Indian South Indian Chinese Italian Desserts Gujarati Rajasthani</t>
  </si>
  <si>
    <t>satender-yadav-caters</t>
  </si>
  <si>
    <t xml:space="preserve">Satender Yadav Caters is a catering company serving all over Delhi NCR. He started catering for wedding and other events. With countless clients, ranging from public to private companies, Satender Yadav Caters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t>
  </si>
  <si>
    <t>98112 53827</t>
  </si>
  <si>
    <t>Marg Caters</t>
  </si>
  <si>
    <t>marg-caters</t>
  </si>
  <si>
    <t>Food Mantraa</t>
  </si>
  <si>
    <t>food-mantraa</t>
  </si>
  <si>
    <t>A catering company called Food Mantraa is situated in Gurgaon. They have not only maintained their reputation for offering delicious and authentic food, but they have also raised the bar by adding fresh improvements to their menu. Food Mantraa can prepare any Indian dish for you and your loved ones, whether it is South Indian or North Indian. They have become a success story thanks to a winning formula of curiosity, quality, and discovery, and practically all dignitaries and customers in the city choose them for all occasions. They offer a wide range of cuisines and have a skilled professional crew to handle all of your occasions. With their mouthwatering and scrumptious food available, you can be sure that your wedding will always be spectacular and unforgettable for all of your guests. &lt;-x-&gt;</t>
  </si>
  <si>
    <t>Sector 17, Gurgaon</t>
  </si>
  <si>
    <t>Sector 17</t>
  </si>
  <si>
    <t>099583 49333</t>
  </si>
  <si>
    <t>North Indian Mexican Continental
Mughlai Moroccan</t>
  </si>
  <si>
    <t>Moti Mahal Delux</t>
  </si>
  <si>
    <t>moti-mahal-delux</t>
  </si>
  <si>
    <t>Moti Mahal Delux, a luscious venue based in Delhi NCR, is perfect for the grande affair like your pre-wedding. Equipped with world-class facilities, the venue is spacious and comfortable. They offer complete event support for all your nuptial ceremonies and events. With their class apart services, you are ensured that every experience with them is unique, every time. This venue is an ideal choice for your pre-wedding as it can hold lavish as well as a simple and subtle pre-wedding. Vibrant and progressive, Moti Mahal Delux retains the warmth and spirit of India while offering a grand hall. The services go far above and beyond the conventional venue and catering staples. All these services would be customized according to your demands, needs, and budget.</t>
  </si>
  <si>
    <t>Haldiram's Catering- Chaat only</t>
  </si>
  <si>
    <t>haldiram-s-catering-chaat-only</t>
  </si>
  <si>
    <t>Started in the year 1937, Haldiram’s today is a household name when it comes to Indian sweets and namkeens. Originated from Bikaner, Haldiram’s has its presence in India as well as in many countries abroad. Haldiram's started its catering services in 2018 and have ensured a seamless and delightful experience for all guests ever since. Their professionalism, reliability, and culinary expertise make them a preferred choice for catering services. They take pride in using high-quality ingredients and maintaining hygiene standards.</t>
  </si>
  <si>
    <t xml:space="preserve">Instagram · haldirams.official
</t>
  </si>
  <si>
    <t>Chaat Delhi
Noida
Gurugram
Chandigarh
Ludhiana
Amritsar
Jalandhar
Agra
Jaipur
Dehradun</t>
  </si>
  <si>
    <t>Bikanervala Gurgaon</t>
  </si>
  <si>
    <t>bikanervala-gurgaon</t>
  </si>
  <si>
    <t>Bikanervala, Gurgaon, Delhi is a popular restaurant by the ever-expanding chain of restaurants - Bikenervala. It is renowned for its world-class fine dining experience and is ideal for an intimate gathering of family and friends, weddings, engagements, anniversaries, birthday celebrations, and kitty parties. You may host a corporate meeting or seminar over here too.</t>
  </si>
  <si>
    <t>Sai Agarwal Caterer</t>
  </si>
  <si>
    <t>sai-agarwal-caterer</t>
  </si>
  <si>
    <t>Sai Agarwal Caterer are popular Caterers, based in East Delhi and serving all over Ghaziabad, has been delighting clients with their exceptional catering services since 2015. Known for their elegant presentations and impressive service, they cater to both weddings and other events, ensuring that each occasion is memorable and flawlessly executed.</t>
  </si>
  <si>
    <t>124 433 7777</t>
  </si>
  <si>
    <t>http://shreeagarwalcaterers.com/</t>
  </si>
  <si>
    <t>East Delhi, Ghaziabad</t>
  </si>
  <si>
    <t>Vihaan Caterers</t>
  </si>
  <si>
    <t>vihaan-caterers</t>
  </si>
  <si>
    <t>Vihaan Caterers is a Delhi NCR based catering company. It was started by Ankit Arora. He started catering for wedding and other events. With countless clients, ranging from public to private companies, Vihaan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</si>
  <si>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North Indian Elegant presentations
High-quality crockery and cutlery
Inclusive service rates</t>
  </si>
  <si>
    <t>63966 25701</t>
  </si>
  <si>
    <t>https://wedfullyyours.in/</t>
  </si>
  <si>
    <t>Elegant presentations High-quality crockery and cutlery
Inclusive service rates</t>
  </si>
  <si>
    <t>088023 03015</t>
  </si>
  <si>
    <t>Gourmet Grub</t>
  </si>
  <si>
    <t>gourmet-grub</t>
  </si>
  <si>
    <t>Gourmet Grub is a catering company serving all over Gurgaon. He started catering for wedding and other events. With countless clients, ranging from public to private companies, Gourmet Grub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</si>
  <si>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Mr Cook Organic is a wedding catering service. They provide all round reception to their patrons by setting new standards through potent and impressive catering with each event. The company’s secret lies in offering heavenly food items paired with fascination and good conduct
making people happy through food. Mr Cook Organic makes sure that you receive exclusive wedding catering services corporate catering and outdoor catering services with the usage of quality raw materials to attain customer’s satisfaction.</t>
  </si>
  <si>
    <t>92058 14268</t>
  </si>
  <si>
    <t>DLF Phase 4, Gurgaon</t>
  </si>
  <si>
    <t>DLF Phase 4</t>
  </si>
  <si>
    <t>North Indian Japanese
Lebanese
Thai
Bengali
Gujarati
Goan
Desserts</t>
  </si>
  <si>
    <t>Creative Cuisines Inc</t>
  </si>
  <si>
    <t>creative-cuisines-inc</t>
  </si>
  <si>
    <t>instagram @theunitedcateringservices</t>
  </si>
  <si>
    <t>Creative Cuisines Inc. popularly known as CCI has been satisfying the culinary cravings of the elite since 2006. The mesmerizing taste and innovative cuisines have lured guests to invite CCI to be a part of their special moments not only in Delhi but also at a pan India and an international level. What makes CCI stand out in the crowd is the personal touch it offers while serving its guests. This can be seen in the customized menus and layout design as well its exemplary overall service. CCI boasts of visionary founders with an ocean of talent and international level experience in the food and hospitality sector accompanied by a strong dedicated staff and a fully equipped professional kitchen based out of Delhi. Along with dynamic food comes a strong sense of responsibility towards food quality and ensuring that every benchmark is met in this respect. CCI sources all its materials from quality brands and carefully selected vendors. CCI leaves no stone unturned ensuring that all service staff is hired from recognized hospitality colleges with adequate experience and grooming along with being very well spoken. With this, we look forward to the opportunity of serving you and making your occasion a food extravaganza for all the guests. Virender Handa - CCI is the vision of Mr.Virender Handa who is a graduate in ‘Business Hospitality’ from Macquarie University Sydney. After working for 6 years in the F&amp;B sector in Australia where he managed boutique restaurants to convention centers, he came back to India to start his own venture and offer to the Indian customers the best of multinational cuisines accompanied with top notch service. Virender is now synonymous with the CCI brand and is a well-known gastronomic consultant. Kapil Midha - Kapil is the co-founder of CCI and the soul of the kitchen. After graduating in Hotel Management from Pusa, he moved to Australia to pursue his degree in ‘Tourism and Hospitality’ from Macquarie University. He continues to push culinary boundaries redefining classics and innovating fusion delights to keep every customer’s taste buds alive.</t>
  </si>
  <si>
    <t>https://creativecuisinesinc.com/</t>
  </si>
  <si>
    <t>Yadav Catering is a catering company serving all over Gurgaon. He started catering for wedding and other events. With countless clients, ranging from public to private companies, Yadav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</si>
  <si>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92055 59609</t>
  </si>
  <si>
    <t>Ishwar Caterers</t>
  </si>
  <si>
    <t>ishwar-caterers</t>
  </si>
  <si>
    <t>Ishwar Caterers is a catering company serving all over Gurgaon. He started catering for wedding and other events. With countless clients, ranging from public to private companies, Ishwar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
  </si>
  <si>
    <t>istagram -  @foxnut_catering</t>
  </si>
  <si>
    <t>Catering Vala</t>
  </si>
  <si>
    <t>catering-vala</t>
  </si>
  <si>
    <t xml:space="preserve">Catering Vala is a catering company serving all over Delhi. Catering Vala started catering for wedding and other events. With countless clients, ranging from public to private companies,Catering vala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</si>
  <si>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https://www.cateringvala.in/</t>
  </si>
  <si>
    <t>North Indian Glassware Mineral water bottles
Bartender and other bar services Driver Food</t>
  </si>
  <si>
    <t>Glassware Mineral water bottles
Bartender and other bar services
Driver Food</t>
  </si>
  <si>
    <t>Savour</t>
  </si>
  <si>
    <t>Paharganj, Delhi NCR</t>
  </si>
  <si>
    <t>savour</t>
  </si>
  <si>
    <t>Paharganj</t>
  </si>
  <si>
    <t>Lite Bite Foods is one of the largest and most dynamic F&amp;B Retail Companies in the country with 12 core brands under its umbrella. Savour is the catering division of Lite Bite Foods andis a one stop solution for all the catering needs. They believe. ‘We pride ourselves on bringing you the finest catering experience you’ll find anywhere!’ They serve a minimum capacity of 70 and maximum of 1000.</t>
  </si>
  <si>
    <t>1 Soup 4 Salad 6 Maincourse
Assorted Indian Breads</t>
  </si>
  <si>
    <t>Delli Delicacies</t>
  </si>
  <si>
    <t>delli-delicacies</t>
  </si>
  <si>
    <t xml:space="preserve">Delli Delicacies Pvt. Ltd. is a catering company in Delhi NCR with a flawless track record of 8 years+ in delightful catering services. They have menus from all the cuisine and for every occasion be it a casual get-together, House event, corporate events, Company Lunch or a full theme based wedding. They will be very glad if you give them one opportunity to showcase their culinary skills in any of your parties or events. They have a unique service from the earliest designing stages to the final plate presentation. They gladly customize their menus to best suit your taste and budget. Cuisines Offered: North Indian South Indian Chinese Japanese Italian Greek Lebanese Thai Desserts Bengali Gujarati Rajasthani Goan Maharashtrian
</t>
  </si>
  <si>
    <t>https://dellidelicacies.com/</t>
  </si>
  <si>
    <t>Royal Flavors Caterers</t>
  </si>
  <si>
    <t>royal-flavors-caterers</t>
  </si>
  <si>
    <t>Royal Flavors Caterers is a premier wedding catering company based in Gurgaon. Specializing in tailored wedding packages, they offer full-service catering that includes professional staff, exquisite meal choices, and an extraordinary selection of beverages. Royal Flavors Caterers understands that each event is unique, and they strive to make the catering experience as memorable and enjoyable as possible. They offer tasteful cuisine made from the highest quality ingredients, and options for customize menus. Beyond the food and drinks, Royal Flavors Caterers also provide attentive staff and can work with you to create the perfect atmosphere for your special event. Royal Flavors Caterers upholds the highest standards of professional performance and personal integrity. Their staff is committed to delivering exceptional wedding catering and to upholding the highest degree of respect and courtesy throughout the process. Their experienced team and passion for providing outstanding service has earned them a premier standing among wedding catering companies in Gurgaon.</t>
  </si>
  <si>
    <t>Dwarka Expressway, Delhi NCR</t>
  </si>
  <si>
    <t>Dwarka Expressway</t>
  </si>
  <si>
    <t>blazing-bistro</t>
  </si>
  <si>
    <t xml:space="preserve">Blazing Bistro is a Delhi NCR based catering company. He started catering for wedding and other events. With countless clients, ranging from public to private companies, Blazing Bistro gained a reputation for elegant presentations and impressive services. Be assured of the fact that the food is prepared &amp; served under hygienic conditions and all rates are inclusive of top-class service, crockery &amp; cutlery. Cuisines offered: North Indian South Indian Chinese Italian
</t>
  </si>
  <si>
    <t>Tawa &amp; Tadka Caterers</t>
  </si>
  <si>
    <t>tawa-tadka-caterers</t>
  </si>
  <si>
    <t>MTA Caters</t>
  </si>
  <si>
    <t>Tawa &amp; Tadka Caterers is a catering company serving all over Gurgaon. He started catering for wedding and other events. With countless clients, ranging from public to private companies, Tawa &amp; Tadka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</si>
  <si>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mta-caters</t>
  </si>
  <si>
    <t xml:space="preserve">MTA Caters are a team that works enthusiastically to deliver food in a way that delights the eyes and is palatable to the tongue! MTA Caters are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
</t>
  </si>
  <si>
    <t>Over Million Flavours</t>
  </si>
  <si>
    <t>over-million-flavours</t>
  </si>
  <si>
    <t xml:space="preserve">Over Million Flavours is a catering company serving all over Delhi. He started catering for wedding and other events. With countless clients, ranging from public to private companies, Over Million Flavours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</si>
  <si>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Tastebuds</t>
  </si>
  <si>
    <t>tastebuds</t>
  </si>
  <si>
    <t xml:space="preserve">Facebook · Misri K'la
</t>
  </si>
  <si>
    <t xml:space="preserve">Tastebuds is a catering company serving all over Gurgaon. He started catering for wedding and other events. With countless clients, ranging from public to private companies, Tastebuds gained a reputation for elegant presentations and impressive services. Be assured of the fact that the food is prepared &amp; served under hygienic conditions and all rates are inclusive of top-class service, crockery &amp; cutlery. Cuisines offered: North Indian Desserts
</t>
  </si>
  <si>
    <t>https://www.instagram.com/tastebuds_caterers?igsh=OGx3ZnlocWV1cXBo</t>
  </si>
  <si>
    <t>Chawla Caterers</t>
  </si>
  <si>
    <t>chawla-caterers</t>
  </si>
  <si>
    <t>Chawla Caterers is a catering company serving all over Gurgaon. He started catering for wedding and other events. With countless clients, ranging from public to private companies, Chawla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</si>
  <si>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NM Foods by Tanya</t>
  </si>
  <si>
    <t>nm-foods-by-tanya</t>
  </si>
  <si>
    <t xml:space="preserve">NM Foods by Tanya is a catering company serving all over Delhi NCR He started catering for wedding and other events. With countless clients, ranging from public to private companies, NM Foods by Tanya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</si>
  <si>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Okhla, Delhi NCR</t>
  </si>
  <si>
    <t>Okhla</t>
  </si>
  <si>
    <t>Supreme Kitchen</t>
  </si>
  <si>
    <t>supreme-kitchen</t>
  </si>
  <si>
    <t>Supreme Kitchen is a catering company serving all over Gurugram. He started catering for wedding and other events. With countless clients, ranging from public to private companies, Supreme Kitchen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t>
  </si>
  <si>
    <t xml:space="preserve">Virtuoso Catering House is a catering company serving all over Noida. He started catering for wedding and other events. With countless clients, ranging from public to private companies, Virtuoso Catering House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Italian Thai
</t>
  </si>
  <si>
    <t>Kitchen Kraft Catering</t>
  </si>
  <si>
    <t>kitchen-kraft-catering</t>
  </si>
  <si>
    <t>Kitchen Kraft Catering Co. is an outdoor catering company based in New Delhi. They are passionate cooks and perfection - obsessed hosts and servers. They cook mouth watering cuisine and serve it with utmost warmth. Karan Talwar, their Managing Director is a seasoned gourmet professional who comes with 15 years experience in food industry and has been associated with Bukhara - ITC Maurya, ITC Grand Central Mumbai, Grand Hyatt-Singapore, Hyatt Regency- Kuala Lumpur,Malaysia and Carnival Cruise-USA. Chef turned entrepreneur, expertise in Asian Cuisine, and is an expert too crafting fusion delicacies.</t>
  </si>
  <si>
    <t>087009 15463</t>
  </si>
  <si>
    <t xml:space="preserve">
Facebook · Kitchen Kraft Catering Co.</t>
  </si>
  <si>
    <t xml:space="preserve"> 084476 66166</t>
  </si>
  <si>
    <t>Asian cuisine Fusion</t>
  </si>
  <si>
    <t>Narang Caterers</t>
  </si>
  <si>
    <t>narang-caterers</t>
  </si>
  <si>
    <t>The Hind Caterers</t>
  </si>
  <si>
    <t>the-hind-caterers</t>
  </si>
  <si>
    <t>Looking for a respectable catering administration to convey heavenly food on your extraordinary day? As far as you might be concerned, Narang Caterers is the most ideal choice. A Gurgaon-based cooking business gives an all in one resource to all of your wedding catering needs. For your wedding occasions, they will try to convey the best of their cuisines.A group of prepared experts with skill in grasping and addressing your requirements in general and needs makes up Narang Caterers. While cooking, they will try to use unquestionably the freshest, best fixings, and they will introduce the food perfectly. Likewise, they give many conveniences and administrations, including stand by work force, dishware, and cutlery. They might plan an extraordinary menu explicitly for your wedding and the occasions that are all related to it founded on your inclinations and taste so your wedding will have the best conceivable culinary experience.</t>
  </si>
  <si>
    <t>The Hind Caterers, a renowned catering company that operates across Delhi, is your trusted culinary partner for weddings and various events. With a legacy that spans decades, this culinary expert has garnered a reputation for his impeccable presentation and impressive catering services. With roots dating back to 2006, they have established themselves as a name synonymous with top-tier culinary experiences.</t>
  </si>
  <si>
    <t>Krishna Nagar, Delhi NCR</t>
  </si>
  <si>
    <t>Krishna Nagar</t>
  </si>
  <si>
    <t>The Hind Caterers a renowned catering company that operates across Delhi
is your trusted culinary partner for weddings and various events. With a legacy that spans decades
this culinary expert has garnered a reputation for his impeccable presentation and impressive catering services. With roots dating back to 2006
they have established themselves as a name synonymous with top-tier culinary experiences.</t>
  </si>
  <si>
    <t>punjabgrill.in</t>
  </si>
  <si>
    <t>Chef Om's Hospitality</t>
  </si>
  <si>
    <t>chef-om-s-hospitality</t>
  </si>
  <si>
    <t>Chef Om’s Hospitality in a very short span has perfected the art of gauging client needs and fulfilling their requirements in the best possible manner, with a panel of selected professionals providing specialized services wherever required. The Delhi based catering company customizes each wedding and sets it apart from rest with their quality ingredients leading to lip smacking food and live cooking attractions at the venue. They dedicate themselves to exceed your expectations in cuisines, service, and presentation.</t>
  </si>
  <si>
    <t>http://www.chefom.com/</t>
  </si>
  <si>
    <t>Kents Caterers</t>
  </si>
  <si>
    <t>kents-caterers</t>
  </si>
  <si>
    <t>One of Gurgaon's top cooking organizations is viewed as Kents Caterers. Its experts work with the best parts to give astonishing outcomes in light of the fact that a fulfilled customer is their main concern. The final product won't just delight your sense of taste yet additionally be wonderful to check out. Kents Caterers is a phenomenal decision to remember whether you're looking for both quality and flavor simultaneously. To ensure that everybody of your visitors has a unique feasting experience at your wedding and any associated occasions, Kents Food providers is a name to remember. The specialists at Kents Caterers can chip away at or off-site to make each visitor's involvement with your wedding feast a remarkable culinary one. Likewise, they guarantee that the food conveyance's bundling is proper for the situation.A wide assortment of veggie lover and non-vegan cooking styles are presented by Kents Caterers. With its delicious platters, it permits you the chance to add a tasteful touch to your wedding.</t>
  </si>
  <si>
    <t>981-105-0077</t>
  </si>
  <si>
    <t>https://www.knifearts.in/</t>
  </si>
  <si>
    <t>Gourmer Services</t>
  </si>
  <si>
    <t>gourmer-services</t>
  </si>
  <si>
    <t>Established in 2006, Gourmer Services is a premier wedding caterer based in Gurgaon. The team has expertise in various cuisines and has catered for different wedding styles such as Indian, Oriental, Mediterranean, and fusion. Their team of chefs has a wealth of experience in creating truly unique meals that are customized to each individual’s needs. All meals are prepared with utmost attention to detail, and using the freshest ingredients to ensure that every dish served is impeccable. Gourmer Services’ primary mission is to provide excellent customer satisfaction and to ensure that every guest is well-fed and happy. The catering team will customize all meals according to the preferences of the guests, and the chefs strive to make sure that all meals are served at the most optimal temperature. Moreover, the efficient and dedicated team puts in extra efforts to ensure that their clients have a memorable experience. Gourmer Services helps bring together different cultures and diverse requirements together to provide the perfect culinary experience for the guests. It adds an outing twist to the conventional food and offers to nurture the feelings of joy with extraordinary culinary delicacies.</t>
  </si>
  <si>
    <t xml:space="preserve"> 087009 15463</t>
  </si>
  <si>
    <t>Gourmer Services is a catering company based in and serving all over Gurgaon.</t>
  </si>
  <si>
    <t>Innovative Hospitality Services</t>
  </si>
  <si>
    <t>innovative-hospitality-services</t>
  </si>
  <si>
    <t>In Gurgaon, close to Sector 43, is a catering business called Innovative Hospitality Services. In India, weddings are lavishly and enthusiastically observed, with meticulous planning going into making sure that each and every guest has a stunning, unique experience. Food is obviously a crucial component of any celebration, but weddings are particularly notable for their extravagant displays of food that are imported from all over the world to offer the greatest gastronomic experience. Your hunt for a catering company in the city that can fulfill all of these requirements and guarantee that your wedding is unique can come to an end right now.</t>
  </si>
  <si>
    <t>Shri Ram Caterers</t>
  </si>
  <si>
    <t>shri-ram-caterers</t>
  </si>
  <si>
    <t>Shri Ram Caterers is a wedding caterer based in the vibrant city of Delhi. Established in 2022, they provide excellent catering services for wedding occasions. Specializing in North Indian cuisine, their menus include an array of delicious entrees and sumptuous desserts. For those looking for something a bit special, they can create custom menus to fit any budget. Shri Ram Caterers utilize the freshest, hand-picked ingredients in their recipes and purchase their ingredients from trusted, local vendors. Their team of dedicated chef guarantees that all dishes are cooked perfectly and served with an eye for presentation. They offer an attentive team of skilled wait staff who ensure the guests are well taken care of during the event. They strive to give their clients an unforgettable experience tailored to their vision and personality. Combining excellent quality food and delightful decorations, Shri Ram Caterers deliver nothing less than perfection.</t>
  </si>
  <si>
    <t>North Indian Service staff / servers Crockery and cutlery. Presentation and lighting for the food setup
Soft beverages, juices, sodas, tonic Chilling and cubed ice Vegetarian menu Non vegetarian menu</t>
  </si>
  <si>
    <t>Service staff / servers Crockery and cutlery Glassware Presentation and lighting for the food setup
Soft beverages, juices, sodas, tonic Chilling and cubed ice Vegetarian menu Non vegetarian menu</t>
  </si>
  <si>
    <t>Shri Ram Caterers is a wedding caterer based in the vibrant city of Delhi. Established in 2022 they provide excellent catering services for wedding occasions. Specializing in North Indian cuisine
their menus include an array of delicious entrees and sumptuous desserts. For those looking for something a bit special they can create custom menus to fit any budget. Shri Ram Caterers utilize the freshest
hand-picked ingredients in their recipes and purchase their ingredients from trusted
local vendors. Their team of dedicated chef guarantees that all dishes are cooked perfectly and served with an eye for presentation. They offer an attentive team of skilled wait staff who ensure the guests are well taken care of during the event. They strive to give their clients an unforgettable experience tailored to their vision and personality. Combining excellent quality food and delightful decorations
Shri Ram Caterers deliver nothing less than perfection.</t>
  </si>
  <si>
    <t>Bro n Me Caterers</t>
  </si>
  <si>
    <t>bro-n-me-caterers</t>
  </si>
  <si>
    <t xml:space="preserve">Bro n Me Caterers is a Delhi based catering company. It was started by Poonam. She started catering for weddings and other events. With countless clients, ranging from public to private companies, Bro n Me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Japanese Italian Greek Lebanese Thai Desserts Bengali Gujarati Rajasthani Goan Maharashtrian
</t>
  </si>
  <si>
    <t>Shyam Ji Caterers</t>
  </si>
  <si>
    <t>shyam-ji-caterers</t>
  </si>
  <si>
    <t xml:space="preserve">Instagram · bronmedecorators
</t>
  </si>
  <si>
    <t>Shyam Ji Caterers situated in Delhi NCR offers phenomenal food, outstanding service and stunning presentation are the basic ingredients of every celebration planned. To meet the vision of a catering company, their menu includes the finest and most elegant vegetarian options from around the world, focusing on delivering impeccable culinary and event services. They ensure that each dish is prepared with locally sourced, seasonal and organic ingredients. The gracious and highly trained staff sets high standards and focuses on making your guests feel welcomed.</t>
  </si>
  <si>
    <t>NULL</t>
  </si>
  <si>
    <t>Global Gourmet</t>
  </si>
  <si>
    <t>global-gourmet</t>
  </si>
  <si>
    <t>The first word that comes in mind when we think about indian weddings is food,it is different cusines and variety of food that everybody look out for at the weddings, to help you with that Global Gourmet comes with the best variety of food for your Big day.They are based out of delhi and their menu has always been a grandeur.</t>
  </si>
  <si>
    <t>GD FOODS INDIA</t>
  </si>
  <si>
    <t>gd-foods-india</t>
  </si>
  <si>
    <t>GD FOODS is a catering service company based in Gurgaon serving all over Delhi NCR. With 5+ years of experience the GD FOODS company has gained fame and reputation by their exemplary food quality and services. They make sure that the food prepared is under hygienic conditions and of top quality. With great knowledge and skills, the team of professionals knows how to keep your guests well fed and have the capacity to offer unique and diverse dishes from all around the world. The caterers serve food with love and satisfaction with a beautiful smile on face which impresses the guests and make them feel satisfied. They serve minimum 50 people and goes up till 5000 people which makes it a popular and ideal catering company for small, mid and large gatherings. They make sure to do proper planning, preparation and execution of the event and offer satisfactory service.</t>
  </si>
  <si>
    <t>North indian Chinese If you’re looking for a catering company in Gurgaon, GD FOODS INDIA is the one you can easily rely on for their service and delicious food of good quality.</t>
  </si>
  <si>
    <t xml:space="preserve">
Instagram · leat_catering</t>
  </si>
  <si>
    <t>Malhotra Caterers</t>
  </si>
  <si>
    <t>malhotra-caterers</t>
  </si>
  <si>
    <t>For all of your wedding and related events, Malhotra Caterers, based in Gurgaon, has a delicious cuisine. They bring wonderful treats to your occasion and have a taste that will wow your taste buds. They recognise the importance of your wedding event and ensure that you have the best food setup at it in order to make it a huge success in every way. Food is one of the most important aspects of any celebration, and a wedding is similar to a party at home when everything must be perfect. Every meal is celebrated in celebration of you starting your new life with your partner, much like a feast at a wedding. With their excellent services at your wedding events, Malhotra Caterers helps you plan this feast.They have been in the industry for a while, have provided flawless services at numerous events, and have amassed a happy clientele. The mouthwatering delicacies on the veg plate are prepared by their culinary expertise. Their arrangements and fresh usage of ingredients will give you the best food that will make all the guests have a delicious night on your wedding day.</t>
  </si>
  <si>
    <t>The Embassy Catering</t>
  </si>
  <si>
    <t>the-embassy-catering</t>
  </si>
  <si>
    <t>The Embassy Catering are the wedding caterers based in Delhi NCR. With an industry experience of years, They have been specialised in serving clients with excellency. Embassy has been translated into a legacy built on our matchless recipes along with the changing contemporary preferences in cuisine. All the dishes are prepared from the finest ingredients in a state-of-the-art kitchen by specialized chefs. These multiple cuisines and much more are now available in over thousands of dishes wherever you want it, through their wedding and event catering services.</t>
  </si>
  <si>
    <t>taste-of-food</t>
  </si>
  <si>
    <t>Vegetarian and Non-vegetarian starters Main Course meals (veg &amp; non. Veg)</t>
  </si>
  <si>
    <t>Malhotra Caterers is a catering company serving all over Gurgaon.</t>
  </si>
  <si>
    <t>Krisa Hospitality</t>
  </si>
  <si>
    <t>krisa-hospitality</t>
  </si>
  <si>
    <t>“Krisa Hospitality situated in Delhi NCR offers phenomenal food, outstanding service and stunning presentation are the basic ingredients of every celebration planned. To meet the vision of a catering company, their menu includes the finest and most elegant vegetarian options from around the world, focusing on delivering impeccable culinary and event services. They ensure that each dish is prepared with locally sourced, seasonal and organic ingredients. The gracious and highly trained staff sets high standards and focuses on making your guests feel welcomed.</t>
  </si>
  <si>
    <t>Radhey Shyam Caterers</t>
  </si>
  <si>
    <t>radhey-shyam-caterers</t>
  </si>
  <si>
    <t xml:space="preserve">Radhey Shyam Caterers is a Delhi based catering company. It was started by Sarjeet. He started catering for wedding and other events. With countless clients, ranging from public to private companies, Radhey Shyam gained a reputation for elegant presentations and impressive services. Be assured of the fact that the food is prepared &amp; served under hygienic conditions and all rates are inclusive of top-class service, crockery &amp; cutlery. Cuisines offered: North Indian South Indian Chinese Italian Desserts Italian Rajasthani Maharashtrian Gujarati
</t>
  </si>
  <si>
    <t>Instagram · caterersradheyshyam</t>
  </si>
  <si>
    <t>098112 40051</t>
  </si>
  <si>
    <t xml:space="preserve">Heaven Event and Catering is a catering company serving all over Greater Noida. He started catering for wedding and other events. With countless clients, ranging from public to private companies, Heaven Event and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</si>
  <si>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Silverfork</t>
  </si>
  <si>
    <t>silverfork</t>
  </si>
  <si>
    <t>A cooking business with its central command in Gurgaon is called Silverfork. They can give you anything you want and need, from spicily pre-arranged Indian hors d'oeuvres to luscious Indian desserts and pastries, all while remaining affordable for you. The most significant levels of value control and cleanliness are maintained by them, and they are occasionally actually assessed. They will constantly satisfy their obligation to you by offering types of assistance that are both savvy and of phenomenal quality. A cooking business with its central command in Gurgaon is called Silverfork. They can give you anything that you really want and need, from spicily pre-arranged Indian starters to tasty Indian desserts and treats, all while remaining affordable enough for you. The most significant levels of value control and cleanliness are maintained by them, and they are occasionally truly examined. They will constantly satisfy their obligation to you by offering types of assistance that are both financially savvy and of brilliant quality.</t>
  </si>
  <si>
    <t>https://www.premierpalate.in/</t>
  </si>
  <si>
    <t>093193 04595</t>
  </si>
  <si>
    <t>88007 79056</t>
  </si>
  <si>
    <t>Beertales Food &amp; Beverages Pvt. Ltd.</t>
  </si>
  <si>
    <t>beertales-food-beverages-pvt-ltd</t>
  </si>
  <si>
    <t>Beertales Food &amp; Beverages Pvt. Ltd. is a catering company serving all over Gurgaon. He started catering for wedding and other events. With countless clients, ranging from public to private companies, Beertales Food &amp; beverages Pvt. ltd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</si>
  <si>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Private Parties Weddings
Events
Corporates
Desserts</t>
  </si>
  <si>
    <t>Private Parties Weddings
Events
Corporates</t>
  </si>
  <si>
    <t>Karachi Caterers</t>
  </si>
  <si>
    <t>karachi-caterers</t>
  </si>
  <si>
    <t xml:space="preserve">Mangalam Caterers is a team that works enthusiastically to deliver food in a way that delights the eyes and is palatable to the tongue! Mangalam Caterers is based in the city of Delhi NCR.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Japanese Italian Greek Lebanese Thai Desserts Bengali Gujarati Rajasthani Goan Maharashtrian
</t>
  </si>
  <si>
    <t>Karachi Caterers are based in Delhi NCR and offer professional food and beverage services, Catering and bar services, institutional catering, tenting and decoration, location rental, and event planning are all available. They adhere to the highest standards of quality control and hygiene, which are personally monitored on a regular basis, using their own set of machinery and other equipment. Conferences, corporate launches, anniversaries, socio-cultural gatherings, birthday bashes, cocktails, institutional caterings, and, of course, all wedding functions are catered for. Their team of experts does arrangements for their client’s specific desires and visions, helping to ensure that their wedding is everything they hoped for. They work with various price points without compromising service quality to serve a diverse core audience. They can also customize the services as per the wishes of the client.</t>
  </si>
  <si>
    <t>http://karachicaterers.com/</t>
  </si>
  <si>
    <t>Real Caterers</t>
  </si>
  <si>
    <t>real-caterers</t>
  </si>
  <si>
    <t>098101 16985</t>
  </si>
  <si>
    <t>Delhi Gourmet Kitchen Catering Co</t>
  </si>
  <si>
    <t>delhi-gourmet-kitchen-catering-co</t>
  </si>
  <si>
    <t xml:space="preserve">Raj Tent Caterers &amp; Decorators is a catering company serving all over Ghaziabad. He started catering for wedding and other events. With countless clients, ranging from public to private companies, Raj Tent Caterers &amp; Decorators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</si>
  <si>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 xml:space="preserve">Biryani Singh is a Delhi based catering company serving all over Delhi NCR. He started catering for wedding and other events. With countless clients, ranging from public to private companies, Biryani Singh gained a reputation for elegant presentations and impressive services. Be assured of the fact that the food is prepared &amp; served under hygienic conditions and all rates are inclusive of top-class service, crockery &amp; cutlery. Cuisines offered: North Indian South Indian Desserts Chinese Italian Desserts
</t>
  </si>
  <si>
    <t xml:space="preserve">
Instagram · delhigourmetcatering</t>
  </si>
  <si>
    <t>Tamanna Ji Caterers</t>
  </si>
  <si>
    <t>tamanna-ji-caterers</t>
  </si>
  <si>
    <t xml:space="preserve">Tamanna Ji Caterers is a catering company serving all over Faridabad. They started catering for wedding and other events. With countless clients, ranging from public to private companies, Tamanna Ji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t>
  </si>
  <si>
    <t xml:space="preserve">
Instagram · tamanna_catrers</t>
  </si>
  <si>
    <t>Culinary Experience</t>
  </si>
  <si>
    <t>culinary-experience</t>
  </si>
  <si>
    <t>Tastebuds is a catering company serving all over Gurgaon. He started catering for wedding and other events. With countless clients, ranging from public to private companies, Tastebuds gained a reputation for elegant presentations and impressive services. Be assured of the fact that the food is prepared &amp; served under hygienic conditions and all rates are inclusive of top-class service, crockery &amp; cutlery. Cuisines offered: North Indian Desserts</t>
  </si>
  <si>
    <t>At Culinary Experience, they don’t just serve food—they create unforgettable dining moments. As a renowned catering company serving across Delhi, they began their journey by curating exceptional culinary experiences for weddings and grand events. Over the years, their commitment to flawless presentation, impeccable service, and gourmet excellence has earned them the trust of countless clients, from intimate private gatherings to esteemed corporate affairs.</t>
  </si>
  <si>
    <t>https://culinaryexperience.in/</t>
  </si>
  <si>
    <t>Spontaneous Caterers</t>
  </si>
  <si>
    <t>spontaneous-caterers</t>
  </si>
  <si>
    <t xml:space="preserve">Spontaneous Caterers is a catering company serving all over Gurgaon. He started catering for wedding and other events. With countless clients, ranging from public to private companies, Spontaneous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Gujarati Rajasthani Goan Maharashtrian
</t>
  </si>
  <si>
    <t xml:space="preserve">
Instagram · spontaneouscaterers</t>
  </si>
  <si>
    <t>Sohna Road, Delhi NCR</t>
  </si>
  <si>
    <t>Sohna Road</t>
  </si>
  <si>
    <t>Balaji Caterers</t>
  </si>
  <si>
    <t>North Indian – Rich, aromatic, and indulgent flavors South Indian – A delicate balance of spices and tradition
Chinese – Bold, savory, and full of zest Thai – Exotic, fragrant, and irresistibly delicious
Desserts – Sweet indulgences crafted to perfection</t>
  </si>
  <si>
    <t>balaji-caterers</t>
  </si>
  <si>
    <t xml:space="preserve">Balaji Caterers enjoy the rare distinction of being an all in one organizer for all types of functions that their clients could think of hosting. Be it birthdays, weddings their skilled team can easily manage all aspects of these functions from beginning till the very end. They will make your special event memorable not only for you but, for every one of your guest. Their exquisite &amp; innovative food, spectacular presentation &amp; unfailing service have enabled Balaji Caterers to create a seamless match in Delhi &amp; other cities. Cuisines Offered: North Indian South Indian Chinese Italian Thai Desserts Gujarati Rajasthani
</t>
  </si>
  <si>
    <t>https://balajicaterers.in/</t>
  </si>
  <si>
    <t>Vi-ar Caterers &amp; Events</t>
  </si>
  <si>
    <t>vi-ar-caterers-events</t>
  </si>
  <si>
    <t xml:space="preserve">Vi-ar Caterers &amp; Events is a catering company serving all over Delhi. He started catering for wedding and other events. With countless clients, ranging from public to private companies, Vi-ar Caterers &amp; Events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</si>
  <si>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Tastefresh Hospitality Pvt Ltd</t>
  </si>
  <si>
    <t>tastefresh-hospitality-pvt-ltd</t>
  </si>
  <si>
    <t>Tastefresh Hospitality Pvt Ltd is a catering company serving all over Gurgaon. He started catering for wedding and other events. With countless clients, ranging from public to private companies, Tastefresh Hospitality Pvt Ltd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</si>
  <si>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Food Minar</t>
  </si>
  <si>
    <t>food-minar</t>
  </si>
  <si>
    <t>Food Minar Catering helps in Elevating Your Celebration with Exceptional Flavors</t>
  </si>
  <si>
    <t>https://www.foodminar.com/</t>
  </si>
  <si>
    <t>072176 56500</t>
  </si>
  <si>
    <t xml:space="preserve">Flame n Grills is a catering company serving all over Noida. He started catering for wedding and other events. With countless clients, ranging from public to private companies, Flame n Grills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</si>
  <si>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Spiceroot Catering Services</t>
  </si>
  <si>
    <t>spiceroot-catering-services</t>
  </si>
  <si>
    <t>Spiceroot Catering Services is Delhi based and provides delicious and good quality food for different personal and corporate events. The menu can be customized as per requirement. The quality and hygiene factor is given utmost importance. The food is well prepare and presented. They provide their services for a minimum of 100 and a maximum of 3000 people.</t>
  </si>
  <si>
    <t>https://spiceroute.org.in/</t>
  </si>
  <si>
    <t>96575 11901</t>
  </si>
  <si>
    <t>Boostan Catering</t>
  </si>
  <si>
    <t>boostan-catering</t>
  </si>
  <si>
    <t>Boostan Catering is a catering company serving all over Gurgaon. He started catering for wedding and other events. With countless clients, ranging from public to private companies, Boostan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</si>
  <si>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31</t>
  </si>
  <si>
    <t>North Indian Street food</t>
  </si>
  <si>
    <t>081303 08994</t>
  </si>
  <si>
    <t>700</t>
  </si>
  <si>
    <t>900</t>
  </si>
  <si>
    <t>FoodCape by Arora Foods Catering</t>
  </si>
  <si>
    <t>foodcape-by-arora-foods-catering</t>
  </si>
  <si>
    <t xml:space="preserve">FoodCape by Arora Foods Catering approach is different from the rest of our competitors where we give the clients to customize the menu to any extent possible. The services they deliver is always bundled with a host of add-on services such as waiters, crockery, tenting, decoration and lot more. Catering services are available in and around Delhi/NCR seven-days a week, complete with customized menus, customized services and a low catering price. Services Offered: Chinese North Indian
</t>
  </si>
  <si>
    <t xml:space="preserve">Facebook · Arora Foods Catering - FoodCape Eventz
</t>
  </si>
  <si>
    <t>100</t>
  </si>
  <si>
    <t>5000</t>
  </si>
  <si>
    <t>158</t>
  </si>
  <si>
    <t>https://www.mirchmasalacaterers.com/?gad_source=1&amp;gclid=CjwKCAjwoJa2BhBPEiwA0l0ImNLX7J-nyMVl28Qn6jCS0qhgYdF8xUUOEpyqA87pEDUysM-sV6TGXRoCvwMQAvD_BwE</t>
  </si>
  <si>
    <t>078380 81940</t>
  </si>
  <si>
    <t>Annapurna Catering</t>
  </si>
  <si>
    <t>The Rancho Jai Gaurmet Services</t>
  </si>
  <si>
    <t>annapurna-catering</t>
  </si>
  <si>
    <t>the-rancho-jai-gaurmet-services</t>
  </si>
  <si>
    <t>550</t>
  </si>
  <si>
    <t>The Rancho Jai Gaurmet Services is a catering company serving all over Gurgaon. He started catering for wedding and other events. With countless clients, ranging from public to private companies,The Rancho Jai Gaurmet Services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</si>
  <si>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Delhi is the national capital of the country and hence of prime importance. If you are looking for wedding catering services to cater to this elite segment Annapurna Catering may be a great option. Delhi based Annapurna Catering, will have your special day covered with mouth-watering good food which is sure to be loved by all the guest attendees. They have skilled chefs, who cater to every individual taste bud. In a short span of time, they have done several catering services, serving numerous clients with the best of experiences by their food and services. They expertise in what they do and have the most skilled chefs to achieve it. Striving to reach out to each community has also been of utmost importance to them. Their expertise is to present the various preparations of exotic oriental cuisines. They are renowned in the city as caterers with expertise in Punjabi dishes.</t>
  </si>
  <si>
    <t>750</t>
  </si>
  <si>
    <t>https://www.annapurnacateringservice.in/</t>
  </si>
  <si>
    <t>Manesar, Manesar</t>
  </si>
  <si>
    <t>Manesar</t>
  </si>
  <si>
    <t>25</t>
  </si>
  <si>
    <t>3000</t>
  </si>
  <si>
    <t>371</t>
  </si>
  <si>
    <t>https://www.seekingroots.in/</t>
  </si>
  <si>
    <t>088005 98269</t>
  </si>
  <si>
    <t>Siya Events &amp; Catering Mgt</t>
  </si>
  <si>
    <t>Traditional South Indian dishes Authentic Punjabi dishes
Exotic Oriental dishes
North Indian dishes.</t>
  </si>
  <si>
    <t>siya-events-catering-mgt</t>
  </si>
  <si>
    <t>Siya Events &amp; Catering Mgt is a catering company serving all over Gurgaon. He started catering for wedding and other events. With countless clients, ranging from public to private companies, Siya Events &amp; Catering Mgt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t>
  </si>
  <si>
    <t>2500</t>
  </si>
  <si>
    <t>Seeking Roots is a business in the city of Noida that provides catering services. When two people decide to get married at Seeking Roots there should be a big party to celebrate. Several studies have found that the quality of the food served at a wedding is strongly linked to how happy the guests are about it. For this kind of event you need the help of a good caterer. In Hyderabad Seeking Roots is so popular that its name is almost a household word thanks to its reputation for serving delicious food and great service. Seeking Roots has a beautiful dining room a very well-trained staff and a huge selection of delicious food.</t>
  </si>
  <si>
    <t>Sol Food</t>
  </si>
  <si>
    <t>sol-food</t>
  </si>
  <si>
    <t>Sol Food is a Delhi based elite catering service making sure to deliver the kind of delicious food with incredible flavors that reach straight to your heart. The chef will take an extra step to offer you with delicacies that are inspired from Indian cuisine and other cuisines from around the world. Be it for pre-wedding, wedding or post-wedding; their menus are tailor made and customized just for you and to suit your tastes. With Sol Food catering at your wedding, your guests are sure to be impressed. They cater to a minimum capacity of 20 people and to a maximum capacity of 1000 people. They also give the option of choosing among or having both vegetarian and non-vegetarian food.</t>
  </si>
  <si>
    <t>10</t>
  </si>
  <si>
    <t>Sol Food is a Delhi based elite catering service making sure to deliver the kind of delicious food with incredible flavors that reach straight to your heart. The chef will take an extra step to offer you with delicacies that are inspired from Indian cuisine and other cuisines from around the world. Be it for pre-wedding wedding or post-wedding; their menus are tailor made and customized just for you and to suit your tastes. With Sol Food catering at your wedding
your guests are sure to be impressed. They cater to a minimum capacity of 20 people and to a maximum capacity of 1000 people. They also give the option of choosing among or having both vegetarian and non-vegetarian food.</t>
  </si>
  <si>
    <t>Vivah Designerz</t>
  </si>
  <si>
    <t>vivah-designerz</t>
  </si>
  <si>
    <t>Vivah Designerz based in Delhi NCR is your one-stop shop for all types of wedding planning needs. They specialise in decoration modern, exceptional, creative and designer weddings. And they aim to provide you with a budget-friendly wedding without any compromises on the details. Their efforts are focused on bringing your dream wedding to reality with every detail that you can't think of. Their conceptualization and management skills are exemplary. They can suggest you creative themes and professional advice but they keep it professional and non-intrusive. They love to work as per clients choice and demand as value for money to balance their choice and budget. They guarantee a celebration so sensational that it will never be forgotten by you or your guests. Services Offered: Wedding Decor Party Decor Theme Mandap Decor Stage Decor</t>
  </si>
  <si>
    <t>Gupta Caterers &amp; Wedding Planner</t>
  </si>
  <si>
    <t>gupta-caterers-wedding-planner</t>
  </si>
  <si>
    <t>Golf Course Road, Gurgaon</t>
  </si>
  <si>
    <t xml:space="preserve">Gupta Caterers &amp; Wedding Planner is a Delhi based catering company. It was started by Amit. He started catering for wedding and other events. With countless clients, ranging from public to private companies, Gupta Caterers &amp; Wedding Planner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Rajasthani
</t>
  </si>
  <si>
    <t>Golf Course Road</t>
  </si>
  <si>
    <t>https://www.guptacaterers.in/</t>
  </si>
  <si>
    <t>Dragon Wagon</t>
  </si>
  <si>
    <t>dragon-wagon</t>
  </si>
  <si>
    <t>Dragon Wagon is a Delhi NCR based catering company. It was started by Yash Grover. He started catering for wedding and other events. With countless clients, ranging from public to private companies, Dragon Wagon gained a reputation for elegant presentations and impressive services. Be assured of the fact that the food is prepared &amp; served under hygienic conditions and all rates are inclusive of top-class service, crockery &amp; cutlery. Cuisines offered: Chinese Japanese Lebanese Thai</t>
  </si>
  <si>
    <t>MG Road, Gurgaon</t>
  </si>
  <si>
    <t>MG Road</t>
  </si>
  <si>
    <t>Alwar Events</t>
  </si>
  <si>
    <t>alwar-events</t>
  </si>
  <si>
    <t xml:space="preserve">Alwar Events is a Delhi based catering company. It was started by Vipul. He started catering for wedding and other events. With countless clients, ranging from public to private companies, Alwar Events gained a reputation for elegant presentations and impressive services. Be assured of the fact that the food is prepared &amp; served under hygienic conditions and all rates are inclusive of top-class service, crockery &amp; cutlery. Cuisines offered: North Indian South Indian Chinese Italian Desserts Italian Rajasthani Maharashtrian Gujarati
</t>
  </si>
  <si>
    <t>https://www.alwareventsplanner.in/</t>
  </si>
  <si>
    <t>Mom Kitchen</t>
  </si>
  <si>
    <t>mom-kitchen</t>
  </si>
  <si>
    <t>Mom Kitchen is a catering company serving all over Delhi NCR. He started catering for wedding and other events. With countless clients, ranging from public to private companies, Mom Kitchen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</si>
  <si>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The Chef House</t>
  </si>
  <si>
    <t>the-chef-house</t>
  </si>
  <si>
    <t>Professionalizing your Catering Experience We believe in giving an aesthetic experience to your taste buds...!!!</t>
  </si>
  <si>
    <t>PK Caterersz</t>
  </si>
  <si>
    <t xml:space="preserve">
Instagram · thechefhouseindia
</t>
  </si>
  <si>
    <t>pk-caterersz</t>
  </si>
  <si>
    <t>077019 52312</t>
  </si>
  <si>
    <t>PK Caterersz is a catering company serving all over Gurgaon. He started catering for wedding and other events. With countless clients, ranging from public to private companies, PK Caterersz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</si>
  <si>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Harisons Caterers</t>
  </si>
  <si>
    <t>harisons-caterers</t>
  </si>
  <si>
    <t xml:space="preserve">Established in the Year 1960, Harisons Caterers is one of the oldest and most recognized names in Hospitality. The Company has been at the forefront of the Food &amp; Beverages sector, bringing in the latest trends and concepts from around the world. Mr. Lajpat Rai, Founder of Harisons Caterers believes in providing Guests with the "Ultimate Dining Experience", and that is what embodies the products and services offered by the Company. From Designer Weddings, Corporate Soirées, Product Launches or just a simple get-together of near &amp; dear ones, they provide unparalleled levels of service, along with the finest cuisines made from the choicest ingredients sourced from across the world. Multi–cuisine offerings, culinary indulgence &amp; exemplary service help them provide their Guests with an Unforgettable Experience.
</t>
  </si>
  <si>
    <t>https://harisonscaterers.com/</t>
  </si>
  <si>
    <t>Ess Emm Caterers</t>
  </si>
  <si>
    <t>ess-emm-caterers</t>
  </si>
  <si>
    <t>Ess Emm Caterers is a catering business in Sector 43, Gurgaon. They began in 2002 and are now one of Gurgaon’s most popular and successful catering services. They are a catering service that operates in Delhi and the surrounding areas. They offer a variety of cuisines as well as exceptional service to their customers. Their well-trained staff ensures that everything is perfectly prepared and served. They try to set a standard by providing a pleasant atmosphere and sumptuous fare. You only need to dream with this company by your side; the rest will be taken care of, and your wedding will become a culinary experience.</t>
  </si>
  <si>
    <t>Vegetarian Non vegetarian
North Indian</t>
  </si>
  <si>
    <t>Delhicacy</t>
  </si>
  <si>
    <t>delhicacy</t>
  </si>
  <si>
    <t>Delhicacy is a Gurgaon based catering company. It was started by Prabal. He started catering for wedding and other events. With countless clients, ranging from public to private companies, Delhicacy gained a reputation for elegant presentations and impressive services. Be assured of the fact that the food is prepared &amp; served under hygienic conditions and all rates are inclusive of top-class service, crockery &amp; cutlery. Cuisines offered: Chaat &amp; Street Food</t>
  </si>
  <si>
    <t>Sangam Caterers</t>
  </si>
  <si>
    <t>sangam-caterers</t>
  </si>
  <si>
    <t>More than a decade of experience in Outdoor Catering Over 2,000 satisfied clients All encompassing offerings that include fine course corporate meals to simple traditional lunch, lavish weddings to kids birthday parties Professional &amp; well qualified staff offering unmatched quality Chefs excelling in world cuisines keeping in mind international hygeine and quality standards Tailor-made menus to suit individual needs and budget Having an experience of serving more than 5,000 people at a time High quality service and food at short notice</t>
  </si>
  <si>
    <t>https://sangamcateringservice.com/</t>
  </si>
  <si>
    <t>Deliciosa Catering</t>
  </si>
  <si>
    <t>deliciosa-catering</t>
  </si>
  <si>
    <t>Gurgaon is home to the providing food organization Deliciosa Catering. Without divine food, wedding services wouldn't be finished. To enlist a legitimate cook, Deliciosa Catering is the ideal decision since it gives a great many administrations and emphatically esteems client fulfillment. Make your weddings significant by serving flavorful food while the caterer offers the best administrations and conveys positive results. They likewise offer tweaked menus to address the issues of their clients. They figure every dinner ought to have a special touch. Our gifted culinary specialist and this group, who have long stretches of involvement with the business, serve luscious rarities that they have made. They offer unmatched degrees of administration paying close consideration to everything from the game plan of the food, embellishing the dishes, and plating the food since they feel that food show and format are similarly as essential to the eating experience as flavor. Get your taste buds going as they join exemplary food flavors with contemporary sensations.</t>
  </si>
  <si>
    <t>Vegetarian only Drinks
Chaats and Street Food</t>
  </si>
  <si>
    <t>Punjab Caterers</t>
  </si>
  <si>
    <t>punjab-caterers</t>
  </si>
  <si>
    <t>https://www.punjabcaterers.net/</t>
  </si>
  <si>
    <t xml:space="preserve"> 098115 95594</t>
  </si>
  <si>
    <t>Solaris Catering</t>
  </si>
  <si>
    <t>solaris-catering</t>
  </si>
  <si>
    <t>Solaris is a sumptuous wedding catering company based in Gurgaon. A perfect and quintessential destination where you will encounter a wide spectrum of top quality, exquisite and elite services available to make your dream day come true. We will make your sojourn an extraordinary experience, enabling you to get in touch with an extravagant life-style and to enjoy its paramount qualities in full.</t>
  </si>
  <si>
    <t>Mohit Caterers is a Delhi based catering company. They started catering for wedding and other events. With countless clients, ranging from public to private companies, Mohit Caterers gained a reputation for elegant presentations and impressive services. Be assured of the fact that the food is prepared &amp; served under hygienic conditions and all rates are inclusive of top-class service, crockery &amp; cutlery. Cuisines offered: North Indian Chinese Desserts</t>
  </si>
  <si>
    <t>Bengal Fish Corner and Caterers</t>
  </si>
  <si>
    <t>bengal-fish-corner-and-caterers</t>
  </si>
  <si>
    <t>Bengal Fish Corner and Caterers is a catering company serving all over Gurugram. He started catering for wedding and other events. With countless clients, ranging from public to private companies, Bengal Fish Corner and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</si>
  <si>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 xml:space="preserve">Fusion Of Flavours is a catering company serving all over Delhi. He started catering for wedding and other events. With countless clients, ranging from public to private companies, Fusion Of Flavours gained a reputation for elegant presentations and impressive services. Be assured of the fact that the food is prepared &amp; served under hygienic conditions and all rates are inclusive of top-class service, crockery &amp; cutlery. Cuisines offered: North Indian South Indian Chinese
</t>
  </si>
  <si>
    <t>Pitampura, Delhi NCR</t>
  </si>
  <si>
    <t>Pitampura</t>
  </si>
  <si>
    <t>Caara</t>
  </si>
  <si>
    <t>caara</t>
  </si>
  <si>
    <t>Caara, a Delhi based catering company that promotes fine food and food experiences was founded in 2014. An acronym for Culinary Arts And Research Academy, this venture stands at the heart of CAARA’s food exploration and has been the passion that drives all of CAARA’s subsequent ventures. Each venture seamlessly lends a hand to one another right from the raw ingredients to the final product; all managed in house to ensure the best standards of quality and food safety.@</t>
  </si>
  <si>
    <t>https://caara.com/</t>
  </si>
  <si>
    <t>Curry Patta</t>
  </si>
  <si>
    <t>curry-patta</t>
  </si>
  <si>
    <t>Curry Patta is a catering company serving all over Gurgaon. He started catering for wedding and other events. With countless clients, ranging from public to private companies, Curry Patta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t>
  </si>
  <si>
    <t>Italian</t>
  </si>
  <si>
    <t>Rupa Tikki Wala and Caterers</t>
  </si>
  <si>
    <t>Western</t>
  </si>
  <si>
    <t>rupa-tikki-wala-and-caterers</t>
  </si>
  <si>
    <t>Rupa Tikki Wala and Caterers is a catering company serving all over Gurgaon. He started catering for wedding and other events. With countless clients, ranging from public to private companies, Rupa Tikki Wala and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</si>
  <si>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The Supper Club</t>
  </si>
  <si>
    <t>the-supper-club</t>
  </si>
  <si>
    <t>Started by brothers Ankit and Savar Duggal – The Supper Club is a gourmet catering company based in New Delhi. At The Supper Club they aim to provide you with a quality- gourmet dining experience. From food to service and décor – every option is carefully selected and catered to you. They love working closely with their client to design the perfect event, and they will be there personally to make sure everyone has a good time.@</t>
  </si>
  <si>
    <t>https://supperclubcaterings.com/</t>
  </si>
  <si>
    <t>Northern Cusine</t>
  </si>
  <si>
    <t>northern-cusine</t>
  </si>
  <si>
    <t>Traditional</t>
  </si>
  <si>
    <t>R.K. Rathor Caterers</t>
  </si>
  <si>
    <t>r-k-rathor-caterers</t>
  </si>
  <si>
    <t>R.K. Rathor Caterers is a catering company serving all over Gurugram . He started catering for wedding and other events. With countless clients, ranging from public to private companies, R.K Rathor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</si>
  <si>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Paprika Kitchen</t>
  </si>
  <si>
    <t>paprika-kitchen</t>
  </si>
  <si>
    <t>Paprika Kitchen is a catering company serving all over Delhi. He started catering for wedding and other events. With countless clients, ranging from public to private companies, Dutta Caterers and Decorators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</si>
  <si>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http://paprikakitchen.co.in/</t>
  </si>
  <si>
    <t>Kashmirana Flavours of the Valley</t>
  </si>
  <si>
    <t>kashmirana-flavours-of-the-valley</t>
  </si>
  <si>
    <t>098731 65557</t>
  </si>
  <si>
    <t>Uttam Nagar, Delhi NCR</t>
  </si>
  <si>
    <t>Uttam Nagar</t>
  </si>
  <si>
    <t>Get best quote from Kashmirana Flavours of the Valley and book your date! Check their prices and availability. Send enquiry to your selected list of Wedding Catering at WedMeGood and choose the best. Browse for more Wedding Catering in Gurgaon and more wedding vendors at WedMeGood and plan your wedding hassle free.</t>
  </si>
  <si>
    <t>Sohna Road, Gurgaon</t>
  </si>
  <si>
    <t>Punjab Grill is an endeavor by Lite Bite Foods to take our guests on a culinary journey into the grandeur of the Royal State of undivided Punjab. Diners experience an exploration of wonderful diversity of the Frontier Food and the rich streams of Hindu, Sikh, Pathan and Punjabi cuisine. Punjab Grill promises an exquisite dining experience to all its patrons with an array of culinary delights that are aromatic and flavorful.</t>
  </si>
  <si>
    <t>Goel Foods &amp; Caterers</t>
  </si>
  <si>
    <t>goel-foods-caterers</t>
  </si>
  <si>
    <t xml:space="preserve">Goel Foods &amp; Caterers, based in Delhi NCR, is a team that works enthusiastically to deliver food in a way that delights the eyes and is palatable to the tongue!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t>
  </si>
  <si>
    <t>The Kitchen Art Company</t>
  </si>
  <si>
    <t>the-kitchen-art-company</t>
  </si>
  <si>
    <t>The Kitchen Art Co is a catering company based in Delhi NCR. They pay special heed in meeting your gastronomical requirements - simply, or with as much panache as you like. From fine-course corporate meals to a simple traditional lunches; from the whole spectrum of weddings, to meetings hither and thither. Whatever your theme and purpose maybe, they provide unobtrusive, remarkable, but most of all, professional service. Their infrastructure, expertise and experience give them a unique range of sparkling and bubbling ideas.</t>
  </si>
  <si>
    <t>Jain Catering Only Vegetarian Only
Chaat &amp; Street Food Only</t>
  </si>
  <si>
    <t xml:space="preserve">The Catering Crew is a catering company serving all over Noida. He started catering for wedding and other events. With countless clients, ranging from public to private companies, The Catering Crew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</si>
  <si>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https://www.cateringcrew.catering/</t>
  </si>
  <si>
    <t>Dev Caterers &amp; Decorators</t>
  </si>
  <si>
    <t>dev-caterers-decorators</t>
  </si>
  <si>
    <t>Based in Delhi,Dev Caterers &amp; Decorators is a popular wedding catering company which has been working in the industry for many years. Besides weddings, the company also provides catering for a Birthday party, Reception catering, Kitty parties, corporate events, etc. They specialize in live counter items. Be it an outdoor event or an indoor event, they have an efficient team and the setups that can suit any event. Their team ensures that the food is prepared with care and hygiene. Contact them today to know more about their services. Cuisines Offered: North Indian Chinese Italian Greek Desserts Bengali Gujarati Rajasthani</t>
  </si>
  <si>
    <t>https://www.instagram.com/dev_caterers01/</t>
  </si>
  <si>
    <t>North Delhi, Delhi NCR</t>
  </si>
  <si>
    <t>North Delhi</t>
  </si>
  <si>
    <t>TOP FOOD AND BEVERAGE DESIGNER CATERING</t>
  </si>
  <si>
    <t>top-food-and-beverage-designer-catering</t>
  </si>
  <si>
    <t xml:space="preserve">Vendor Information is not available
</t>
  </si>
  <si>
    <t>Wedding Waale</t>
  </si>
  <si>
    <t>wedding-waale</t>
  </si>
  <si>
    <t>We make your happiest moments last FOREVER! The Wedding Waale is a wedding photography and cinematography team based out of Bhopal, Madhya Pradesh, India We deal in wedding photography and cinematography services. Pre-Wedding photos, videos, save the date video and photos, wedding invitations, albums, cinematic movies, trailer, teaser, wedding films. We know exactly what you're looking for in your wedding pictures. Be it a destination wedding or a local one, they'll blend into the background and capture the tiniest of all details so that your wedding album is filled with true stories instead of artificial poses. The Wedding Waale team has done some interesting pre-wedding shoots, which has been appreciated by a lot of their followers. They boast of having a full time in house team of 6 members who offer complete end to end services to clients, right from the first interaction, planning, shooting, post production till final delivery.</t>
  </si>
  <si>
    <t>Sj Caterers</t>
  </si>
  <si>
    <t>Chhota Anangpur, Faridabad</t>
  </si>
  <si>
    <t>sj-caterers</t>
  </si>
  <si>
    <t>Chhota Anangpur</t>
  </si>
  <si>
    <t xml:space="preserve">Sj Caterers is a catering company serving all over Delhi-NCR. He started catering for wedding and other events. With countless clients, ranging from public to private companies, Sj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t>
  </si>
  <si>
    <t>https://sjcaterers.in/</t>
  </si>
  <si>
    <r>
      <rPr>
        <color rgb="FF1155CC"/>
        <u/>
      </rPr>
      <t>098995 84071</t>
    </r>
  </si>
  <si>
    <t>PM Brother Decorator and Caterer</t>
  </si>
  <si>
    <t>pm-brother-decorator-and-caterer</t>
  </si>
  <si>
    <t>PM Brother Decorator and Caterer is a catering company serving all over Faridabad. He started catering for wedding and other events. With countless clients, ranging from public to private companies, PM Brother Decorator and Caterer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t>
  </si>
  <si>
    <t>Gulshan Fish and Chicken Corner</t>
  </si>
  <si>
    <t>gulshan-fish-and-chicken-corner</t>
  </si>
  <si>
    <t>Gulshan Fish and Chicken Corner is a catering company serving all over Faridabad. He started catering for wedding and other events. With countless clients, ranging from public to private companies,Gulshan Fish and Chicken Corner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</si>
  <si>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S.S Caterers</t>
  </si>
  <si>
    <t>s-s-caterers</t>
  </si>
  <si>
    <t xml:space="preserve">S.S Caterers is a Delhi NCR based catering service provider. Their mission is to specialise in partnering with their discerning Guests to create elegant, memorable experiences. Whether it is a wedding, corporate gathering, or another special occasion, they are committed to providing impeccable service and hand-prepared cuisine in warm, timeless settings. They offer their expertise for Weddings, Corporate Events, Private Parties, and Special events. They have never seized to present their lip-smacking cuisines that leaves a long-lasting impression on each and every guest. Specialization: North Indian South Indian Chinese Desserts Rajasthani
</t>
  </si>
  <si>
    <t>New Industrial Town, Faridabad</t>
  </si>
  <si>
    <t>https://www.sscaterers.co//</t>
  </si>
  <si>
    <t>New Industrial Town</t>
  </si>
  <si>
    <t>99800 53307</t>
  </si>
  <si>
    <t>Peppers Plate</t>
  </si>
  <si>
    <t>peppers-plate</t>
  </si>
  <si>
    <t>Peppers Plate is a catering company serving all over Faridabad. Peppers Plate started catering for wedding and other events. With countless clients, ranging from public to private companies, Peppers Plate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</si>
  <si>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Mukesh Caterers</t>
  </si>
  <si>
    <t>mukesh-caterers</t>
  </si>
  <si>
    <t xml:space="preserve">Mukesh Caterers is a catering company serving all over Delhi. He started catering for wedding and other events. With countless clients, ranging from public to private companies, Mukesh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t>
  </si>
  <si>
    <t>https://mukeshcaterers.co.in/</t>
  </si>
  <si>
    <t>Tamanna Ji Caterers is a catering company serving all over Faridabad. They started catering for wedding and other events. With countless clients, ranging from public to private companies, Tamanna Ji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t>
  </si>
  <si>
    <t>Mamta Caterers &amp; Restaurant</t>
  </si>
  <si>
    <t>mamta-caterers-restaurant</t>
  </si>
  <si>
    <t>Mamta Caterers &amp; Restaurant is a team that works enthusiastically to deliver food in a way that delights the eyes and is palatable to the tongue! Mamta Caterers &amp; Restaurant is based in Delhi NCR.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Maharashtrian</t>
  </si>
  <si>
    <t>Khomchaa - The Chaat Culture</t>
  </si>
  <si>
    <t>khomchaa-the-chaat-culture</t>
  </si>
  <si>
    <t xml:space="preserve">Khomchaa The Chaat Culture is a popular chaat providing catering company from Delhi, with an endeavor to refine and redefine the street food experience for food lovers and connoisseurs. They believe that food gets its Soul when its turned into a fine recipe. They have provided catering to some of the most lavish weddings and events over the years. They have a decade of experience in providing impeccable service to their clients. Contact them to book them for your wedding. Specialization: Chaat
</t>
  </si>
  <si>
    <t xml:space="preserve">
Instagram · khomchaa
</t>
  </si>
  <si>
    <t>Gulati Caterers</t>
  </si>
  <si>
    <t>gulati-caterers</t>
  </si>
  <si>
    <t xml:space="preserve">Gulati Caterers is a catering company serving all over Noida. He started catering for wedding and other events. With countless clients, ranging from public to private companies, Gulati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</si>
  <si>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 xml:space="preserve">Instagram · gulaticaterers_ig
</t>
  </si>
  <si>
    <t>Natraj Caterers</t>
  </si>
  <si>
    <t>natraj-caterers</t>
  </si>
  <si>
    <t>Natraj Caterers is a catering company serving all over Delhi. He started catering for weddings and other events. With countless clients, ranging from public to private companies, Natraj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t>
  </si>
  <si>
    <t>https://natrajcaterers.com/</t>
  </si>
  <si>
    <t>093505 87971</t>
  </si>
  <si>
    <t>Him Zaika</t>
  </si>
  <si>
    <t>him-zaika</t>
  </si>
  <si>
    <t xml:space="preserve">Him Zaika is a catering company serving all over Delhi. He started catering for wedding and other events. With countless clients, ranging from public to private companies, Dutta Caterers and Decorators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</si>
  <si>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Palam, Delhi NCR</t>
  </si>
  <si>
    <t>Palam</t>
  </si>
  <si>
    <t>Daawat Caterers</t>
  </si>
  <si>
    <t>daawat-caterers</t>
  </si>
  <si>
    <t xml:space="preserve">Daawat Caterers is a Delhi NCR based catering company. They cater to wedding and other events. With countless clients, ranging from public to private companies, they gained a reputation for elegant presentations and impressive services. Be assured of the fact that the food is prepared &amp; served under hygienic conditions and all rates are inclusive of top-class service, crockery &amp; cutlery. Cuisines offered: Desserts Bengali Gujarati Rajasthani Goan Maharashtrian North Indian South Indian Chinese Italian
</t>
  </si>
  <si>
    <t xml:space="preserve">
Instagram · daawat_caterers_</t>
  </si>
  <si>
    <t xml:space="preserve">1900 AD A Kitchen is a Delhi NCR based catering company. It was started by Hema. He started catering for wedding and other events. With countless clients, ranging from public to private companies, 1900 AD A Kitchen gained a reputation for elegant presentations and impressive services. Be assured of the fact that the food is prepared &amp; served under hygienic conditions and all rates are inclusive of top-class service, crockery &amp; cutlery. Cuisines offered: North Indian Desserts Bengali
</t>
  </si>
  <si>
    <t xml:space="preserve">
Instagram · 1900adakitchenlovestory
</t>
  </si>
  <si>
    <t>090157 03000</t>
  </si>
  <si>
    <t>Aeromatik Catering</t>
  </si>
  <si>
    <t>aeromatik-catering</t>
  </si>
  <si>
    <t xml:space="preserve">Aeromatik Catering is a Delhi based catering company. It was started by Anil. He started catering for wedding and other events. With countless clients, ranging from public to private companies, Aeromatik Catering gained a reputation for elegant presentations and impressive services. Be assured of the fact that the food is prepared &amp; served under hygienic conditions and all rates are inclusive of top-class service, crockery &amp; cutlery. Cuisines offered: North Indian Chinese Italian Desserts Maharashtrian
</t>
  </si>
  <si>
    <t xml:space="preserve">
Facebook
https://www.facebook.com › aeromatikrestaurant</t>
  </si>
  <si>
    <t>Glassware Mineral water bottles
Bartender and other bar services Driver Food</t>
  </si>
  <si>
    <t>Sethi Caterers &amp; Decoraters</t>
  </si>
  <si>
    <t>sethi-caterers-decoraters</t>
  </si>
  <si>
    <t>Sethi Caterers &amp; Decoraters is a catering company serving all over Faridabad. He started catering for weddings and other events. With countless clients, ranging from public to private companies, Sethi Caterers &amp; Decoraters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Thai Desserts Bengali Gujarati Rajasthani Goan Maharashtrian</t>
  </si>
  <si>
    <t>Saltt Catering</t>
  </si>
  <si>
    <t>saltt-catering</t>
  </si>
  <si>
    <t>Saltt Catering, based in Aya Nagar, Delhi NCR, is a distinguished catering company renowned for its culinary expertise and impeccable services. With a rich experience spanning over 9 years, Saltt Catering has become a trusted choice for weddings and various events. The company takes pride in delivering elegant presentations and ensuring a delightful culinary experience for clients.</t>
  </si>
  <si>
    <t>https://www.salttcatering.net/</t>
  </si>
  <si>
    <t>Yadav Tent House &amp; Caterer's - Caterers</t>
  </si>
  <si>
    <t>yadav-tent-house-caterer-s-caterers</t>
  </si>
  <si>
    <t>Yadav Tent House &amp; Caterer's is a catering company serving all over Faridabad. He started catering for wedding and other events. With countless clients, ranging from public to private companies,Yadav Tent House &amp;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</si>
  <si>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Mehrauli, Delhi NCR</t>
  </si>
  <si>
    <t>Mehrauli</t>
  </si>
  <si>
    <t>Faridabad, Ballabgarh</t>
  </si>
  <si>
    <t>North Indian Catering for Weddings and Events
Inclusive of Top-Class Service, Crockery &amp; Cutlery</t>
  </si>
  <si>
    <t>Catering for Weddings and Events Elegant Presentations
Inclusive of Top-Class Service, Crockery &amp; Cutlery</t>
  </si>
  <si>
    <t>Get Set Eat</t>
  </si>
  <si>
    <t>get-set-eat</t>
  </si>
  <si>
    <t>Milan Tent House</t>
  </si>
  <si>
    <t>milan-tent-house</t>
  </si>
  <si>
    <t>Saltt Catering, based in Aya Nagar, Delhi NCR, is a distinguished catering company renowned for its culinary expertise and impeccable services. With a rich experience spanning over 9 years, Saltt Catering has become a trusted choice for weddings and various events. The company takes pride in delivering elegant presentations and ensuring a delightful culinary experience for clients.
*Cuisines Offered by Saltt Catering *
The team specializes in a diverse range of cuisines to tantalize your taste buds. The offered cuisines include:
North Indian
South Indian
Chinese
Desserts
Their culinary team is skilled in crafting flavorsome dishes from various regions, providing a versatile and delectable menu for your wedding festivities.
*Services Offered by Saltt Catering *
The team goes beyond merely serving food; they are dedicated to curating a comprehensive catering experience. The services offered include:
Catering for Weddings and Events
Elegant Presentations
Hygienic Food Preparation and Service
Inclusive of Top-Class Service, Crockery &amp; Cutlery
The team ensures that every aspect of their service aligns with the highest standards of quality, hygiene, and presentation. Their commitment to excellence is reflected in their longstanding reputation in the catering industry.
*Areas Covered/Location by Saltt Catering *
The team extends its services to cover the entire Delhi NCR region. Whether your wedding venue is in Aya Nagar or any other locality within Delhi NCR, Saltt Catering is ready to bring their culinary expertise to your celebration.</t>
  </si>
  <si>
    <t>Milan Tent House is a catering company serving all over Faridabad. He started catering for wedding and other events. With countless clients, ranging from public to private companies,Milan Tent House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t>
  </si>
  <si>
    <t>Hauz Khas, Delhi NCR</t>
  </si>
  <si>
    <t>Hauz Khas</t>
  </si>
  <si>
    <t>Sector 50, Faridabad</t>
  </si>
  <si>
    <t>Guru Kirpa Caterers</t>
  </si>
  <si>
    <t>guru-kirpa-caterers</t>
  </si>
  <si>
    <t>Guru Kirpa Caterers is a catering company serving all over Faridabad. He started catering for wedding and other events. With countless clients, ranging from public to private companies, Guru Kirpa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</si>
  <si>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The Party Chef Caterers</t>
  </si>
  <si>
    <t>the-party-chef-caterers</t>
  </si>
  <si>
    <t>The Party Chef Caterers has long been involved in the restaurant business. Based in Delhi NCR, the company is extending its services in a few more cities. They are here to provide quality service and tasty food along with maintaining proper hygiene. Also along with preparing good food, it is necessary to serve them in an attractive manner which adds extra spice to it and it is done by this catering amazingly. They are one of the perfect options to hire for your special events. Cuisines Offered:</t>
  </si>
  <si>
    <t>http://www.speedychefcatering.in/</t>
  </si>
  <si>
    <t>085889 95120</t>
  </si>
  <si>
    <t>Foodiez Delight</t>
  </si>
  <si>
    <t>foodiez-delight</t>
  </si>
  <si>
    <t>Foodiez Delight is a catering company serving all over Faridabad . He started catering for wedding and other events. With countless clients, ranging from public to private companies, Foodiez Delight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t>
  </si>
  <si>
    <t>Traditional Vegan menu
Administration Staff/Servers
Porcelain and cutlery
Introduction and lighting for the sustenance arrangement
Barkeep and other bar administrations
Delicate drinks, juices, soft drinks, tonic</t>
  </si>
  <si>
    <t>Traditional North Indian</t>
  </si>
  <si>
    <t xml:space="preserve">Dabbasingh Caterers is a renowned personalized catering company that provides services for corporate events, house parties, weddings and any type of informal or formal gathering. Based in the city of Delhi, it is quality driven and client oriented organization which works for customer satisfaction. From a small gathering to a large one, they provide sumptuous food to all kinds of events. Their professional chefs ensure proper hygiene while cooking. The food is prepared with lots of love and affection and is presented in a very innovative manner. Their catering services encompass to every traditional as well as international cuisine. Be ready to wow your guests with some mouth-watering dishes which is going to make them remember your wedding forever. Cuisines Offered: Italian North Indian South Indian Chinese Bengali Gujarati Rajasthani
</t>
  </si>
  <si>
    <t>https://www.facebook.com/CatererDelhiNCR/</t>
  </si>
  <si>
    <t>Radhey Shyam Caterers is a Delhi based catering company. It was started by Sarjeet. He started catering for wedding and other events. With countless clients, ranging from public to private companies, Radhey Shyam gained a reputation for elegant presentations and impressive services. Be assured of the fact that the food is prepared &amp; served under hygienic conditions and all rates are inclusive of top-class service, crockery &amp; cutlery. Cuisines offered: North Indian South Indian Chinese Italian Desserts Italian Rajasthani Maharashtrian Gujarati</t>
  </si>
  <si>
    <t>099999 89980</t>
  </si>
  <si>
    <t>Soda &amp; Pepper</t>
  </si>
  <si>
    <t>soda-pepper</t>
  </si>
  <si>
    <t>Phenomenal food, outstanding service, and gorgeous presentation are the essential ingredients of each celebration planned at Soda &amp; Pepper. They are based in Faridabad, Delhi NCR. To meet the vision of a line company for vegetarian gourmet events, their menu includes the finest and most elegant vegetarian choices from round the world, that specialize in delivering impeccable culinary and event services. They ensure that each dish is prepared with locally sourced, seasonal and organic ingredients. Dedicated to providing clients with the finest in vegetable cuisine, these caterers specialise in preparing delicious cuisine. They also provide you with endless varieties of delicacies. The gracious and highly trained staff sets high standards and focuses on making your guests feel welcomed.They offer a wide range of Indian menus for your occasions that can make your event truly memorable. Whether it’s a wedding, corporate luncheon, dinner, holiday party, anniversary, reunion, open house or cocktail party, Soda &amp; Pepper are the caterer you can depend on. They have proficient chefs, who cater to every individual taste. Soda &amp; Pepper offers catering services for gathering of upto 1000 people. With best in class services and a plethora of scrumptious food, they will surely make your wedding, and its other related events a flavourful journey to be remembered for life. Soda &amp; Pepper being excellent at what they do, are making families happy, catering; book them for your special day now!</t>
  </si>
  <si>
    <t>Krasha Catering Co.</t>
  </si>
  <si>
    <t>krasha-catering-co</t>
  </si>
  <si>
    <t>https://krasha.in/</t>
  </si>
  <si>
    <t>Phenomenal food outstanding service and gorgeous presentation are the essential ingredients of each celebration planned at Soda &amp; Pepper. They are based in Faridabad Delhi NCR. To meet the vision of a line company for vegetarian gourmet events
their menu includes the finest and most elegant vegetarian choices from round the world that specialize in delivering impeccable culinary and event services. They ensure that each dish is prepared with locally sourced seasonal and organic ingredients. Dedicated to providing clients with the finest in vegetable cuisine these caterers specialise in preparing delicious cuisine. They also provide you with endless varieties of delicacies. The gracious and highly trained staff sets high standards and focuses on making your guests feel welcomed.They offer a wide range of Indian menus for your occasions that can make your event truly memorable. Whether it’s a wedding corporate luncheon dinner holiday party anniversary reunion open house or cocktail party Soda &amp; Pepper are the caterer you can depend on. They have proficient chefs who cater to every individual taste. Soda &amp; Pepper offers catering services for gathering of upto 1000 people. With best in class services and a plethora of scrumptious food they will surely make your wedding
and its other related events a flavourful journey to be remembered for life. Soda &amp; Pepper being excellent at what they do
are making families happy catering; book them for your special day now!</t>
  </si>
  <si>
    <t>Greater Kailash, Delhi NCR</t>
  </si>
  <si>
    <t>Greater Kailash</t>
  </si>
  <si>
    <t>Grand F&amp;B Catering Services</t>
  </si>
  <si>
    <t>Full-service catering for both vegetarian and non-vegetarian menus Elegant food presentation and thematic setups Hygienically prepared food using high-quality ingredients Top-class service with inclusive crockery and cutlery Capability to cater to a guest list ranging from 100 to 5000 guests Customized menus as per client preferences and event themes</t>
  </si>
  <si>
    <t>grand-f-b-catering-services</t>
  </si>
  <si>
    <t xml:space="preserve">wedding Caterers, Party Caterers
</t>
  </si>
  <si>
    <t>https://foxnutcatering.in/</t>
  </si>
  <si>
    <t>North Indian Service staff / servers Crockery and cutlery
Presentation and lighting for the food setup Soft beverages, juices, sodas, tonic
Chilling and cubed ice Vegetarian menu Non vegetarian menu</t>
  </si>
  <si>
    <t>Service staff / servers Crockery and cutlery Glassware Presentation and lighting for the food setup
Soft beverages, juices, sodas, tonic Chilling and cubed ice Vegetarian menu
Non vegetarian menu</t>
  </si>
  <si>
    <t>Vishesh Caterers &amp; Decorators</t>
  </si>
  <si>
    <t>vishesh-caterers-decorators</t>
  </si>
  <si>
    <t xml:space="preserve">Vishesh Caterers &amp; Decorators are a team that works enthusiastically to deliver food in a way that delights the eyes and is palatable to the tongue! Vishesh Caterers &amp; Decorators are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Maharashtrian
</t>
  </si>
  <si>
    <t>https://www.instagram.com/visheshcaterersdecorators/?hl=en</t>
  </si>
  <si>
    <r>
      <rPr>
        <color rgb="FF1155CC"/>
        <u/>
      </rPr>
      <t>98717 47473</t>
    </r>
  </si>
  <si>
    <t>RK Caterers</t>
  </si>
  <si>
    <t>rk-caterers</t>
  </si>
  <si>
    <t>RK Caterers is a Delhi based catering company. They started catering for wedding and other events. With countless clients, ranging from public to private companies, RK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Bengali Desserts Italian Rajasthani Gujarati</t>
  </si>
  <si>
    <t>https://www.facebook.com/rkeventplanner/</t>
  </si>
  <si>
    <t>North Indian Full-service catering for weddings and events
Inclusive of crockery, cutlery, and professional staff</t>
  </si>
  <si>
    <t>099100 26536</t>
  </si>
  <si>
    <t>Spice Grill By Puneet</t>
  </si>
  <si>
    <t>Abhay</t>
  </si>
  <si>
    <t>spice-grill-by-puneet</t>
  </si>
  <si>
    <t>Spice Grill By Puneet is a catering company serving all over Faridabad. He started catering for wedding and other events. With countless clients, ranging from public to private companies, Spice Grill By Puneet gained a reputation for elegant presentations and impressive services. Be assured of the fact that the food is prepared &amp; served under hygienic conditions and all rates are inclusive of top-class service, crockery &amp; cutlery. Cuisines offered: North Indian South Indian Chinese Japanese Italian Greek Lebanese Thai Desserts Bengali Gujarati Rajasthani Goan Maharashtrian</t>
  </si>
  <si>
    <t>The Indian Catering Company</t>
  </si>
  <si>
    <t>the-indian-catering-company</t>
  </si>
  <si>
    <t>The Indian Catering Company is a wedding catering service. This catering company provides complete hospitality solutions, by setting new benchmarks through an effective and efficient catering with each event. The company’s success lies in offering scrumptious food items and the pairing of discipline and passion of making people happy through food. This wedding caterer makes sure that you receive the best grade of food at extremely competitive prices. They don't skimp on quality or taste which ultimately boosts the quotient of customer satisfaction.</t>
  </si>
  <si>
    <t>https://www.facebook.com/theindiancateringcompany/</t>
  </si>
  <si>
    <t>Sector 16, Faridabad</t>
  </si>
  <si>
    <t>Sector 16</t>
  </si>
  <si>
    <t>099999 90092</t>
  </si>
  <si>
    <t>The Indian Catering Company is a wedding catering service. This catering company provides complete hospitality solutions by setting new benchmarks through an effective and efficient catering with each event. The company’s success lies in offering scrumptious food items and the pairing of discipline and passion of making people happy through food. This wedding caterer makes sure that you receive the best grade of food at extremely competitive prices. They don't skimp on quality or taste which ultimately boosts the quotient of customer satisfaction.</t>
  </si>
  <si>
    <t>Indian Oriental/Thai
Indian Regional Cuisines
Indian Street Food</t>
  </si>
  <si>
    <t>Kamakshi Restaurant</t>
  </si>
  <si>
    <t>Ganesh Caterers</t>
  </si>
  <si>
    <t>ganesh-caterers</t>
  </si>
  <si>
    <t>Ganesh Caterers is a Faridabad based catering company. It was started by Rahul. He started catering for wedding and other events. With countless clients, ranging from public to private companies, Ganesh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t>
  </si>
  <si>
    <t>kamakshi-restaurant</t>
  </si>
  <si>
    <t>Kamakshi introduces you to the celebrated tastes of all the four states of southern India. The authentic south Indian traditional vegetarian , non vegetarian and seafood cuisine from Tamil Nadu, Andhra Pradesh, karnataka and kerala. Each item on the menu has been typically choosen for its own distinct spices and style which are traditionally consumed for breakfast , lunch and dinner in down south. There are subtly flavoured vegan , meat and seafood dishes cooked in homestyle at kamakshi kitchen to represent the true influence of southern cuisine and bgiving a wide choice to the southy food lovers to try an array of dishes from our menu making the meal an experience to savor. An exotic blend of southern spices, coconut and tamarind mixed with Meat, Seafood ,Vegetables , Chutneys and Pickles will take the diners back to the memory lanes of a traditional South Indian Heritage.</t>
  </si>
  <si>
    <t>Authentic South Indian Seafood
Kerala Style Food
Andhra Style Food
Karnataka Style Food
Jain &amp; Pure Vegetarian Food</t>
  </si>
  <si>
    <t>Urban Desi Food Solutions</t>
  </si>
  <si>
    <t>urban-desi-food-solutions</t>
  </si>
  <si>
    <t>Urban Desi Food Solutions is a team that works enthusiastically to deliver food in a way that delights the eyes and is palatable to the tongue! The Urban Desi Food Solutions is based in the city of Delhi. They enjoy what they do as a team and ensure that the quality is nothing less than delightful. The team is led by Rajesh Arora, who works fervently for the comfort and satisfaction of the client. Be sure to give them the privilege of catering on your special day if you have a good feeling about them! Cuisines Offered: North Indian South Indian Chinese Japanese Italian Greek Lebanese Thai Desserts Bengali Gujarati Rajasthani Goan Maharashtrian</t>
  </si>
  <si>
    <t>http://www.urbandesifoodsolutions.com/</t>
  </si>
  <si>
    <t>Pankaj Wedding Planners- Caterers</t>
  </si>
  <si>
    <t>pankaj-wedding-planners-caterers</t>
  </si>
  <si>
    <t>Pankaj Wedding Planners is a catering company serving all over Faridabad. He started catering for wedding and other events. With countless clients, ranging from public to private companies, Pankaj Wedding Planners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t>
  </si>
  <si>
    <t>084470 47463</t>
  </si>
  <si>
    <t>41</t>
  </si>
  <si>
    <t>https://www.nathusweets.com/</t>
  </si>
  <si>
    <t>Gourmet Aura pvt ltd</t>
  </si>
  <si>
    <t>gourmet-aura-pvt-ltd</t>
  </si>
  <si>
    <t>Gourmet Aura Catering Company’s goal is to provide you with a team that is alert, accountable &amp; consistent. They provide you with the latest cuisines and would be able to help you out with both vegetarian and non-vegetarian menus. Based out in Delhi they are open to cater to their clients all across the country also. They also have an expertise to cater to huge crowds efficiently. They are a team that will lead everyone involved in your event to achieve &amp; exceed your vision. Cuisines offered: North Indian South Indian Chinese Japanese Italian Greek Lebanese Thai Desserts Bengali Gujarati Rajasthani Goan Maharashtrian</t>
  </si>
  <si>
    <t>https://www.instagram.com/gourmetauraind/?hl=en</t>
  </si>
  <si>
    <t>1000</t>
  </si>
  <si>
    <r>
      <rPr>
        <color rgb="FF1155CC"/>
        <u/>
      </rPr>
      <t>098211 42279</t>
    </r>
  </si>
  <si>
    <t>151</t>
  </si>
  <si>
    <t>1200</t>
  </si>
  <si>
    <t>Private Parties Weddings Events
Corporates</t>
  </si>
  <si>
    <t>230</t>
  </si>
  <si>
    <t>098709 54434</t>
  </si>
  <si>
    <t>https://www.facebook.com/mamtacaters.in/</t>
  </si>
  <si>
    <t>1250</t>
  </si>
  <si>
    <t>098731 02075</t>
  </si>
  <si>
    <t>253</t>
  </si>
  <si>
    <t>https://greenzillacafe.blogspot.com/</t>
  </si>
  <si>
    <t>099998 22698</t>
  </si>
  <si>
    <t>Feastly Catering Services, located in Delhi NCR, caters to all types of functions. Be it birthdays, corporate or weddings, their skilled team can easily manage all aspects of these functions from the beginning till the very end. They provide both vegetarian and non-vegetarian food. Their vegetarian food menu starts at a very reasonable price of Rs. 700. Their exquisite &amp; innovative food, spectacular presentation &amp; unfailing service has enabled them to create a seamless match in New Delhi. Cuisines Offered: North Indian South Indian Chinese Italian Lebanese Desserts</t>
  </si>
  <si>
    <t>https://feastoryfoods.com/</t>
  </si>
  <si>
    <t>450</t>
  </si>
  <si>
    <r>
      <rPr>
        <rFont val="Arial, sans-serif"/>
        <color rgb="FF1155CC"/>
        <sz val="11.0"/>
        <u/>
      </rPr>
      <t>099586 66330</t>
    </r>
  </si>
  <si>
    <t>322</t>
  </si>
  <si>
    <t>https://www.justdial.com/Delhi-NCR/Caterers-in-Gurgaon/nct-10083293</t>
  </si>
  <si>
    <t>098107 21814</t>
  </si>
  <si>
    <t>650</t>
  </si>
  <si>
    <t>Cross Border Kitchens</t>
  </si>
  <si>
    <t>cross-border-kitchens</t>
  </si>
  <si>
    <t>Cross Border Kitchens is a catering company serving all over Delhi . He started catering for wedding and other events. With countless clients, ranging from public to private companiesCross Border Kitchens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</si>
  <si>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https://www.crossborderkitchens.com/</t>
  </si>
  <si>
    <t>200</t>
  </si>
  <si>
    <t>449</t>
  </si>
  <si>
    <r>
      <rPr>
        <color rgb="FF1155CC"/>
        <u/>
      </rPr>
      <t>97111 55578</t>
    </r>
  </si>
  <si>
    <t>http://www.kentscaterers.com/</t>
  </si>
  <si>
    <t>098998 41401</t>
  </si>
  <si>
    <t>1500</t>
  </si>
  <si>
    <t>30</t>
  </si>
  <si>
    <t>539</t>
  </si>
  <si>
    <t>https://www.foodmantraa.com/?utm_source=gmb</t>
  </si>
  <si>
    <t>098917 50510</t>
  </si>
  <si>
    <t>850</t>
  </si>
  <si>
    <t>S-Square Hospitality</t>
  </si>
  <si>
    <t>s-square-hospitality</t>
  </si>
  <si>
    <t>https://www.sulekha.com/s-square-hospitality-ashok-vihar-delhi-contact-address</t>
  </si>
  <si>
    <t>20</t>
  </si>
  <si>
    <t>500</t>
  </si>
  <si>
    <t>614</t>
  </si>
  <si>
    <t>099992 65154</t>
  </si>
  <si>
    <t>Ashok Vihar, Delhi NCR</t>
  </si>
  <si>
    <t>http://gdfoodsindia.com/</t>
  </si>
  <si>
    <t>Ashok Vihar</t>
  </si>
  <si>
    <t>098106 79550</t>
  </si>
  <si>
    <t>Fork'n'Spoon</t>
  </si>
  <si>
    <t>fork-n-spoon</t>
  </si>
  <si>
    <t>Fork ‘N’ Spoon catering services is a major step of the Nijhawan group to help create its client’s experiences and memories. The Nijhawan cluster, led by Arjun and Tania Nijhawan, has been in the industry for an amazing 5 decades. Nijhawan Group is one of the leading travel conglomerate and vastly diversified entities within the Travel Industry. It has a history of palmy business partnerships with leading airlines and hotels. With a force of 850 staff and forty-two totally machine-controlled and well-located offices across Asian nation and also the Middle East, the group continues to grow and strengthen its network of services. Arjun may be a seasoned bourgeois UN agency takes care of the retail vertical of the cluster and is currently totally specializing in Fork ’N’ Spoon. Tania has been educated in the U.S. for her formative years and her endeavour is to mix the spices of the East with the standardization of the West.</t>
  </si>
  <si>
    <t>https://www.facebook.com/forksnspoon/</t>
  </si>
  <si>
    <t>098718 25252</t>
  </si>
  <si>
    <t>Bijwasan, Delhi NCR</t>
  </si>
  <si>
    <t>Bijwasan</t>
  </si>
  <si>
    <t>creative-kitchen-catering</t>
  </si>
  <si>
    <t>Satkar Caterers</t>
  </si>
  <si>
    <t>satkar-caterers</t>
  </si>
  <si>
    <t>Based in Delhi, Satkar Caterers were established in 1977. They have an experience of over 40 years in providing top notch service and culinary excellence in thousands of weddings, corporate events and social occasions. They deliver first class food, along with menus designed to suit you. Their catering services are the perfect blend of delicious food, creative ideas and professionally experienced staff.</t>
  </si>
  <si>
    <t>https://www.facebook.com/p/Satkar-Caterers-100048818575851/</t>
  </si>
  <si>
    <t>098713 97181</t>
  </si>
  <si>
    <t>M.K. Tent &amp; Caterers</t>
  </si>
  <si>
    <t>m-k-tent-caterers</t>
  </si>
  <si>
    <t>M.K. Tent &amp; Caterers is a Delhi based catering company. It was started by Mukesh Kumar. He started catering for wedding and other events. With countless clients, ranging from public to private companies, M.K. Tent &amp;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Bengali Desserts Rajasthani Gujarati Goan</t>
  </si>
  <si>
    <t>https://www.facebook.com/MKTENTandCATERERS/</t>
  </si>
  <si>
    <t>087503 46081</t>
  </si>
  <si>
    <t>Spice Route Hospitality Services is a catering company serving all over Gurgaon. He started catering for wedding and other events. With countless clients, ranging from public to private companies, Spice Route Hospitality Services gained a reputation for elegant presentations and impressive services. Be assured of the fact that the food is prepared &amp; served under hygienic conditions and all rates are inclusive of top-class service, crockery &amp; cutlery. Cuisines offered: North Indian South Indian Chinese</t>
  </si>
  <si>
    <t>https://www.facebook.com/spiceroutehospitality/</t>
  </si>
  <si>
    <r>
      <rPr>
        <rFont val="Arial, sans-serif"/>
        <color rgb="FF1155CC"/>
        <sz val="11.0"/>
        <u/>
      </rPr>
      <t>098730 95279</t>
    </r>
  </si>
  <si>
    <t>Mehar Caterers &amp; Decor</t>
  </si>
  <si>
    <t>mehar-caterers-decor</t>
  </si>
  <si>
    <t>Caterer in Delhi Cantt, Providing Catering &amp; Decor services in All Army Air force &amp; Navy Officer Messes, Farmhouse in Pushpanjali &amp; Mundka</t>
  </si>
  <si>
    <t>https://www.facebook.com/meharcaterers/</t>
  </si>
  <si>
    <t>098189 12143</t>
  </si>
  <si>
    <t>Get Your Menu</t>
  </si>
  <si>
    <t>get-your-menu</t>
  </si>
  <si>
    <t>Get Your Menu honours the city’s glory of the past with traditional dishes yet without giving up on haute cuisine, thus bringing you a delightful culinary experience. Be it full-service catering, pick-up or drop-off - they cover all. Whether the guest list is 100 or 5000, they can put together a party that you and your guests will not soon forget. they provide delectable food in various cuisines for your pre wedding and wedding functions, which will be remembered for its amazing taste. Rooted in the tradition and good-will, they stand out for their quality and hygiene and cater to delectable food. They have years of knowledge, experience and expertise backing each one of their services which would be directed towards making sure that you have the best food experience. They offer a variety of cuisines like North Indian , South Indian, Chinese, Japanese, Italian, Greek, Lebanese, Thai, Desserts, Bengali, Gujarati , Rajasthani, Goan, Maharashtrian , making them a perfect pick for all kinds of wedding and pre wedding functions like cocktail, sangeet. They value what is important for the client and act on a fever pitch to fulfil their expectations. They ensure customer satisfaction and timely delivery of services as well. Being associated with WMG for quite some time now, they are making families happy, book them for your special day now So if your requirement is a wedding event, a special occasion or just a get together with family or friends, be assured that Get Your Menu will whet your appetite for more.</t>
  </si>
  <si>
    <t>https://www.facebook.com/getyourmenugyv</t>
  </si>
  <si>
    <t>093196 09444</t>
  </si>
  <si>
    <t>Traditional Gujarati Authentic Indian</t>
  </si>
  <si>
    <t>https://www.instagram.com/heaveneventandcatering/</t>
  </si>
  <si>
    <r>
      <rPr>
        <color rgb="FF1155CC"/>
        <u/>
      </rPr>
      <t>070113 39873</t>
    </r>
  </si>
  <si>
    <r>
      <rPr>
        <color rgb="FF1155CC"/>
        <u/>
      </rPr>
      <t>78380 81940</t>
    </r>
  </si>
  <si>
    <t>Kastoori Catering is a catering company serving all over Gurugram. He started catering for wedding and other events. With countless clients, ranging from public to private companies, Kastoori Caterings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</si>
  <si>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https://www.facebook.com/thekasturirestaurant</t>
  </si>
  <si>
    <t>089104 76385</t>
  </si>
  <si>
    <t>Sushi Haus</t>
  </si>
  <si>
    <t>sushi-haus</t>
  </si>
  <si>
    <t>Based in Delhi, Sushi Haus by Foodcraft is the answer to all your private &amp; corporate catering needs. As a full scale catering company, Foodcraft catering is dedicated to producing an event that reflects the individual tastes and preferences of each and every client. They offer Pan Asian &amp; Japanese cuisine catering under the names of Asian Haus &amp; Sushi Haus. Their catering service includes innovative presentation, outstanding customer service and personalized menus for each of their distinctive customers. Each dish is prepared under the guidance of top trained chefs.</t>
  </si>
  <si>
    <t>https://hausdelivery.in/</t>
  </si>
  <si>
    <r>
      <rPr>
        <color rgb="FF1155CC"/>
        <u/>
      </rPr>
      <t>098100 43556</t>
    </r>
  </si>
  <si>
    <t>Asian cuisine</t>
  </si>
  <si>
    <t>Ganpati Chaat Wala</t>
  </si>
  <si>
    <t>ganpati-chaat-wala</t>
  </si>
  <si>
    <t>Ganpati Chaat Wala is a catering company serving all over Delhi. He started catering for wedding and other events. With countless clients, ranging from public to private companies, Ganpati Chaat Wala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</si>
  <si>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https://www.facebook.com/ganpatichaatwaladelhi/</t>
  </si>
  <si>
    <t>serviceAddOns</t>
  </si>
  <si>
    <t>capacityAndMinimums</t>
  </si>
  <si>
    <t>99116 30308</t>
  </si>
  <si>
    <t>1</t>
  </si>
  <si>
    <t>https://www.facebook.com/punjabgrill.official/</t>
  </si>
  <si>
    <t>Sidh Events and Caterers</t>
  </si>
  <si>
    <t>sidh-events-and-caterers</t>
  </si>
  <si>
    <t>Sidh Events and Caterers is a brand that caters almost every type of cuisine a client would need! Based in Gurugram, the team has a sincere and dedicated approach to their service. The team is led by Mr. Piyush, who loves what he does and is enthusiastic about delighting his customers with the quality of their food and services! The team has a lot of experience in the field and are preferred by many. Be sure to give them the privilege of catering for your special day if you have a good feeling about them! Cuisines Offered: North Indian South Indian Chinese Japanese Italian Greek Lebanese Thai Desserts Bengali Gujarati Rajasthani Goan Maharashtrian</t>
  </si>
  <si>
    <t>https://www.facebook.com/sidhcaterersandtenthouse/</t>
  </si>
  <si>
    <t>099662 39779</t>
  </si>
  <si>
    <t>3500</t>
  </si>
  <si>
    <t>096545 00008</t>
  </si>
  <si>
    <t>150</t>
  </si>
  <si>
    <t>2</t>
  </si>
  <si>
    <t>Food Art Hospitality Pvt. Ltd.</t>
  </si>
  <si>
    <t>food-art-hospitality-pvt-ltd</t>
  </si>
  <si>
    <t>Food Art Hospitality Pvt Ltd could be a professionally managed outside job company that has reinvented itself. With years of expertise our trained chefs prepare food in most sanitary approach and impart delicate flavour and aroma to multi cuisines that are a region of our food itinerary. The cuisines served by Food Art are favoured by very clean and hygenic services, graceful displays and presentations. The preparation passion of their cook’s fraternity has given new dimensions to Indian Gastronomy.</t>
  </si>
  <si>
    <t>https://www.facebook.com/foodarthospitality/</t>
  </si>
  <si>
    <t>1050</t>
  </si>
  <si>
    <t>1350</t>
  </si>
  <si>
    <t>Phenomenal food</t>
  </si>
  <si>
    <t>084477 88888</t>
  </si>
  <si>
    <t>10000</t>
  </si>
  <si>
    <t>3</t>
  </si>
  <si>
    <t>Moets Club Class Catering</t>
  </si>
  <si>
    <t>moets-club-class-catering</t>
  </si>
  <si>
    <t>https://www.facebook.com/radheyshyambadarpur/</t>
  </si>
  <si>
    <t>When it comes to catering and hospitality The MOETS Group based in Delhi NCR claim that they have a lineage unparalleled by most. With an embellished track record of delighting customers through culinary expertise, innovation and sheer warmth spanning 4 decades and 3 generations. Be it a warm family gathering, an extravagant wedding or a formal official bash, The MOETS Group has been a forerunner in catering to the choicest occasions in the personal as well as corporate realm.</t>
  </si>
  <si>
    <t>https://www.facebook.com/moets.clubclass/</t>
  </si>
  <si>
    <t>098109 13871</t>
  </si>
  <si>
    <t>011 4655 5777</t>
  </si>
  <si>
    <t>800</t>
  </si>
  <si>
    <t>Shri Ganesh Caterers</t>
  </si>
  <si>
    <t>shri-ganesh-caterers</t>
  </si>
  <si>
    <t>4</t>
  </si>
  <si>
    <t>http://www.foodiezdelight.in/</t>
  </si>
  <si>
    <t>093100 05909</t>
  </si>
  <si>
    <t>1300</t>
  </si>
  <si>
    <t>Toast</t>
  </si>
  <si>
    <t>toast</t>
  </si>
  <si>
    <t>Toast, under Basic Hospitality, has been serving the who’s who of Delhi/NCR for the past 9 years. Initially focused on kids’ birthdays, they have now grown into a full-scale catering company managing all kinds of events—from intimate dinners for 10 guests to cocktail parties and pre-wedding functions for up to 1,000 people.</t>
  </si>
  <si>
    <t>5</t>
  </si>
  <si>
    <t>Bartenders Table arrangements
Waiting staff / butlers
Multicuisine buffets
Live stations
Specially curated menus
Beautifully designed grazing tables</t>
  </si>
  <si>
    <t>https://www.instagram.com/ganesh_caterers/</t>
  </si>
  <si>
    <t>600</t>
  </si>
  <si>
    <t>Nathus Imperial Catering</t>
  </si>
  <si>
    <t>nathus-imperial-catering</t>
  </si>
  <si>
    <t>A catering business with its headquarters in Delhi is called Nathus Imperial Catering. A delicious menu is a crucial component of any gathering. With a buffet full of tantalizing treats, Nathus Imperial Catering will ensure that no visitor leaves without indulging in a binge session. Their catering service is well-liked due to its palatable flavor and attractive appearance. You can put your trust in Nathus Imperial Catering for the most crucial day so that all of your guests can enjoy delicious meals produced with premium products.</t>
  </si>
  <si>
    <t>https://www.instagram.com/nathusweetsind/?hl=en</t>
  </si>
  <si>
    <t>6</t>
  </si>
  <si>
    <t>Dhawan Caterers</t>
  </si>
  <si>
    <t>dhawan-caterers</t>
  </si>
  <si>
    <t>Dhawan Caterers is a catering company serving all over Faridabad. She started catering for wedding and other events. With countless clients, ranging from public to private companies, Dhawan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Italian Rajasthani Gujrati</t>
  </si>
  <si>
    <t>http://www.dhawancaterers.in/</t>
  </si>
  <si>
    <t>082874 72838</t>
  </si>
  <si>
    <t>7</t>
  </si>
  <si>
    <t>https://www.zomato.com/ncr/gulshan-fish-chicken-corner-nit-faridabad/book?utm_source=rwg</t>
  </si>
  <si>
    <t>099998 78411</t>
  </si>
  <si>
    <t>1550</t>
  </si>
  <si>
    <t>1950</t>
  </si>
  <si>
    <t>https://www.instagram.com/dark_rose_caterers_and_events_/</t>
  </si>
  <si>
    <r>
      <rPr>
        <color rgb="FF1155CC"/>
        <u/>
      </rPr>
      <t>098108 48280</t>
    </r>
  </si>
  <si>
    <t>8</t>
  </si>
  <si>
    <t>MTA Caters are a team that works enthusiastically to deliver food in a way that delights the eyes and is palatable to the tongue! MTA Caters are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t>
  </si>
  <si>
    <t>https://www.facebook.com/profile.php?id=100054489037840#</t>
  </si>
  <si>
    <t>https://www.instagram.com/thedinnerboxindia/?hl=en</t>
  </si>
  <si>
    <t>250</t>
  </si>
  <si>
    <t>9</t>
  </si>
  <si>
    <t>Modern Indian Pan-Asian
European
and many more. Homa by The Dinner Box provides wedding catering services for a variety of budgets and events. They offer catering for 20 to 250 guests.</t>
  </si>
  <si>
    <t>1100</t>
  </si>
  <si>
    <t>Shree Shyam Caterers</t>
  </si>
  <si>
    <t>shree-shyam-caterers</t>
  </si>
  <si>
    <t>Shree Shyam Caterers is a catering company serving all over Faridabad. They started catering for wedding and other events. With countless clients, ranging from public to private companies, Shree Shyam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Italian</t>
  </si>
  <si>
    <t>https://www.workfile.io/shree-shyam-caterers</t>
  </si>
  <si>
    <t>https://www.shrishyamcaterers.com/</t>
  </si>
  <si>
    <t>087009 04040</t>
  </si>
  <si>
    <t>11</t>
  </si>
  <si>
    <t>Malhotra Caterings &amp; Decorators</t>
  </si>
  <si>
    <t>malhotra-caterings-decorators</t>
  </si>
  <si>
    <t>Malhotra Caterings &amp; Decorators is a catering service in Delhi NCR. The team is indented to offer exclusive wedding catering services, corporate catering or outdoor catering services. They offer a wide range of items to celebrate special occasions at a very low price. They prepare the food as per the requirements so that waste of food can be minimized. Their wedding catering services or outdoor catering services aid the clients in releasing their stress. The food is made under hygienic conditions and using only quality ingredients. They make the best arrangements to please and satisfy the clients and their guest. Cuisines Offered: North Indian South Indian Chinese Lebanese Desserts Bengali Gujarati Rajasthani Goan Maharashtrian</t>
  </si>
  <si>
    <t>https://www.facebook.com/p/Malhotra-Tent-House-Caterers-decorator-100063564261517/</t>
  </si>
  <si>
    <t>Murena Caterers</t>
  </si>
  <si>
    <t>murena-caterers</t>
  </si>
  <si>
    <t>Murena Caterers situated in Delhi will have your special day covered with finger-licking good food! They provide an extensive range of catering services including Wedding Catering, Outdoor catering, Party catering, reception catering, and tent house booking services. Murena Caterers is committed to offering the highest quality of catering services with their creative ideas and professional touch. They offer a wide range of Indian menus for your occasions that can make your event truly memorable. We aim to deliver 100% customer satisfaction to our esteemed clients by tailoring our services according to their budget and needs. Whether it’s a marriage, corporate luncheon, dinner, holiday party, anniversary, reunion, open house or cocktail party, Murena Caterers are the caterer you can depend on. They have skilled chefs, who cater to every individual taste. It is a Delhi based wedding catering service and in a short span, they have done several projects, leaving clients with utter satisfaction. Murena Caterers expertise in they do and have the most skilled chefs to achieve it. Striving to reach out to each community has also been of utmost importance to them. Its team of professionals is highly qualified and it will take charge of delighting your vision and taste buds. With best in class services and a plethora of scrumptious food, they will surely make your wedding, and its other related events a flavorful journey to be remembered for life. Murena Caterers, being excellent at what they do, are making families happy, catering; book them for your special day now!</t>
  </si>
  <si>
    <t>https://www.facebook.com/MurenaCaterersonline/</t>
  </si>
  <si>
    <t>300</t>
  </si>
  <si>
    <t>70536 20308</t>
  </si>
  <si>
    <t>12</t>
  </si>
  <si>
    <t>Traditional South Indian Authentic Punjabi
Exotic Chinese
Outdoor Catering
Birthday Party Catering
Reception Catering
Ring Ceremony Catering</t>
  </si>
  <si>
    <t>https://www.facebook.com/p/Milan-Tent-House-100064707892829/</t>
  </si>
  <si>
    <t>The Grace Caterers</t>
  </si>
  <si>
    <t>the-grace-caterers</t>
  </si>
  <si>
    <t>The Grace Caterers are a team that works enthusiastically to deliver food in a way that delights the eyes and is palatable to the tongue! The Grace Caterers are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t>
  </si>
  <si>
    <t>https://www.facebook.com/thegracecaterers/</t>
  </si>
  <si>
    <t>350</t>
  </si>
  <si>
    <t>98994 56712</t>
  </si>
  <si>
    <t>13</t>
  </si>
  <si>
    <t>The Catering Inc.</t>
  </si>
  <si>
    <t>the-catering-inc</t>
  </si>
  <si>
    <t>Phenomenal food, Outstanding service, and stunning presentation are the basic ingredients of every celebration planned at The Catering Inc. Established in Gurugram to meet the vision of a catering company for vegetarian gourmet events, their menu includes the finest and most elegant vegetarian option from around the world, focusing on delivering impeccable culinary and event services. They ensure that each dish is prepared with locally sourced, seasonal and organic ingredients. The gracious and highly trained staff sets high standards and focuses on making your guests feel welcomed. Cuisine Offered: North Indian South Indian Chinese Japanese Italian Greek Lebanese Thai Desserts Bengali Gujarati Rajasthani Goan Maharashtrian</t>
  </si>
  <si>
    <t>https://www.facebook.com/TheCateringInc/</t>
  </si>
  <si>
    <t>095604 59999</t>
  </si>
  <si>
    <t>14</t>
  </si>
  <si>
    <t>Umesh Caterers</t>
  </si>
  <si>
    <t>umesh-caterers</t>
  </si>
  <si>
    <t>Umesh Caterers is a team that works enthusiastically to deliver food in a way that delights the eyes and is palatable to the tongue! Umesh Caterers is based in the city of Faridabad.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Maharashtrian</t>
  </si>
  <si>
    <t>Kalash cuisines are a team that works enthusiastically to deliver food in a way that delights the eyes and is palatable to the tongue! Kalash cuisines are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t>
  </si>
  <si>
    <t>https://www.facebook.com/kalashcuisines.co.in/</t>
  </si>
  <si>
    <t>098104 44578</t>
  </si>
  <si>
    <t>15</t>
  </si>
  <si>
    <t>Bro n Me Caterers is a Delhi based catering company. It was started by Poonam. She started catering for weddings and other events. With countless clients, ranging from public to private companies, Bro n Me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Japanese Italian Greek Lebanese Thai Desserts Bengali Gujarati Rajasthani Goan Maharashtrian</t>
  </si>
  <si>
    <t>https://www.facebook.com/bronmebakery/</t>
  </si>
  <si>
    <t>Feeding Concepts</t>
  </si>
  <si>
    <t>feeding-concepts</t>
  </si>
  <si>
    <t>Feeding Concepts is a Delhi NCR based catering services venture. They are a catering company, where they believe that every occasion in life that calls for a celebration is unique that is why it is their constant. They offer customized services according to your demands and the theme of the event. They have been featured in various prestigious publications such as Hindustan times, Delhi times, India today etc. With over 25 years of culinary expertise and the experience of brands like utsav Banquet Halls, Utsav Greens, Red Coral-M. Road, Nasha-M.G. Road, Red Coral-Rajouri Garden.</t>
  </si>
  <si>
    <t>https://www.facebook.com/FeedingConceptsCatering/</t>
  </si>
  <si>
    <t>098109 94332</t>
  </si>
  <si>
    <t>16</t>
  </si>
  <si>
    <t>North Indian Chettinad
Andhra
Dietary and sugar free food.</t>
  </si>
  <si>
    <t>https://www.facebook.com/NandiCaterers/</t>
  </si>
  <si>
    <t>Cream of the Crop</t>
  </si>
  <si>
    <t>cream-of-the-crop</t>
  </si>
  <si>
    <t>098109 15322</t>
  </si>
  <si>
    <t>Delhi is the national capital and hence the most important city in the country. If you are looking for wedding catering services to cater to this elite segment Cream of the Crop may be a great option. Delhi based Cream of the Crop will have your special day covered with mouth-watering delicious food which is sure to be loved by all the guest attendees. They have skilled chefs, who cater to every individual taste bud. In a short span of time, they have done several catering services, serving numerous clients with the best of experiences by their food and services. They expertise in what they do and have the most skilled chefs to achieve it. Striving to reach out to each community has also been of utmost importance to them.</t>
  </si>
  <si>
    <t>https://www.facebook.com/cotcdelhi/</t>
  </si>
  <si>
    <t>099100 13372</t>
  </si>
  <si>
    <t>17</t>
  </si>
  <si>
    <t>Traditional South Indian dishes</t>
  </si>
  <si>
    <t>Royal Affairs Catering is a catering company serving all over Gurugram. He started catering for wedding and other events. With countless clients, ranging from public to private companies, Royal Affairs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</si>
  <si>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https://www.facebook.com/royalaffairss/</t>
  </si>
  <si>
    <t>098117 27475</t>
  </si>
  <si>
    <t>18</t>
  </si>
  <si>
    <t>https://www.facebook.com/p/Sethi-Decorators-Caterers-100063680804462/</t>
  </si>
  <si>
    <t>Sangwan Caterers</t>
  </si>
  <si>
    <t>sangwan-caterers</t>
  </si>
  <si>
    <t>Sangwan Caterers is a team that works enthusiastically to deliver food in a way that delights the eyes and is palatable to the tongue! It is a leading name for wedding catering and quality services. It has created a long tradition of serving good food, with a range of authentic menus that have become legends in its own right. From weddings to corporate events, this business can create personalised drool worthy menus, provide impressive hospitality services and set up an inviting and memorable ambience. The team of Sangwan Caterers is based in Delhi NCR. They enjoy what they do as a team and ensure that the quality is nothing less than delightful. The team is led by Mr. Praveen Sangwan who works fervently for the comfort and satisfaction of the client. Besides, their multi-cuisine dishes aren't only delicious but they'll be an absolute delight for your eye. With Sangwan Caterers, your wedding feast will be unforgettable!</t>
  </si>
  <si>
    <t>Service staff / servers</t>
  </si>
  <si>
    <t>Rai Caterers</t>
  </si>
  <si>
    <t>rai-caterers</t>
  </si>
  <si>
    <t>Rai Caterers is a catering company serving all over Delhi. He started catering for wedding and other events. With countless clients, ranging from public to private companies, Rai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t>
  </si>
  <si>
    <t>https://www.facebook.com/Archanarai.fooddesign/</t>
  </si>
  <si>
    <t>8000</t>
  </si>
  <si>
    <t>098100 02793</t>
  </si>
  <si>
    <t>19</t>
  </si>
  <si>
    <t>400</t>
  </si>
  <si>
    <t>Outer Bawarchi</t>
  </si>
  <si>
    <t>outer-bawarchi</t>
  </si>
  <si>
    <t>Phenomenal food, outstanding service, and stunning presentation are the basic ingredients of every celebration planned at Outer Bawarchi. Established in Delhi to meet the vision of a catering company for vegetarian gourmet events, their menu includes the finest and most elegant vegetarian and non-vegetarian option from around the world, focusing on delivering impeccable culinary and event services. They ensure that each dish is prepared with locally sourced, seasonal and organic ingredients. The gracious and highly trained staff sets high standards and focuses on making your guests feel welcomed. Cuisine Offered: North Indian South Indian Chinese Japanese Italian Greek Lebanese Thai Desserts Bengali Gujarati Rajasthani Goan Maharashtrian</t>
  </si>
  <si>
    <t>https://www.facebook.com/OBFoods/</t>
  </si>
  <si>
    <t>20000</t>
  </si>
  <si>
    <t>070429 76085</t>
  </si>
  <si>
    <t>https://www.facebook.com/puneet.makkar.9/</t>
  </si>
  <si>
    <t>Taluja Hospitality</t>
  </si>
  <si>
    <t>taluja-hospitality</t>
  </si>
  <si>
    <t>Taluja Hospitality is a Delhi NCR based catering company. It was started by Hanish. He started catering for wedding and other events. With countless clients, ranging from public to private companies, Taluja Hospitality gained a reputation for elegant presentations and impressive services. Be assured of the fact that the food is prepared &amp; served under hygienic conditions and all rates are inclusive of top-class service, crockery &amp; cutlery. Cuisines offered: North Indian South Indian Chinese Italian Desserts</t>
  </si>
  <si>
    <t>Apple Caterers</t>
  </si>
  <si>
    <t>apple-caterers</t>
  </si>
  <si>
    <t>21</t>
  </si>
  <si>
    <t>Anupam Royal'e Caterers</t>
  </si>
  <si>
    <t>anupam-royal-e-caterers</t>
  </si>
  <si>
    <t>Anupam royal'e caterers are a team that works enthusiastically to deliver food in a way that delights the eyes and is palatable to the tongue! Anupam royal'e caterers are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t>
  </si>
  <si>
    <t>https://www.anupamroyals.com/</t>
  </si>
  <si>
    <t>Koyla Kebab</t>
  </si>
  <si>
    <t>koyla-kebab</t>
  </si>
  <si>
    <t>Craving for fresh, smoky, melt-in-your-mouth kebabs barbecued on slow coal? Koyla Kebab located at various locations in Delhi also provides party catering options apart from dine-in and home delivery. They specialize in setting up live counters for any special occasion from mehendi ceremony to dhol nights, house parties, sehra bandhi, choodha ceremony etc. The fine ingredients and elaborate marinations are the secret behind their authentic and mouth-watering delicacies.</t>
  </si>
  <si>
    <t>https://www.facebook.com/koylakebab/</t>
  </si>
  <si>
    <t>22</t>
  </si>
  <si>
    <t>Chatpati Cravings</t>
  </si>
  <si>
    <t>chatpati-cravings</t>
  </si>
  <si>
    <t>Chatpati Cravings is a catering company serving all over Faridabad. He started catering for wedding and other events. With countless clients, ranging from public to private companies, Chatpati Cravings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</si>
  <si>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https://link.zomato.com/xqzv/rshare?id=7728534430563c19</t>
  </si>
  <si>
    <t>11 46581555</t>
  </si>
  <si>
    <t>Sector 37, Faridabad</t>
  </si>
  <si>
    <t>Sector 37</t>
  </si>
  <si>
    <t>Kakori Kebab Galouti Kebab
Tikkas
Rumali rotis and rolls
Biryani
Stuffed Kulchas</t>
  </si>
  <si>
    <t>Royal Catering Service</t>
  </si>
  <si>
    <t>royal-catering-service</t>
  </si>
  <si>
    <t>Royal Catering service is Delhi NCR based catering company. It was started by Vikram. He started catering for wedding and other events. With countless clients, ranging from public to private companies, Royal Catering service gained a reputation for elegant presentations and impressive services. Be assured of the fact that the food is prepared &amp; served under hygienic conditions and all rates are inclusive of top-class service, crockery &amp; cutlery. Cuisines offered: North Indian South Indian Chinese Italian Desserts Italian Rajasthani Maharashtrian Gujarati</t>
  </si>
  <si>
    <t>http://royalecateringservice.com/?utm_source=gmb&amp;utm_medium=referral</t>
  </si>
  <si>
    <t>23</t>
  </si>
  <si>
    <t>098990 71463</t>
  </si>
  <si>
    <t>Raskunj Chaat</t>
  </si>
  <si>
    <t>raskunj-chaat</t>
  </si>
  <si>
    <t>In need of a caterer who can serve the most delicious food in town? Raskunj Chaat is your go-to option. The expert team promises to deliver lip-smacking food for all your special occasions. Based in Delhi, they have created a niche for themselves in the catering industry. With an invaluable experience the team has forged various successful relationships and has become a popular choice amongst people when it comes to great food; especially chaat. Indian food is all about spices, aroma and flavors; chaat being an integral part of our cuisine requires special attention according to the founder of Raskunj Chaat who is a passionate cook who loves creating new recipes. The highly trained and efficient team works with the notion of serving healthy and hygienic.</t>
  </si>
  <si>
    <t>24</t>
  </si>
  <si>
    <t>https://www.instagram.com/pepperplatesjammu/</t>
  </si>
  <si>
    <t>North Indian Appetizer
Salad
Fruit salad</t>
  </si>
  <si>
    <t>Aroma Caterers</t>
  </si>
  <si>
    <t>aroma-caterers</t>
  </si>
  <si>
    <t>Aroma Caterers is a catering company serving all over Delhi NCR. He started catering for wedding and other events. With countless clients, ranging from public to private companies, Aroma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</si>
  <si>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https://www.facebook.com/p/Aroma-Caterers-and-Events-Organizers-100054655170145/</t>
  </si>
  <si>
    <t>098997 89140</t>
  </si>
  <si>
    <t>Shalimar Bagh, Delhi NCR</t>
  </si>
  <si>
    <t>Shalimar Bagh</t>
  </si>
  <si>
    <t>https://youtube.com/channel/UCAj1Vi3ePgQ_cTSuGepnJQA</t>
  </si>
  <si>
    <t>180</t>
  </si>
  <si>
    <t>240</t>
  </si>
  <si>
    <t>AK Cuisine by F&amp;B Group</t>
  </si>
  <si>
    <t>ak-cuisine-by-f-b-group</t>
  </si>
  <si>
    <t>AK Cuisine by F&amp;B Group started 20 Years ago and has earned itself an enviable reputation as one of the country's most capable and respected catering organizations. AK Cuisine by F&amp;B Group, they bring a history of exceptional cuisine and competitive pricing. No matter what the size or budget, AK Cuisine by F&amp;B Group can provide the perfect catering solution to any event that triumphs in quality, taste and serving experience. They can cater to a minimum of 100 and a maximum of 10000 people in order to serve them at their best. Cuisines Offered: North Indian South Indian Chinese Italian Greek Lebanese Thai Desserts Rajasthani</t>
  </si>
  <si>
    <t>https://vi-vn.facebook.com/AKcuisine.07/</t>
  </si>
  <si>
    <t>26</t>
  </si>
  <si>
    <t>099999 65182</t>
  </si>
  <si>
    <t>https://www.facebook.com/theweddingwaale/</t>
  </si>
  <si>
    <t>https://www.facebook.com/krisacateringcompany/</t>
  </si>
  <si>
    <t>98110 50077</t>
  </si>
  <si>
    <t>27</t>
  </si>
  <si>
    <t>https://www.instagram.com/bangbangmomos/</t>
  </si>
  <si>
    <t xml:space="preserve">Phenomenal food, Outstanding service and stunning presentation are the basic ingredients of every celebration planned at Knife Arts Catering. Established in Delhi to meet the vision of a catering company for vegetarian gourmet events, their menu includes the finest and most elegant vegetarian options from around the world, focusing on delivering impeccable culinary and event services. They ensure that each dish is prepared with locally sourced, seasonal and organic ingredients. The gracious and highly trained staff sets high standards and focuses on making your guests feel welcomed. Cuisine Offered: North Indian South Indian Italian Thai Gujarati Rajasthani
</t>
  </si>
  <si>
    <t>Kwality Caterers</t>
  </si>
  <si>
    <t>kwality-caterers</t>
  </si>
  <si>
    <t>Kwality Group is one of the oldest and leading catering companies in the country. The ethos of Kwality over the past 7 decades revolves around commitment, grace and the ability to infuse the innovative with the traditional. Kwality Group operates in Delhi, Mumbai, Goa and London and they are proud to have a culinary bandwidth that not only covers most regional Indian cuisines but almost all facets of global cuisine. Thematic dinners and events that unique warmth is their strength which they achieve through the combination of immaculate presentation and strategic planning with attention to every minute detail.</t>
  </si>
  <si>
    <t>https://www.facebook.com/kwalitycateringofficial/</t>
  </si>
  <si>
    <t>28</t>
  </si>
  <si>
    <t>https://www.instagram.com/ataracatering/</t>
  </si>
  <si>
    <t>098101 44475</t>
  </si>
  <si>
    <t>2200</t>
  </si>
  <si>
    <t>Kawatra Caterers</t>
  </si>
  <si>
    <t>kawatra-caterers</t>
  </si>
  <si>
    <t>Kawatra Caterers is a leading company based in Delhi which believes in the power of food to heal, restore and stimulate relationships. They have a team of trained and skilled master chefs who deliver mouth watering vegetarian dishes prepared hygienically and with utmost love and affection. As every event is different and unique , it is important to have a wide variety of food. Associated with WedMeGood for over 2 years, they believe that a recipe has no soul, but a cook must bring soul to the recipe. Give them a chance to make your special day divine with their soulful food.</t>
  </si>
  <si>
    <t>https://www.facebook.com/kawatratent/</t>
  </si>
  <si>
    <t>011 2514 1171</t>
  </si>
  <si>
    <t>29</t>
  </si>
  <si>
    <t>5850</t>
  </si>
  <si>
    <t>S. K. Nanda F &amp; B Catering</t>
  </si>
  <si>
    <t>s-k-nanda-f-b-catering</t>
  </si>
  <si>
    <t>Based in Delhi,S. K. Nanda F &amp; B Catering is ateam of caterers. Offering variety of cuisines, they also specialise in preparing customized food menus, exquisite desserts that will keep your guests wanting for more. Been associated with Wedmegood for 3 years now, S. K. Nanda F &amp; B Catering is a great option for your wedding.</t>
  </si>
  <si>
    <t>Chef Ritu Dalmia of DIVA Catering creates menus combining flavours</t>
  </si>
  <si>
    <t>https://www.facebook.com/SKNandaCatering/</t>
  </si>
  <si>
    <t>098731 55544</t>
  </si>
  <si>
    <t>https://www.instagram.com/wedfullyyours.in/</t>
  </si>
  <si>
    <t>Ramesh Caterers</t>
  </si>
  <si>
    <t>ramesh-caterers</t>
  </si>
  <si>
    <t>Ramesh Caterers is a team that works enthusiastically to deliver food in a way that delights the eyes and is palatable to the tongue! Ramesh Caterers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t>
  </si>
  <si>
    <t>91-8802303015</t>
  </si>
  <si>
    <t>https://www.facebook.com/rameshcaterers/</t>
  </si>
  <si>
    <t>099117 23470</t>
  </si>
  <si>
    <t>Kamla Nagar, Delhi NCR</t>
  </si>
  <si>
    <t>Kamla Nagar</t>
  </si>
  <si>
    <t>32</t>
  </si>
  <si>
    <t>Urban Sweets</t>
  </si>
  <si>
    <t>urban-sweets</t>
  </si>
  <si>
    <t>Urban Sweets is a catering company serving all over Delhi. He started catering for wedding and other events. With countless clients, ranging from public to private companies, Urban Sweets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</si>
  <si>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Shelly Catering Services</t>
  </si>
  <si>
    <t>shelly-catering-services</t>
  </si>
  <si>
    <t>33</t>
  </si>
  <si>
    <t>Shelly Catering Services is a catering company serving all over Delhi. He started catering for wedding and other events. With countless clients, ranging from public to private companies, Shelly Catering Services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</si>
  <si>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https://www.facebook.com/p/Shelly-Catering-Services-100089637473944/</t>
  </si>
  <si>
    <t>https://www.facebook.com/purpleplatecatering/</t>
  </si>
  <si>
    <t>098997 75259</t>
  </si>
  <si>
    <t>97119 24726</t>
  </si>
  <si>
    <t>4500</t>
  </si>
  <si>
    <t>The Purple Plate has long been involved in the catering business. Based in Delhi</t>
  </si>
  <si>
    <t>34</t>
  </si>
  <si>
    <t>https://www.instagram.com/narang_catering/</t>
  </si>
  <si>
    <t>https://www.instagram.com/momentsoflifeevents/</t>
  </si>
  <si>
    <t>https://www.facebook.com/fatguykitchen/?locale=fi_FI</t>
  </si>
  <si>
    <t>35</t>
  </si>
  <si>
    <t>98119 26307</t>
  </si>
  <si>
    <t>Fenugreek Events is a wedding caterer based in Delhi NCR</t>
  </si>
  <si>
    <t>Fenugreek Events is based in Aya Nagar, Delhi.</t>
  </si>
  <si>
    <t>Kay's Catering Services</t>
  </si>
  <si>
    <t>kay-s-catering-services</t>
  </si>
  <si>
    <t>Kay's Catering Services is a catering company serving all over Delhi. He started catering for wedding and other events. With countless clients, ranging from public to private companies, Kay's Catering Services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</si>
  <si>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36</t>
  </si>
  <si>
    <t>https://www.facebook.com/p/Kays-Catering-Services-100054401804866/</t>
  </si>
  <si>
    <t xml:space="preserve">Big Belly Kitchen Delhi’s leading #Cateringservice provider Experts in #Weddingfunctions, #CorporateDinners, Special #Birthdayparty, #CocktailParties. www.bigbellykitchen.com
</t>
  </si>
  <si>
    <t>www.bigbellykitchen.com</t>
  </si>
  <si>
    <t>98111 50377</t>
  </si>
  <si>
    <t>1400</t>
  </si>
  <si>
    <t>Food Theory Catering</t>
  </si>
  <si>
    <t>food-theory-catering</t>
  </si>
  <si>
    <t>Food Theory Catering is a catering company serving all over Delhi. He started catering for wedding and other events. With countless clients, ranging from public to private companies, Food Theory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t>
  </si>
  <si>
    <t>https://www.facebook.com/foodtheory/</t>
  </si>
  <si>
    <t>37</t>
  </si>
  <si>
    <t xml:space="preserve">Chetan Caterings &amp; Events is a catering company serving all over Gurgaon. He started catering for wedding and other events. With countless clients, ranging from public to private companies, Chetan Caterings &amp; Events gained a reputation for elegant presentations and impressive services. Be assured of the fact that the food is prepared &amp; served under hygienic conditions and all rates are inclusive of top-class service, crockery &amp; cutlery. Cuisines offered: North Indian Chinese Rajasthani
</t>
  </si>
  <si>
    <t>099993 27964</t>
  </si>
  <si>
    <t>The Flip Pan</t>
  </si>
  <si>
    <t>the-flip-pan</t>
  </si>
  <si>
    <t>The Flip Pan is a catering service company based in Delhi NCR. It specializes in Indian Cuisine and an array of homemade desserts &amp; pastries, ensuring there's no dearth of home cooked food for Hearty gatherings.</t>
  </si>
  <si>
    <t xml:space="preserve">Madhav </t>
  </si>
  <si>
    <t>North Indian Cuisine Jain Cuisine
Authentic Bengali Cuisines
South Indian Cuisine
Chinese Cuisine
Rajputana Cuisine
Magahi Delicacies
Traditional and International Desserts
Cold and Hot Drinks
Any Custom Cuisines if required can also be prepared.
Utensils and Cooking Equipment
Cooks and catering assistants
Basic set-up for the serving area
Cost of the raw material being used</t>
  </si>
  <si>
    <t>39</t>
  </si>
  <si>
    <t>https://www.facebook.com/thekamathcaterers/</t>
  </si>
  <si>
    <t>Naidu Caterers</t>
  </si>
  <si>
    <t>naidu-caterers</t>
  </si>
  <si>
    <t>Naidu Caterers is a delhi based catering company. It was started by Sourav. He started catering for wedding and other events. With countless clients, ranging from public to private companies, Naidu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Italian Desserts Italian Rajasthani Maharashtrian Gujarati</t>
  </si>
  <si>
    <t>http://www.gourmetspice.in/</t>
  </si>
  <si>
    <t>098233 14483</t>
  </si>
  <si>
    <t>40</t>
  </si>
  <si>
    <t>1800</t>
  </si>
  <si>
    <t>Full-service catering for both vegetarian and non-vegetarian menus</t>
  </si>
  <si>
    <t>XO, Catering By Design</t>
  </si>
  <si>
    <t>xo-catering-by-design</t>
  </si>
  <si>
    <t>XO, Catering By Design is a team that works enthusiastically to deliver food in a way that delights the eyes and is palatable to the tongue! The XO, Catering By Design based in the city of Delhi. They enjoy what they do as a team and ensure that the quality is nothing less than delightful. The team is led by Sahiba Puri, who works fervently for the comfort and satisfaction of the client. Be sure to give them the privilege of catering on your special day if you have a good feeling about them! Cuisines Offered: North Indian South Indian Chinese Japanese Italian Greek Lebanese Thai Desserts Bengali Gujarati Rajasthani Goan Maharashtrian</t>
  </si>
  <si>
    <t>https://www.facebook.com/xocateringbydesign.in/</t>
  </si>
  <si>
    <t>42</t>
  </si>
  <si>
    <t>https://www.swiggy.com/restaurants/turban-tales-naraina-vikaspuri-delhi-670983/dineout?is_retargeting=true&amp;media_source=GoogleReserve&amp;utm_campaign=GoogleMap&amp;utm_source=GoogleReserve</t>
  </si>
  <si>
    <t>098103 53308</t>
  </si>
  <si>
    <t>Full-service catering for weddings and events</t>
  </si>
  <si>
    <t>Madhav1</t>
  </si>
  <si>
    <t>43</t>
  </si>
  <si>
    <t>https://www.instagram.com/enas_kitchen2205/?hl=en</t>
  </si>
  <si>
    <t>Raj Tent Caterers &amp; Decorators is a catering company serving all over Ghaziabad. He started catering for wedding and other events. With countless clients, ranging from public to private companies, Raj Tent Caterers &amp; Decorators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</si>
  <si>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1150</t>
  </si>
  <si>
    <t>Premium Outdoor Catering</t>
  </si>
  <si>
    <t>45</t>
  </si>
  <si>
    <t>New Sanwaria Caterers</t>
  </si>
  <si>
    <t>new-sanwaria-caterers</t>
  </si>
  <si>
    <t xml:space="preserve">The Flavour's Kitchen &amp; Catering is a catering company serving all over Delhi. He started catering for wedding and other events. With countless clients, ranging from public to private companies, The Flavour's Kitchen &amp;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t>
  </si>
  <si>
    <t>The Delhi-based catering company New Sanwaria Caterers can turn any special occasion into the most extraordinary experience of your life by serving a variety of delectable cuisines. No matter the occasion, every celebration is always accompanied by a spread of delicious food that you can savour and cherish for years to come. One of the most significant and memorable events in a person's life is their wedding, so choosing someone to provide the food for all of your celebrations is not an easy choice.</t>
  </si>
  <si>
    <t>https://www.facebook.com/TheFlavoursKitchenCatering/</t>
  </si>
  <si>
    <t>Presentation and lighting for the food setup Service staff/servers</t>
  </si>
  <si>
    <t>095828 05058</t>
  </si>
  <si>
    <t>One Fine Meal</t>
  </si>
  <si>
    <t>one-fine-meal</t>
  </si>
  <si>
    <t>A boutique catering firm, One Fine Meal is a result of passion, love and labour of its co-founders. A third generation food enterprise, the co-founders of One Fine Meal belong to probably the first catering family of Delhi. With over six decades of experience, across various food &amp; beverage formats, One Fine Meal brings the best of food experiences to the catering domain. The understanding of food and its ecosystem, taste, operations, service &amp; hospitality along with intimate approach and guest orientation forms the core of One Fine Meal. With the belief that no substandard ingredient can turn into quality produce, the operations are centered on a state of the art kitchen along with an experience center in the heart of the city. The kitchen and the experience center adheres to global food and safety standards while dishing out the freshest and the most authentic flavours.</t>
  </si>
  <si>
    <t>https://www.facebook.com/OneFineMeal/</t>
  </si>
  <si>
    <t>098113 27294</t>
  </si>
  <si>
    <t>46</t>
  </si>
  <si>
    <t>Mayapuri, Delhi NCR</t>
  </si>
  <si>
    <t>Mayapuri</t>
  </si>
  <si>
    <t>https://www.instagram.com/sprouts.catering/?hl=en</t>
  </si>
  <si>
    <t>Catering Serving Crockery And Cutlery North Indian South Indian
Italian Thai Desserts Bengali Gujarati Rajasthani Goan</t>
  </si>
  <si>
    <t>Catering Serving
Crockery And Cutlery</t>
  </si>
  <si>
    <t>Utsavv Caterers</t>
  </si>
  <si>
    <t>utsavv-caterers</t>
  </si>
  <si>
    <t>Delhi is the national capital of the country. If you are looking for wedding catering services to cater to this elite segment Utsavv Caterers may be a great option. Delhi based Utsavv Caterers, will have your special day covered with mouth-watering delicious food which is sure to be loved by all the guest attendees. They have skilled chefs, who cater to every individual taste bud. In a short span of time, they have done several catering services, serving numerous clients with the best of experiences by their food and services. They expertise in what they do and have the most skilled chefs to achieve it. Striving to reach out to each community has also been of utmost importance to them. Their expertise is to present the various preparations of exotic oriental cuisines. They are renowned in the city as caterers with expertise in oriental cuisines.</t>
  </si>
  <si>
    <t>https://www.facebook.com/Noida/</t>
  </si>
  <si>
    <t>They are based out of South Delhi, Delhi NCR.</t>
  </si>
  <si>
    <t>48</t>
  </si>
  <si>
    <t>097162 09090</t>
  </si>
  <si>
    <t>https://www.instagram.com/heeracateringincfood_service/</t>
  </si>
  <si>
    <t>Silver Spoons Food and Caterers</t>
  </si>
  <si>
    <t>silver-spoons-food-and-caterers</t>
  </si>
  <si>
    <t>099537 83152</t>
  </si>
  <si>
    <t xml:space="preserve">Silver Spoons Food and Caterers is a Delhi based catering company. It was started by Puneet. He started catering for wedding and other events. With countless clients, ranging from public to private companies, Silver Spoons Food and Caterers gained a reputation for elegant presentations and impressive services. Be assured of the fact that the food is prepared &amp; served under hygienic conditions and all rates are inclusive of top-class service, crockery &amp; cutlery. Cuisines offered: North Indian Chinese Bengali Desserts South Indian Rajasthani Desserts Gujarati
</t>
  </si>
  <si>
    <t>098218 78159</t>
  </si>
  <si>
    <t>51</t>
  </si>
  <si>
    <t>The 21 Gun Salute</t>
  </si>
  <si>
    <t>the-21-gun-salute</t>
  </si>
  <si>
    <t>Delhi based 21 Gun Salute captures heritage food tastes and unique recipes that emerged from the Royal Rasois of the 21 Gun Salute states. They focus just as much on simplicity and sophistication in the visual aesthetics as on the flavor of their gourmet items. Using only the highest quality products to create traditional dishes with a modern and creative twist, their love of catering is reflected in their excellent service.</t>
  </si>
  <si>
    <t>https://www.instagram.com/kardamom.katering/</t>
  </si>
  <si>
    <t>Indian Indian street food
Oriental/Thai</t>
  </si>
  <si>
    <t>North Indian Chinese, Italian, Desserts,
Japanese, Maharashtrian</t>
  </si>
  <si>
    <t>52</t>
  </si>
  <si>
    <t>Golden Plate Catering is a catering company serving all over Greater Noida. He started catering for wedding and other events. With countless clients, ranging from public to private companies, Golden Plate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</si>
  <si>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2999</t>
  </si>
  <si>
    <t>https://www.facebook.com/goldenplatez/</t>
  </si>
  <si>
    <t>98990 96699</t>
  </si>
  <si>
    <t>53</t>
  </si>
  <si>
    <t>https://www.instagram.com/foxnut_catering/?hl=en</t>
  </si>
  <si>
    <t>https://www.instagram.com/shree_shyam_ji_caterer/</t>
  </si>
  <si>
    <t>54</t>
  </si>
  <si>
    <t>1600</t>
  </si>
  <si>
    <t>1700</t>
  </si>
  <si>
    <t>Craft</t>
  </si>
  <si>
    <t>craft</t>
  </si>
  <si>
    <t xml:space="preserve"> null</t>
  </si>
  <si>
    <t>They are located in Malviya Nagar, Panchsheel Vihar of New Delhi.</t>
  </si>
  <si>
    <t>55</t>
  </si>
  <si>
    <t>North Indian South Indian Chinese Italian Rajasthani
Gujrati Maharashtrian deserts</t>
  </si>
  <si>
    <t>Neoalee Catering &amp; Events</t>
  </si>
  <si>
    <t>neoalee-catering-events</t>
  </si>
  <si>
    <t>https://neoroyalcatering.wordpress.com/</t>
  </si>
  <si>
    <t>56</t>
  </si>
  <si>
    <t>https://www.instagram.com/cnakitchen/</t>
  </si>
  <si>
    <t>080109 22881</t>
  </si>
  <si>
    <t>4000</t>
  </si>
  <si>
    <t>https://www.instagram.com/chawlacatererspvt.ltd/</t>
  </si>
  <si>
    <t>57</t>
  </si>
  <si>
    <t>https://www.instagram.com/theheritagecateringservices/</t>
  </si>
  <si>
    <r>
      <rPr>
        <color rgb="FF1155CC"/>
        <u/>
      </rPr>
      <t>098102 62807</t>
    </r>
  </si>
  <si>
    <t>58</t>
  </si>
  <si>
    <t>Preet Caterers is a team that works enthusiastically to deliver food in a way that delights the eyes and is palatable to the tongue! Preet Caterers is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t>
  </si>
  <si>
    <t>098109 81355</t>
  </si>
  <si>
    <t>59</t>
  </si>
  <si>
    <t>Aaugritaa Caterers</t>
  </si>
  <si>
    <t xml:space="preserve">Having a year of experience, The Grub House, located in Delhi enjoys the rare distinction of being an all in one organizer for all types of functions that their clients could think of hosting. Be it birthdays or weddings their skilled team can easily manage all aspects of these functions from the beginning till the very end. They will make your special event memorable not only for you but, for every one of your guests. Their exquisite &amp; innovative food, spectacular presentation &amp; unfailing service has enabled The Grub House to create a seamless match in New Delhi &amp; other cities. They provide only vegetarian food. Cuisines Offered: North Indian South Indian Chinese Japanese Italian Greek Lebanese Thai Desserts Bengali Gujarati Rajasthani Goan Maharashtrian
</t>
  </si>
  <si>
    <t>aaugritaa-caterers</t>
  </si>
  <si>
    <t>Aaugritaa Caterers is a venture based in wedding catering services. The team is expert in offering their hospitality services to their patrons with an experience of over 7+ years and have successfully delivered 500+ catering services and wedding events during the same. The company specializes in wedding catering, corporate events, high tea catering, and food consulting services. They also extend their services by providing a range of cooking courses by their expert chefs and also cater to all your kitchen solutions.They also pave your path by looking up a space for your store to its by product successfully. Aaugritaa Caterers makes sure that you receive the delicacies from different cuisines of the highest quality considering hygiene and customer satisfaction.</t>
  </si>
  <si>
    <t>https://www.instagram.com/aaugritaa/</t>
  </si>
  <si>
    <r>
      <rPr>
        <color rgb="FF1155CC"/>
        <u/>
      </rPr>
      <t>99906 32693</t>
    </r>
  </si>
  <si>
    <t>60</t>
  </si>
  <si>
    <t xml:space="preserve">Sparklin Hotel &amp; Caterers is a Delhi based catering company. It was started by Arvind. He started catering for wedding and other events. With countless clients, ranging from public to private companies, Kang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Italian Desserts Italian Rajasthani Gujarati
</t>
  </si>
  <si>
    <t>61</t>
  </si>
  <si>
    <t>Aaugritaa Caterers is a venture based in wedding catering services. The team is expert in offering their hospitality services to their patrons with an experience of over 7+ years and have successfully delivered 500+ catering services and wedding events during the same. The company specializes in wedding catering corporate events high tea catering and food consulting services. They also extend their services by providing a range of cooking courses by their expert chefs and also cater to all your kitchen solutions.They also pave your path by looking up a space for your store to its by product successfully. Aaugritaa Caterers makes sure that you receive the delicacies from different cuisines of the highest quality considering hygiene and customer satisfaction.</t>
  </si>
  <si>
    <t>https://www.instagram.com/vibethecateringcompany/</t>
  </si>
  <si>
    <t>Pan Asian Mediterranean
Authentic local</t>
  </si>
  <si>
    <t>https://www.facebook.com/supremekitchen.in/</t>
  </si>
  <si>
    <t>62</t>
  </si>
  <si>
    <t>https://www.instagram.com/ebkluxurycatering/</t>
  </si>
  <si>
    <t>97113 45294</t>
  </si>
  <si>
    <t>Aristocrat Caterers</t>
  </si>
  <si>
    <t>aristocrat-caterers</t>
  </si>
  <si>
    <t>Aristocrat Caterers are a team that works enthusiastically to deliver food in a way that delights the eyes and is palatable to the tongue! Aristocrat Caterers are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t>
  </si>
  <si>
    <t>https://aristocrat.co.in/</t>
  </si>
  <si>
    <t>63</t>
  </si>
  <si>
    <t>http://www.tkac.in/</t>
  </si>
  <si>
    <t>097170 93536</t>
  </si>
  <si>
    <t>5500</t>
  </si>
  <si>
    <t>6000</t>
  </si>
  <si>
    <t>https://www.instagram.com/lachiigurgaon/</t>
  </si>
  <si>
    <t>64</t>
  </si>
  <si>
    <t>011 2224 8888</t>
  </si>
  <si>
    <t>North Indian Greek The caterers offer an extensive range of culinary options, catering to a wide array of tastes and dietary requirements, ensuring that every guest finds something to enjoy. They maintain exceptional hygiene practices and utilise premium crockery and cutlery. The visual appeal of their food presentation matches the delightful flavours of their food.</t>
  </si>
  <si>
    <t>65</t>
  </si>
  <si>
    <t>Food Fiesta Caterers is a team that works enthusiastically to deliver food in a way that delights the eyes and is palatable to the tongue! Food Fiesta Caterers is based in the city of New Delhi . They enjoy what they do as a team and ensure that the quality is nothing less than delightful. The team is led by experienced caterers, who works fervently for the comfort and satisfaction of the client. Be sure to give them the privilege of catering on your special day if you have a good feeling about them! Cuisines Offered: North Indian South Indian Chinese Italian Thai Desserts Gujarati Rajasthani</t>
  </si>
  <si>
    <t>Mithas Exclusive Catering Services</t>
  </si>
  <si>
    <t>mithas-exclusive-catering-services</t>
  </si>
  <si>
    <t>Mithas Exclusive Catering Services is a renowned catering company serving clients all over Delhi NCR, known for their exceptional services and exquisite presentations. With years of experience in catering for weddings and various events, they have garnered a reputation for their elegant setups and impeccable service.</t>
  </si>
  <si>
    <t>098101 62965</t>
  </si>
  <si>
    <t>https://www.facebook.com/MithasExclusiveCateringService/</t>
  </si>
  <si>
    <t>Lajpat Nagar, Delhi NCR</t>
  </si>
  <si>
    <t>Lajpat Nagar</t>
  </si>
  <si>
    <t>Quality and hygiene in food preparation Experienced team
High standards of quality
Inclusive of service, crockery, and cutlery</t>
  </si>
  <si>
    <t>66</t>
  </si>
  <si>
    <t>Lavkush Halwai And Caters</t>
  </si>
  <si>
    <t>098716 13305</t>
  </si>
  <si>
    <t>lavkush-halwai-and-caters</t>
  </si>
  <si>
    <t xml:space="preserve">Lavkush Halwai And Caters is a catering company serving all over Delhi. He started catering for wedding and other events. With countless clients, ranging from public to private companies, Lavkush Halwai And Caters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t>
  </si>
  <si>
    <t>https://socialoffline.in/restaurant/hauz-khas-social/</t>
  </si>
  <si>
    <t>099689 87309</t>
  </si>
  <si>
    <t>Gunshot Catering</t>
  </si>
  <si>
    <t>gunshot-catering</t>
  </si>
  <si>
    <t>Gunshot Catering is a catering company serving all over Delhi. He started catering for wedding and other events. With countless clients, ranging from public to private companies, Gunshot Catering gained a reputation for elegant presentations and impressive services. Be assured of the fact that the food is prepared &amp; served under hygienic conditions and all rates are inclusive of top-class service, crockery &amp; cutlery. Cuisines offered: North Indian South Indian</t>
  </si>
  <si>
    <t>68</t>
  </si>
  <si>
    <t>http://facebook.com/shervanikitchen/</t>
  </si>
  <si>
    <t>Mughal Nama</t>
  </si>
  <si>
    <t>mughal-nama</t>
  </si>
  <si>
    <t>Mughal Nama is a luxury catering service from the house of Plenum Specialty Foods Pvt. Ltd. They believe in meeting the parameters, expectations &amp; tastes of its esteemed clients from different sectors. From social gatherings to corporate events, Mughal Nama promises high class, innovative, hygienic, lavish and presentable catering setups for 50 to 2000 people. They have got the privilege of catering to the bureaucrats and government officials, corporate organizations, public sectors and also to individual clients residing in the premium locations in Delhi NCR. Cuisines Offered: North Indian South Indian Chinese Desserts Bengali Gujarati Rajasthani Goan Maharashtrian</t>
  </si>
  <si>
    <t>https://www.mughalnama.com/</t>
  </si>
  <si>
    <t>098739 24150</t>
  </si>
  <si>
    <t>099109 28556</t>
  </si>
  <si>
    <t>69</t>
  </si>
  <si>
    <t>Caps Plus</t>
  </si>
  <si>
    <t>https://www.instagram.com/irtaza_catering/?hl=en</t>
  </si>
  <si>
    <t>caps-plus</t>
  </si>
  <si>
    <t xml:space="preserve">
Caps Plus is a catering company serving all over Delhi. He started catering for wedding and other events. With countless clients, ranging from public to private companies, Caps Plus gained a reputation for elegant presentations and impressive services. Be assured of the fact that the food is prepared &amp; served under hygienic conditions and all rates are inclusive of top-class service, crockery &amp; cutlery. Cuisines offered: Desserts
</t>
  </si>
  <si>
    <t>http://capsplus.ca/</t>
  </si>
  <si>
    <t>+1 902-865-4459</t>
  </si>
  <si>
    <t>Model Town, Delhi NCR</t>
  </si>
  <si>
    <t>Model Town</t>
  </si>
  <si>
    <t>70</t>
  </si>
  <si>
    <t>Neelkanth Caterers</t>
  </si>
  <si>
    <t>neelkanth-caterers</t>
  </si>
  <si>
    <t>Neelkanth Caterers is a catering company serving all over Delhi. He started catering for wedding and other events. With countless clients, ranging from public to private companies, Neelkanth Caterers gained a reputation for elegant presentations and impressive services. Be assured of the fact that the food is prepared &amp; served under hygienic conditions and all rates are inclusive of top-class service, crockery &amp; cutlery. Cuisines offered: North Indian</t>
  </si>
  <si>
    <t>https://www.zaubacorp.com/NEELKANTH-CATERERS-PRIVATE-LIMITED-U15490DL2009PTC187157</t>
  </si>
  <si>
    <t>https://www.instagram.com/thebasilkitchen/</t>
  </si>
  <si>
    <t>1750</t>
  </si>
  <si>
    <t>Off Premise Catering Wedding Catering Corporate Catering Indian Food
Modern European Food Pan Asian Food Mediterranean Food</t>
  </si>
  <si>
    <t>The Party Maker's</t>
  </si>
  <si>
    <t>the-party-maker-s</t>
  </si>
  <si>
    <t>The Party Maker's is a catering company serving all over Delhi. Paramveer started catering for wedding and other events. With countless clients, ranging from public to private companies, The Party Maker's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</si>
  <si>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https://partymaker.in/</t>
  </si>
  <si>
    <t>71</t>
  </si>
  <si>
    <t>096545 09571</t>
  </si>
  <si>
    <t>https://www.instagram.com/foodinc.yumyumtree/?hl=en</t>
  </si>
  <si>
    <t>2800</t>
  </si>
  <si>
    <t>Eleven Course Catering</t>
  </si>
  <si>
    <t>eleven-course-catering</t>
  </si>
  <si>
    <t>Eleven Course Catering is a Delhi NCR based catering company. It was started by Sandeep Jain. He started catering for wedding and other events. With countless clients, ranging from public to private companies, Eleven Course Catering gained a reputation for elegant presentations and impressive services. Be assured of the fact that the food is prepared &amp; served under hygienic conditions and all rates are inclusive of top-class service, crockery &amp; cutlery. Cuisines offered: North Indian Thai Chinese Japanese Italian Desserts</t>
  </si>
  <si>
    <t>https://www.elevencourse.com/?utm_source=ig&amp;utm_medium=social&amp;utm_content=link_in_bio&amp;fbclid=PAZXh0bgNhZW0CMTEAc3J0YwZhcHBfaWQPOTM2NjE5NzQzMzkyNDU5AAGnVsism1s8jBIt1VwBknmf_HvHiP8NiHjVD-m_EsGLgYMMZ81abF-82XY_xw4_aem_KUn4TvbrLuuBqdeTPkKaQA</t>
  </si>
  <si>
    <t>72</t>
  </si>
  <si>
    <t xml:space="preserve">KANAK by Chef Sanjeev is a catering company serving all over Gurgaon. He started catering for wedding and other events. With countless clients, ranging from public to private companies, KANAK by Chef Sanjeev gained a reputation for elegant presentations and impressive services. Be assured of the fact that the food is prepared &amp; served under hygienic conditions and all rates are inclusive of top-class service, crockery &amp; cutlery. Cuisines offered: North Indian South Indian Desserts
</t>
  </si>
  <si>
    <t>https://www.instagram.com/kanakbychefsanjeev/</t>
  </si>
  <si>
    <t>1900</t>
  </si>
  <si>
    <t>73</t>
  </si>
  <si>
    <t>Amigo Hospitality</t>
  </si>
  <si>
    <t>amigo-hospitality</t>
  </si>
  <si>
    <t>Amigo Hospitality is a Delhi NCR based catering company. He started catering for wedding and other events. With countless clients, ranging from public to private companies, Amigo Hospitality gained a reputation for elegant presentations and impressive services. Be assured of the fact that the food is prepared &amp; served under hygienic conditions and all rates are inclusive of top-class service, crockery &amp; cutlery. Cuisines offered: North Indian South Indian Chinese Bengali Desserts Italian</t>
  </si>
  <si>
    <t>https://www.instagram.com/banarasiya.in/?hl=en</t>
  </si>
  <si>
    <t>https://www.facebook.com/AmigoHospitality/</t>
  </si>
  <si>
    <t>96541 56734</t>
  </si>
  <si>
    <t>What A Food</t>
  </si>
  <si>
    <t>what-a-food</t>
  </si>
  <si>
    <t>74</t>
  </si>
  <si>
    <t>098180 77532</t>
  </si>
  <si>
    <t>House of Wok</t>
  </si>
  <si>
    <t>house-of-wok</t>
  </si>
  <si>
    <t xml:space="preserve">Wok in the Clouds, a luscious venue based in Delhi is perfect for the pre wedding events. Equipped with world-class facilities, the venue is spacious and comfortable. They offer complete event support for all your nuptial ceremonies and events. With their class apart services, you are ensured that every experience with them is unique, every time. This venue is an ideal choice for your wedding events as it can hold lavish as well as a simple and subtle functions. Vibrant and progressive, Wok in the Clouds retains the warmth and spirit of India while offering a grand hall. The services go far above and beyond the conventional venue and catering staples. All these services would be customised according to your demands, needs, and budget.
</t>
  </si>
  <si>
    <t>https://houseofwok.in/</t>
  </si>
  <si>
    <t>75</t>
  </si>
  <si>
    <t>085880 20242</t>
  </si>
  <si>
    <t>https://www.instagram.com/elevencourseindia/?hl=en</t>
  </si>
  <si>
    <t>Defence Colony, Delhi NCR</t>
  </si>
  <si>
    <t>Defence Colony</t>
  </si>
  <si>
    <t>https://www.facebook.com/CheffedForYou/</t>
  </si>
  <si>
    <t>098889 35560</t>
  </si>
  <si>
    <t>76</t>
  </si>
  <si>
    <t xml:space="preserve">Cuisines n Concepts has been into this industry for past 30 years and they have a long list of experiences and expertise to help you with and make your wedding dining a smooth experience and a happy gastronomical ride for the taste buds that will get the zing of delicious food. They are known for their variety and innovation in the list of vegetarian and non-vegetarian food that any cuisine has to provide you with. Cuisines n Concepts has long been involved in the restaurant business. Based in Delhi, the company is extending its services in a few more cities. They are here to provide quality service and tasty food along with maintaining proper hygiene. Also along with preparing good food, it is necessary to serve them in an attractive manner which adds extra spice to it and it is done by this catering amazingly. They are one of the perfect options to hire for your special events. Cuisines Offered: North Indian South Indian Chinese Italian Greek Lebanese Thai Desserts Bengali Gujarati Rajasthani Goan
</t>
  </si>
  <si>
    <t>https://www.instagram.com/cuisinesandconcepts/?hl=en</t>
  </si>
  <si>
    <t>Aaru Events</t>
  </si>
  <si>
    <t>aaru-events</t>
  </si>
  <si>
    <t>Aaru Events is a catering company serving all over Delhi. He started catering for wedding and other events. With countless clients, ranging from public to private companies,Aaru Events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t>
  </si>
  <si>
    <t>2600</t>
  </si>
  <si>
    <t>Fant Merriment Event</t>
  </si>
  <si>
    <t>fant-merriment-event</t>
  </si>
  <si>
    <t>Fant Merriment Event is a catering company serving all over Delhi Ncr. He started catering for wedding and other events. With countless clients, ranging from public to private companies, Fant Merriment Event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</si>
  <si>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Janakpuri, Delhi NCR</t>
  </si>
  <si>
    <t>Janakpuri</t>
  </si>
  <si>
    <t>77</t>
  </si>
  <si>
    <t xml:space="preserve">Garam Masala is a catering company serving all over Delhi NCR. He started catering for wedding and other events. With countless clients, ranging from public to private companies, Garam Masala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t>
  </si>
  <si>
    <t>Apsara Caterers</t>
  </si>
  <si>
    <t>apsara-caterers</t>
  </si>
  <si>
    <t>78</t>
  </si>
  <si>
    <t>https://www.facebook.com/p/Tawa-Tadka-100063637667763/</t>
  </si>
  <si>
    <t>096501 06661</t>
  </si>
  <si>
    <t>79</t>
  </si>
  <si>
    <t>Uttam Caterers &amp; Decorators is a Delhi based catering company. It was started by Ashim. He started catering for wedding and other events. With countless clients, ranging from public to private companies, Uttam Caterers &amp; Decorators gained a reputation for elegant presentations and impressive services. Be assured of the fact that the food is prepared &amp; served under hygienic conditions and all rates are inclusive of top-class service, crockery &amp; cutlery. Cuisines offered: North Indian South Indian Chinese Bengali Desserts Italian Rajasthani Gujarati</t>
  </si>
  <si>
    <t>092125 61588</t>
  </si>
  <si>
    <t>The Vivah</t>
  </si>
  <si>
    <t>the-vivah</t>
  </si>
  <si>
    <t>The Vivah is a catering company serving all over Delhi. He started catering for wedding and other events. With countless clients, ranging from public to private companies,The Vivah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</si>
  <si>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80</t>
  </si>
  <si>
    <t>Delhi Kitchen Catering</t>
  </si>
  <si>
    <t>delhi-kitchen-catering</t>
  </si>
  <si>
    <t>Weddings are no doubt the most important segment in one's life. It is the celebration of love. Even though the bride and groom are the most important, there is one other thing that has maybe a little less of significance as compared to the ones getting married, and that is food. Whenever we recall a wedding, we talk about the memories and amazing moments filled with emotions, we talk about the decorations, but then comes the food. No celebration is complete without gob smacking food. It is hands down the most important part which should leave everyone spell bound.</t>
  </si>
  <si>
    <t>https://www.instagram.com/juice_cult_/?hl=en</t>
  </si>
  <si>
    <t>https://www.instagram.com/delhikitchendelhi/</t>
  </si>
  <si>
    <t>Wedding catering American BBQ
Live counters
Bar services
Mongolian
Belgian</t>
  </si>
  <si>
    <t>The Minus Culture</t>
  </si>
  <si>
    <t>the-minus-culture</t>
  </si>
  <si>
    <t>The Minus Culture is a catering company serving all over Delhi. He started catering for weddings and other events. With countless clients, ranging from public to private companies, The Minus Culture gained a reputation for elegant presentations and impressive services. Be assured of the fact that the food is prepared &amp; served under hygienic conditions and all rates are inclusive of top-class service, crockery &amp; cutlery. Cuisines offered: Desserts</t>
  </si>
  <si>
    <t>81</t>
  </si>
  <si>
    <t>https://www.instagram.com/vipkitchen65/</t>
  </si>
  <si>
    <t>Italian Swiss Indian Chaat and street food counters</t>
  </si>
  <si>
    <t>The House Party by Savar</t>
  </si>
  <si>
    <t>the-house-party-by-savar</t>
  </si>
  <si>
    <t>The House Party By Savar is a catering company serving all over Delhi NCR. He started catering for wedding and other events. With countless clients, ranging from public to private companies, The House Party By Savar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</si>
  <si>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https://www.instagram.com/thehousepartybysavar/?hl=en</t>
  </si>
  <si>
    <t>82</t>
  </si>
  <si>
    <t>Jaina Mohan Caterers And Halwai, they know that every event requires the best service with ingenuity &amp; creativity. They are a catering company based in Saket New Delhi. They deliver the best of authentic, delicious and mouth-watering cuisines. They have very reasonable rates for both non-vegetarian as well as vegetarian menus and would provide any cuisine according to the demands and needs of their clients. Cuisines Offered: North Indian South Indian Chinese Desserts Gujarati Rajasthani</t>
  </si>
  <si>
    <t>https://www.instagram.com/jmcdelicacy/</t>
  </si>
  <si>
    <r>
      <rPr>
        <color rgb="FF1155CC"/>
        <u/>
      </rPr>
      <t>88008 89728</t>
    </r>
  </si>
  <si>
    <t>83</t>
  </si>
  <si>
    <t xml:space="preserve">Shri Ganesh Caterers is a Delhi based catering company. He started catering for wedding and other events. With countless clients, ranging from public to private companies, Shri Ganesh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Italian Desserts Italian Rajasthani
</t>
  </si>
  <si>
    <t>Dilli Delights</t>
  </si>
  <si>
    <t>dilli-delights</t>
  </si>
  <si>
    <t>84</t>
  </si>
  <si>
    <t>https://www.facebook.com/DilliDelights/</t>
  </si>
  <si>
    <t>https://www.instagram.com/oyehalwai/</t>
  </si>
  <si>
    <t>099118 88810</t>
  </si>
  <si>
    <t>Moets country chef</t>
  </si>
  <si>
    <t>moets-country-chef</t>
  </si>
  <si>
    <t>Established in 1960, Moets is one of the leading hospitality companies in Delhi NCR. The group has a strong impact on the hospitality industry with its inclusives, the most popular brands in fine dining such as Moets Sizzlers / Moets Chinese room / Moets BBQ / Kababchi by Moets &amp; Moets Country Chef Catering services. The catering services are synonymous with delicious food that can satiate all food cravings.</t>
  </si>
  <si>
    <t>https://www.instagram.com/theclovecatering_official/</t>
  </si>
  <si>
    <t>85</t>
  </si>
  <si>
    <t xml:space="preserve">Phenomenal food, Outstanding service, and stunning presentation are the basic ingredients of every celebration planned at The Catering Inc. Established in Gurugram to meet the vision of a catering company for vegetarian gourmet events, their menu includes the finest and most elegant vegetarian option from around the world, focusing on delivering impeccable culinary and event services. They ensure that each dish is prepared with locally sourced, seasonal and organic ingredients. The gracious and highly trained staff sets high standards and focuses on making your guests feel welcomed. Cuisine Offered: North Indian South Indian Chinese Japanese Italian Greek Lebanese Thai Desserts Bengali Gujarati Rajasthani Goan Maharashtrian
</t>
  </si>
  <si>
    <t>https://www.instagram.com/thecateringinc/</t>
  </si>
  <si>
    <t>Clove Catering &amp; Events</t>
  </si>
  <si>
    <t>clove-catering-events</t>
  </si>
  <si>
    <t>Clove Catering &amp; Events is a Delhi NCR based catering company. It was started by Harsh Goel. He started catering for wedding and other events. With countless clients, ranging from public to private companies, Clove Catering &amp; Events gained a reputation for elegant presentations and impressive services. Be assured of the fact that the food is prepared &amp; served under hygienic conditions and all rates are inclusive of top-class service, crockery &amp; cutlery. Cuisines offered: North Indian South Indian Chinese</t>
  </si>
  <si>
    <t>99901 66008</t>
  </si>
  <si>
    <t>Mamapaati Catering</t>
  </si>
  <si>
    <t>mamapaati-catering</t>
  </si>
  <si>
    <t>Mamapaati Catering services are based in Delhi NCR. At Mamapaati Catering You’re bespoke catering service from the folks who brought Mamagoto, and now also Dhaba by Claridges, to you. They provide customized menus to discerning clients who wish to entertain their guests in the privacy of their home, farm or office without the fuss. Each menu is designed keeping in mind the style of gathering you choose to have and they will be more than happy to provide you with the supplementary service as staff, serving gear, table décor and all sorts of other requirements. Their chefs at Mamapaati can cook up cuisines from Asia, Europe &amp; India (they are also working on a healthy gluten free menu option).</t>
  </si>
  <si>
    <t>nulll</t>
  </si>
  <si>
    <t>86</t>
  </si>
  <si>
    <t>Standard package (6-7 starters) 4-5 main course</t>
  </si>
  <si>
    <t>3700</t>
  </si>
  <si>
    <t>4200</t>
  </si>
  <si>
    <t>Perfections</t>
  </si>
  <si>
    <t>North Indian Seafood Chettinad Andhra
Kashmiri Dietary and sugar free food.</t>
  </si>
  <si>
    <t>perfections</t>
  </si>
  <si>
    <t>Planning an event can be daunting. Perfections cater to all your joyful events by providing the perfect menu options to make your special day even more memorable. Perfections bring over 8 years of culinary experience when comes to providing exceptional services in Delhi/NCR with highest standards. They believe in putting the utmost efforts and endeavors to bring complete satisfaction to our customers. From humble beginnings, They take pride in our consistent attention to detail and customer’s requirements. Whether large or small, each encore catered event – is an adventure and a great source of pride for our team Cuisines Offered: North Indian South Indian Chinese Italian Lebanese Thai Desserts Bengali Gujarati Rajasthani Goan Maharashtrian</t>
  </si>
  <si>
    <t>50000</t>
  </si>
  <si>
    <t>87</t>
  </si>
  <si>
    <t>1900 AD A Kitchen is a Delhi NCR based catering company. It was started by Hema. He started catering for wedding and other events. With countless clients, ranging from public to private companies, 1900 AD A Kitchen gained a reputation for elegant presentations and impressive services. Be assured of the fact that the food is prepared &amp; served under hygienic conditions and all rates are inclusive of top-class service, crockery &amp; cutlery. Cuisines offered: North Indian Desserts Bengali</t>
  </si>
  <si>
    <t>https://www.ovenstory.in/</t>
  </si>
  <si>
    <t>Kashmirana Flavours of the Valley is a catering company serving all over Gurgaon. He started catering for wedding and other events. With countless clients, ranging from public to private companies, Kashmirana Flavours of the Valley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</si>
  <si>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https://www.instagram.com/kashmirana_flavours_of_valley/?hl=en</t>
  </si>
  <si>
    <t>88</t>
  </si>
  <si>
    <t>Gupta Caterers &amp; Wedding Planner is a Delhi based catering company. It was started by Amit. He started catering for wedding and other events. With countless clients, ranging from public to private companies, Gupta Caterers &amp; Wedding Planner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Rajasthani</t>
  </si>
  <si>
    <t>https://www.facebook.com/deliciosa.newleaf/</t>
  </si>
  <si>
    <t>098103 13564</t>
  </si>
  <si>
    <t>89</t>
  </si>
  <si>
    <t>https://www.facebook.com/Goelfoodsandcaterers/</t>
  </si>
  <si>
    <t>Aroma Kitchen</t>
  </si>
  <si>
    <t>aroma-kitchen</t>
  </si>
  <si>
    <t>Aroma Kitchen is a wedding catering service. They provide complete hospitality solutions, by setting new benchmarks through an effective and efficient catering with each event. The company, Aroma Kitchen’s success lies in offering scrumptious food items and the pairing of discipline and passion of making people happy through food.</t>
  </si>
  <si>
    <t>098187 85951</t>
  </si>
  <si>
    <t>Aroma Kitchen is a wedding catering service. They provide complete hospitality solutions by setting new benchmarks through an effective and efficient catering with each event. The company
Aroma Kitchen’s success lies in offering scrumptious food items and the pairing of discipline and passion of making people happy through food.</t>
  </si>
  <si>
    <t>North Indian Starters
Chaats</t>
  </si>
  <si>
    <t>Setia Tent House and Caterers Decorators</t>
  </si>
  <si>
    <t>setia-tent-house-and-caterers-decorators</t>
  </si>
  <si>
    <t>Setia Tent House and Caterers Decorators is a Delhi Ncr based creative Wedding planning company, founded by Deepak Setia in 1997. Since then, they have been helping couples plan their big day with aplomb, from coordination, to ideation as well as execution.They have been known for Hospitality, Managment About the team Setia Tent House and Caterers Decorators Deepak Setia has done "Graduation" before discovering the creative blend and a passion towards planning Indian weddings. Services Provided by Setia Tent House and Caterers Decorators They provide a whole array of services which include Planning, Decoration. They are a planning and decor company, providing both services with their inhouse team. They specialize in their decor design services and offer both. Setia Tent House and Caterers Decorators has previously planned wedding in multiple cities like Delhi, Noida, Gurgaon and are adept at coordinating destination weddings, handling logistics and planning the same.</t>
  </si>
  <si>
    <t>90</t>
  </si>
  <si>
    <t>Sorriso Gourmet Catering</t>
  </si>
  <si>
    <t>sorriso-gourmet-catering</t>
  </si>
  <si>
    <t>Sorriso gourmet catering is a luxe catering company based in Gurgaon 32nd milestone.</t>
  </si>
  <si>
    <t>TARUN TAHILIANI ADITYA BIRLA RAZORPAY
HSBC BHARTI AIRTEL Audi gurgaon</t>
  </si>
  <si>
    <t>TCI Food Catering</t>
  </si>
  <si>
    <t>tci-food-catering</t>
  </si>
  <si>
    <t>TCI Food Catering is a catering company serving all over Delhi. Priyanka started catering for wedding and other events. With countless clients, ranging from public to private companies, TCI Food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Italian</t>
  </si>
  <si>
    <t>91</t>
  </si>
  <si>
    <t>Mohana Caterers</t>
  </si>
  <si>
    <t>mohana-caterers</t>
  </si>
  <si>
    <t>Get best quote from Mohana Caterers and book your date! Check their prices and availability. Send enquiry to your selected list of Wedding Catering at WedMeGood and choose the best. Browse for more Wedding Catering in Delhi NCR and more wedding vendors at WedMeGood and plan your wedding hassle free.</t>
  </si>
  <si>
    <t>099998 22400</t>
  </si>
  <si>
    <t>Azadpur, Delhi NCR</t>
  </si>
  <si>
    <t>Azadpur</t>
  </si>
  <si>
    <t>92</t>
  </si>
  <si>
    <t>https://www.facebook.com/SjCaterers/</t>
  </si>
  <si>
    <t>Bachelor 2 Wedding</t>
  </si>
  <si>
    <t>bachelor-2-wedding</t>
  </si>
  <si>
    <t>099900 08387</t>
  </si>
  <si>
    <t>93</t>
  </si>
  <si>
    <t>https://order.bikanervala.com/order/bikanervala-sector-29-gurgaon</t>
  </si>
  <si>
    <t>https://www.instagram.com/karachiicaterers/</t>
  </si>
  <si>
    <r>
      <rPr>
        <color rgb="FF1155CC"/>
        <u/>
      </rPr>
      <t>098211 91366</t>
    </r>
  </si>
  <si>
    <t>950</t>
  </si>
  <si>
    <t>94</t>
  </si>
  <si>
    <t>http://www.drcevent.com/</t>
  </si>
  <si>
    <t>21000</t>
  </si>
  <si>
    <t>95</t>
  </si>
  <si>
    <t>https://www.instagram.com/foodarthospitality/?hl=en</t>
  </si>
  <si>
    <t>Roop caterers</t>
  </si>
  <si>
    <t>roop-caterers</t>
  </si>
  <si>
    <t>Roop caterers is a Delhi NCR based catering company. He started catering for wedding and other events. With countless clients, ranging from public to private companies, Roop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Deserts</t>
  </si>
  <si>
    <t>96</t>
  </si>
  <si>
    <t>https://www.roopjicaterers.com/home.php</t>
  </si>
  <si>
    <t>https://www.facebook.com/thepartychef20/</t>
  </si>
  <si>
    <t>070427 74464</t>
  </si>
  <si>
    <t>Traditional Vegan menu Administration Staff/Servers
Porcelain and cutlery Introduction and lighting for the sustenance arrangement
Barkeep and other bar administrations Delicate drinks, juices, soft drinks, tonic
Chilling and cubed ice</t>
  </si>
  <si>
    <t>Traditional Desserts
North Indian
Continental</t>
  </si>
  <si>
    <t>97</t>
  </si>
  <si>
    <t>Country Flavours Catering Services</t>
  </si>
  <si>
    <t>country-flavours-catering-services</t>
  </si>
  <si>
    <t xml:space="preserve">Country Flavours Catering Services has long been involved in the restaurant business. Based in Delhi NCR, the company is extending its Services in a few more cities. They are here to provide quality service and tasty food along with maintaining proper hygiene. Also along with preparing good food, it is necessary to serve them in an attractive manner which adds extra spice to it and it is done by this catering amazingly. They are one of the perfect options to hire for your special events. Cuisines Offered: North Indian Continental Chinese Traditional South Indian Desserts Italian
</t>
  </si>
  <si>
    <t>The Famous Halwai</t>
  </si>
  <si>
    <t>the-famous-halwai</t>
  </si>
  <si>
    <t>The Famous Halwai is a Delhi based catering company. They started catering for wedding and other events. With countless clients, ranging from public to private companies, The Famous Halwai gained a reputation for elegant presentations and impressive services. Be assured of the fact that the food is prepared &amp; served under hygienic conditions and all rates are inclusive of top-class service, crockery &amp; cutlery. Cuisines offered: North Indian South Indian Chinese Bengali Desserts Italian Rajasthani Gujarati</t>
  </si>
  <si>
    <t>https://thefamoushalwai.com/</t>
  </si>
  <si>
    <t>98</t>
  </si>
  <si>
    <t>599</t>
  </si>
  <si>
    <t>999</t>
  </si>
  <si>
    <t>99</t>
  </si>
  <si>
    <t>Khema Halwai Pvt. Ltd.</t>
  </si>
  <si>
    <t>khema-halwai-pvt-ltd</t>
  </si>
  <si>
    <t>Khema Halwai Pvt. Ltd. is a catering service in Delhi NCR. The team is indented to offer exclusive wedding catering services, corporate catering or outdoor catering services. They offer a wide range of items to celebrate special occasions at a very low price. They prepare the food as per the requirements so that waste of food can be minimized. Their wedding catering services or outdoor catering services aid the clients in releasing their stress. The food is made under hygienic conditions and using only quality ingredients. They make the best arrangements to please and satisfy the clients and their guest. Cuisines Offered: South Indian Chinese Italian Lebanese Thai Desserts Bengali Gujarati Rajasthani</t>
  </si>
  <si>
    <t>https://www.instagram.com/khemahalwai/</t>
  </si>
  <si>
    <t>Indian Italian, Mediterranean Oriental Modern Indian Kashmiri cuisines.
Service Staff/ Servers Crockery &amp; Cutlery Presentation and lighting for the food setup</t>
  </si>
  <si>
    <t>Indian Italian, Mediterranean Oriental
Modern Indian Kashmiri cuisines.</t>
  </si>
  <si>
    <t>The Hind Caterers a renowned catering company that operates across Delhi is your trusted culinary partner for weddings and various events. With a legacy that spans decades this culinary expert has garnered a reputation for his impeccable presentation and impressive catering services. With roots dating back to 2006 they have established themselves as a name synonymous with top-tier culinary experiences.</t>
  </si>
  <si>
    <t>ECC</t>
  </si>
  <si>
    <t>ecc</t>
  </si>
  <si>
    <t>While based in Krishna Nagar, Delhi, The Hind Caterers extend their culinary services throughout the city. Their expansive reach ensures that you can savor their culinary creations at the location of your choice.</t>
  </si>
  <si>
    <t>101</t>
  </si>
  <si>
    <t>Lavi Caters</t>
  </si>
  <si>
    <t>lavi-caters</t>
  </si>
  <si>
    <t>https://www.instagram.com/lavicatering/</t>
  </si>
  <si>
    <t>Art of Masala</t>
  </si>
  <si>
    <t>art-of-masala</t>
  </si>
  <si>
    <t>Art of Masala is a Delhi based catering company. It was started by Avi. He started catering for wedding and other events. With countless clients, ranging from public to private companies, Art of Masala gained a reputation for elegant presentations and impressive services. Be assured of the fact that the food is prepared &amp; served under hygienic conditions and all rates are inclusive of top-class service, crockery &amp; cutlery. Cuisines offered: North Indian South Indian Chinese Italian Desserts Italian Rajasthani Gujarati Bengali</t>
  </si>
  <si>
    <t>https://artofmasala.com/</t>
  </si>
  <si>
    <t>98738 33007</t>
  </si>
  <si>
    <t>102</t>
  </si>
  <si>
    <t>Marwah Caterers</t>
  </si>
  <si>
    <t>marwah-caterers</t>
  </si>
  <si>
    <t xml:space="preserve">Marwah Caterers are a team that works enthusiastically to deliver food in a way that delights the eyes and is palatable to the tongue! Marwah Caterers are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
</t>
  </si>
  <si>
    <t>098100 53164</t>
  </si>
  <si>
    <t>A3A Caterers is a catering company serving all over Noida. He started catering for wedding and other events. With countless clients, ranging from public to private companies, A3A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</si>
  <si>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https://www.instagram.com/a3acaterer/</t>
  </si>
  <si>
    <t>103</t>
  </si>
  <si>
    <t>Kaliram Chaat Creations is a Delhi based catering company.They started catering for wedding and other events. With countless clients, ranging from public to private companies, Kaliram Chaat Creations gained a reputation for elegant presentations and impressive services. Be assured of the fact that the food is prepared &amp; served under hygienic conditions and all rates are inclusive of top-class service, crockery &amp; cutlery. Cuisines offered: Chaat &amp; Food Stalls</t>
  </si>
  <si>
    <t>https://www.instagram.com/kaliramchaatcreations/</t>
  </si>
  <si>
    <t>Nikhil Caterers</t>
  </si>
  <si>
    <t>nikhil-caterers</t>
  </si>
  <si>
    <t>The bride and groom must make a lot of choices and judgements when planning the wedding setup, which makes the process complicated and complex. Maharaja Decorators is the company you should choose if you want to make your wedding planning simple and comfortable because it provides a wide range of services and amenities that will give your wedding ceremonies a touch of glitz. This company has every facility you could possibly need if you want to make your wedding ceremonies unique. The wedding is a celebration of love where two people join their hearts via their emotions and feelings. The best aspect of a wedding is the food, and dessert is the sweetest component that provides a touch of sugary feeling. Nikhil Caterers is the finest choice if you're searching for a caterer that can satisfy all of your food needs while also providing you with a tonne of catering services and amenities. They have years of experience in this area and have long provided consumers with a wide range of conveniences. When carrying out a lavish wedding, there are several considerations that must be made, and food is by far the most important one.</t>
  </si>
  <si>
    <t>104</t>
  </si>
  <si>
    <t>Royal India Eventz</t>
  </si>
  <si>
    <t>royal-india-eventz</t>
  </si>
  <si>
    <t>https://www.facebook.com/theroyalpalacevasundhra/</t>
  </si>
  <si>
    <t>105</t>
  </si>
  <si>
    <t xml:space="preserve">Eleven Course Catering is a Delhi NCR based catering company. It was started by Sandeep Jain. He started catering for wedding and other events. With countless clients, ranging from public to private companies, Eleven Course Catering gained a reputation for elegant presentations and impressive services. Be assured of the fact that the food is prepared &amp; served under hygienic conditions and all rates are inclusive of top-class service, crockery &amp; cutlery. Cuisines offered: North Indian Thai Chinese Japanese Italian Desserts
</t>
  </si>
  <si>
    <t>99119 01584</t>
  </si>
  <si>
    <t>Atelier Catering</t>
  </si>
  <si>
    <t>atelier-catering</t>
  </si>
  <si>
    <t>106</t>
  </si>
  <si>
    <t>At Atelier Catering, they believe that food is a form of expression that offers unlimited comfort and care. From regional delicacies to Exotic world cuisines, their soul-stirring recipes speak many languages from across the globe. Gathering the confidence from 40-years of experience in hospitality, The United group presents the Atelier Catering to you. Ensuring the best in house and on site catering services, providing the most modern, clean and hygienic outdoor catering services that recognize your taste and style. They are based in Delhi NCR and have been associated with more than 3 years. They specialize in creative, custom catering menus and offer wait and bar service as an added option. So, have their lip smacking cuisines at all your nuptial ceremonies and leave a long lasting impression on each and every guest.</t>
  </si>
  <si>
    <t>https://www.instagram.com/daawat_caterers_/</t>
  </si>
  <si>
    <t>Vegetarian Food Non vegetarian food
Dj and music
Licensed Bar services
Decoration and lightning
Dietary and sugar free food</t>
  </si>
  <si>
    <t>Rajan Caterers &amp; Decorators</t>
  </si>
  <si>
    <t>rajan-caterers-decorators</t>
  </si>
  <si>
    <t>Rajan Caterers &amp; Decorators are a team that works enthusiastically to deliver food in a way that delights the eyes and is palatable to the tongue! Rajan Caterers &amp; Decorators are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t>
  </si>
  <si>
    <t>https://www.therajancaterers.com/contact-us</t>
  </si>
  <si>
    <t>107</t>
  </si>
  <si>
    <t>The Bliss Catering</t>
  </si>
  <si>
    <t>the-bliss-catering</t>
  </si>
  <si>
    <t>The Bliss Catering is a catering company serving all over Delhi. He started catering for wedding and other events. With countless clients, ranging from public to private companies, The Bliss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</si>
  <si>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http://www.theblisscatering.in/</t>
  </si>
  <si>
    <t>096436 08434</t>
  </si>
  <si>
    <r>
      <rPr>
        <color rgb="FF1155CC"/>
        <u/>
      </rPr>
      <t>94163 96365</t>
    </r>
  </si>
  <si>
    <t>108</t>
  </si>
  <si>
    <t>https://zomato.onelink.me/xqzv/j8wbu20b</t>
  </si>
  <si>
    <t>Bathla Tent And Decorators</t>
  </si>
  <si>
    <t>bathla-tent-and-decorators</t>
  </si>
  <si>
    <t>109</t>
  </si>
  <si>
    <t>Bathla Tent and Decorators is a wedding decoration service provider based in the city of Ghaziabad. Weddings are one of the most special occasions where months of time is invested for the wedding preparations. Wedding decorations are one of the most important elements of the wedding which creates a beautiful and bespoke experience for the couple as well as all the people who are associated with it. If you are looking for a company that can make your wedding venue to be nothing less than a dream.</t>
  </si>
  <si>
    <t>https://www.facebook.com/bathlatent/</t>
  </si>
  <si>
    <t>https://www.instagram.com/kitchenkraftluxurycatering/?hl=en</t>
  </si>
  <si>
    <t>088263 72626</t>
  </si>
  <si>
    <t>2400</t>
  </si>
  <si>
    <t>R S Tent &amp; Caterers is a catering company serving all over Ghaziabad. He started catering for wedding and other events. With countless clients, ranging from public to private companies, R S Tent &amp;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t>
  </si>
  <si>
    <t>https://www.facebook.com/shakilmd1234/</t>
  </si>
  <si>
    <t>110</t>
  </si>
  <si>
    <t>88266 89681</t>
  </si>
  <si>
    <t>112</t>
  </si>
  <si>
    <t>https://www.instagram.com/caterersgurukirpa/</t>
  </si>
  <si>
    <t>Curated Catering By Design</t>
  </si>
  <si>
    <t>curated-catering-by-design</t>
  </si>
  <si>
    <t>Curated Catering is a popular catering and event management company located in Delhi NCR. They offer professional and modern catering services with customizable menus. From big corporate events to small parties to weddings, they do it all! Along with excellent food and services, Curated Catering also specializes in event planning solutions. They offer their catering services in Delhi/ NCR and at Dubai also.</t>
  </si>
  <si>
    <t>https://www.instagram.com/curated.catering/?hl=en</t>
  </si>
  <si>
    <t>Cuisine Regional North, South Indian Mediterrean
Live Counters Service staff/servers Premium Buffet Setup
Presentation and lighting setup</t>
  </si>
  <si>
    <t>T.M.L (The Mint Leaf Catering Company)</t>
  </si>
  <si>
    <t>t-m-l-the-mint-leaf-catering-company</t>
  </si>
  <si>
    <t>The Mint Leaf Catering Company was founded over 7 years ago in Delhi NCR. They have catered many event over the years at wedding functions all across India. They cater in all cuisines and have done events ranging from 50-500, without compromising on the quality of their food in any way. They work to create a unique menu exclusively for you all in your budget!</t>
  </si>
  <si>
    <t>https://www.facebook.com/themintleaf/</t>
  </si>
  <si>
    <t>113</t>
  </si>
  <si>
    <t xml:space="preserve">Vishesh Caterers &amp; Decorators are a team that works enthusiastically to deliver food in a way that delights the eyes and is palatable to the tongue! Vishesh Caterers &amp; Decorators are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Maharashtrian
</t>
  </si>
  <si>
    <t>https://www.facebook.com/VisheshCaterers/</t>
  </si>
  <si>
    <t>99999 94130</t>
  </si>
  <si>
    <t>098115 55050</t>
  </si>
  <si>
    <t>Elite Catering &amp; Hospitality</t>
  </si>
  <si>
    <t>elite-catering-hospitality</t>
  </si>
  <si>
    <t>http://www.eliteindiacorp.in/</t>
  </si>
  <si>
    <t>114</t>
  </si>
  <si>
    <t>MM Caterers</t>
  </si>
  <si>
    <t>mm-caterers</t>
  </si>
  <si>
    <t>MM Caterers in the Delhi NCR region are an established catering service offering a wide range of services for vegetarian and Jain food. They provide customised menus and exclusive vegetarian options and esteemed brand of cooks. MM Caterers are sure to treat your taste buds and will leave you craving for more. MM Caterers will provide exciting vegetarian cuisines, exceptional hospitality and appealing ambience to celebrate your wedding. Every wedding has a lot of its own beautiful moments and elements like venue, decoration, theme, lights etc. Food is one of those important elements of a wedding and is heartedly cherished by everyone who is a part of the wedding. MM Caterers keeps this in mind. They understand this and they try to serve you and your guests the tastiest food. They love what they do and it satisfies their clients by presenting mouth-watering dishes on their big day.</t>
  </si>
  <si>
    <t>Traditional South Indian dishes Authentic Punjabi dishes
Exotic Oriental dishes North Indian dishes.</t>
  </si>
  <si>
    <t>Vegetarian only</t>
  </si>
  <si>
    <t>Vegetarian only Jain Cuisine
Indian street-food</t>
  </si>
  <si>
    <t>https://www.facebook.com/FOODMANTRAA.GURGAON/</t>
  </si>
  <si>
    <t>115</t>
  </si>
  <si>
    <t>116</t>
  </si>
  <si>
    <t>Delhi Catering</t>
  </si>
  <si>
    <t>delhi-catering</t>
  </si>
  <si>
    <t>Gulati Caterers is a catering company serving all over Noida. He started catering for wedding and other events. With countless clients, ranging from public to private companies, Gulati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</si>
  <si>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https://vivah.org.in/</t>
  </si>
  <si>
    <t>078383 11131</t>
  </si>
  <si>
    <t>Preet Vihar, Delhi NCR</t>
  </si>
  <si>
    <t>Preet Vihar</t>
  </si>
  <si>
    <t>Parampara Catering Services</t>
  </si>
  <si>
    <t>parampara-catering-services</t>
  </si>
  <si>
    <t>Parampara Catering Services is a team that works enthusiastically to deliver food in a way that delights the eyes and is palatable to the tongue! The team of Parampara Catering Services is based in the city of Delhi NCR.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Italian Desserts Gujarati Rajasthani Maharashtrian</t>
  </si>
  <si>
    <t>https://www.instagram.com/parampara_catering/</t>
  </si>
  <si>
    <t>117</t>
  </si>
  <si>
    <t>799</t>
  </si>
  <si>
    <t>Authentic South Indian Kerala Style Food Andhra Style Food
Karnataka Style Food Jain &amp; Pure Vegetarian Food</t>
  </si>
  <si>
    <t>Shri Bankey Bihari Exclusive Catering Services</t>
  </si>
  <si>
    <t>shri-bankey-bihari-exclusive-catering-services</t>
  </si>
  <si>
    <t>Shri Bankey Bihari Exclusive Catering Services is a team that works enthusiastically to deliver food in a way that delights the eyes and is palatable to the tongue! Shri Bankey Bihari Exclusive Catering Services is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Desserts Bengali Gujarati Rajasthani Goan Maharashtrian</t>
  </si>
  <si>
    <t>https://www.instagram.com/sbb_caters84/</t>
  </si>
  <si>
    <t>118</t>
  </si>
  <si>
    <t>Virtuoso Catering House is a catering company serving all over Noida. He started catering for wedding and other events. With countless clients, ranging from public to private companies, Virtuoso Catering House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Italian Thai</t>
  </si>
  <si>
    <t>https://www.virtuosocatering.com/</t>
  </si>
  <si>
    <t>2300</t>
  </si>
  <si>
    <t>097112 14215</t>
  </si>
  <si>
    <t>119</t>
  </si>
  <si>
    <t>https://www.instagram.com/nmfoodsbytanya/?hl=en</t>
  </si>
  <si>
    <t>Solar Litti (Smokeless Baking)</t>
  </si>
  <si>
    <t>solar-litti-smokeless-baking</t>
  </si>
  <si>
    <t>Solar Litti (Smokeless Baking) is a Delhi based team of passionate Cook who strive to deliver you delicious food. The first thing that comes to the mind with the word celebration is the food there. An occasion no matter big or small is remembered mostly through its food. They ensure to maintain the hygiene and hence, deliver quality food to the clients. They are committed to providing our clients with the best which always brings visions to life in a way that surpasses all expectations. Services Offered: Chaat &amp; Street Food</t>
  </si>
  <si>
    <t>Mother's Pride Kitchen</t>
  </si>
  <si>
    <t>mother-s-pride-kitchen</t>
  </si>
  <si>
    <t>Mother's Pride Kitchen is a Delhi NCR based catering company. They started catering for wedding and other events. With countless clients, ranging from public to private companies. Mother's Pride Kitchen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Gujarati Rajasthani</t>
  </si>
  <si>
    <t>https://mpsss.in/</t>
  </si>
  <si>
    <t>074282 92344</t>
  </si>
  <si>
    <t>120</t>
  </si>
  <si>
    <t xml:space="preserve">Urban Desi Food Solutions is a team that works enthusiastically to deliver food in a way that delights the eyes and is palatable to the tongue! The Urban Desi Food Solutions is based in the city of Delhi. They enjoy what they do as a team and ensure that the quality is nothing less than delightful. The team is led by Rajesh Arora, who works fervently for the comfort and satisfaction of the client. Be sure to give them the privilege of catering on your special day if you have a good feeling about them! Cuisines Offered: North Indian South Indian Chinese Japanese Italian Greek Lebanese Thai Desserts Bengali Gujarati Rajasthani Goan Maharashtrian
</t>
  </si>
  <si>
    <t>https://www.instagram.com/udfscatering/</t>
  </si>
  <si>
    <t>84470 47463</t>
  </si>
  <si>
    <t>The Gourmet Story</t>
  </si>
  <si>
    <t>the-gourmet-story</t>
  </si>
  <si>
    <t>The Gourmet Story is a catering company serving all over Delhi. They started catering for wedding and other events. With countless clients, ranging from public to private companies, The Gourmet Story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</si>
  <si>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121</t>
  </si>
  <si>
    <t>https://www.instagram.com/sangam_caterers_/?hl=en</t>
  </si>
  <si>
    <t>NeoRoyal Catering Events</t>
  </si>
  <si>
    <t>neoroyal-catering-events</t>
  </si>
  <si>
    <t>NeoRoyal Catering Events is a team that works enthusiastically to deliver food in a way that delights the eyes and is palatable to the tongue! NeoRoyal Catering Events is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t>
  </si>
  <si>
    <t>https://www.facebook.com/NeoroyalCatering/</t>
  </si>
  <si>
    <t>80109 22881</t>
  </si>
  <si>
    <t>122</t>
  </si>
  <si>
    <t>F and B Catering by Amit Dua</t>
  </si>
  <si>
    <t>f-and-b-catering-by-amit-dua</t>
  </si>
  <si>
    <t>Amit Dua Cuisines is a leading catering and event management company in Delhi NCR with a flawless track record of 20 years in delivering professional and delightful catering services. We are known for creating the full spectrum of events from customized parties to memorable wedding receptions, from weddings to splendid corporate gatherings with a touch of class, from themed events to unique occasions. Yes, we do catering for all! Experience the best catering with our elite services and delectable cuisine from all over the globe. We strive to make your day majestic and memorable events. Our highly skilled event team can handle every aspects of your party including menu design, rental needs, location selection, valet services, lightning, entertainment, flowers &amp; decoration and event design. Our progressive and perfectionist attitude sets us apart from other companies and gives each event a signature style</t>
  </si>
  <si>
    <t>North Indian Elegant presentations
High-quality crockery and cutlery Inclusive service rates</t>
  </si>
  <si>
    <t>https://www.instagram.com/fnbbyamitdua/?hl=en</t>
  </si>
  <si>
    <t>Serving all over Ghaziabad and based in East Delhi, the team can handle events of various sizes, from intimate gatherings of 100 guests to grand celebrations with up to 5000 guets. They offer both vegetarian and non-vegetarian options, catering to a wide range of dietary preferences.//</t>
  </si>
  <si>
    <t>123</t>
  </si>
  <si>
    <t>https://www.instagram.com/kalashkuisine/?hl=en</t>
  </si>
  <si>
    <t>098102 46888</t>
  </si>
  <si>
    <t>Kuremal's Mohanlal</t>
  </si>
  <si>
    <t>kuremal-s-mohanlal</t>
  </si>
  <si>
    <t>Kuremal's Mohanlal is an outstanding providing food association engaged with the arrangement of premium quality Flavored Kulfi, Chaat Street Food, Stick Kulfi and Veg Catering Service at very sensible costs.These are manufactured in a hygienic and quality compliant manner using fresh ingredients and latest processing technology. They are acclaimed for their superb taste, inviting aroma and lengthy storage life. They are available in multiple flavourings to clients. Don't forget to contact them for some amazing catering services. Cuisines Offered :</t>
  </si>
  <si>
    <t>124</t>
  </si>
  <si>
    <t>http://kuremalskulfi.com/</t>
  </si>
  <si>
    <t xml:space="preserve">M.K. Tent &amp; Caterers is a Delhi based catering company. It was started by Mukesh Kumar. He started catering for wedding and other events. With countless clients, ranging from public to private companies, M.K. Tent &amp;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Bengali Desserts Rajasthani Gujarati Goan
</t>
  </si>
  <si>
    <t>098105 40106</t>
  </si>
  <si>
    <t>125</t>
  </si>
  <si>
    <t>North Indian Maharashtrian A wedding is a major ordeal, and the manner in which that the wedding turns out is significant. The individuals who are arranging a wedding realize that they have to make everything work out in the most ideal manner. When you are assisting with a wedding, you need to pick the best assistance for that wedding so as to make everything that it ought to be. With regards to the nourishment served at the wedding, you need to ensure that there are great wedding food providers close by to help with the occasion and to serve dishes that the visitors will love. Food is a major piece of the wedding, and you need to locate the correct food providers wedding alternatives. As you are picking wedding providing food, you have to discover the individuals who will deal with things without making any issues. You needn't bother with any additional show on your big day, so the assistance that you decide for your wedding should originate from those cooks who will deal with things well and who won't make any issues. Search for the individuals who will dispense with show instead of make it. Ensure that those that you depend on concerning food for your wedding will give all of you that you need without working anything up or bringing about any issues. When you are picking help for your wedding, you need to discover food providers who have experience cooking weddings. You don't need your wedding to be the primary employment that the cooks endeavor since you might want to have your wedding work out well and the providing food be done positively. Ensure that those that you pick as your wedding food providers will deal with things for you positively. Ensure that they have the experience that they have to deal with every one of that should be done in a manner that is beneficial for you and for the wedding.</t>
  </si>
  <si>
    <t>126</t>
  </si>
  <si>
    <t>https://www.facebook.com/arorafoods/</t>
  </si>
  <si>
    <t>Flavour of Mughal</t>
  </si>
  <si>
    <t>flavour-of-mughal</t>
  </si>
  <si>
    <t>Delhi-based Flavour of Mughal is a gourmet food catering business. It is a startup that manufactures upscale foods. They strive to introduce cutting-edge manufacturing techniques, fresh flavours, all-natural organic ingredients, and a strong commitment to quality.</t>
  </si>
  <si>
    <r>
      <rPr>
        <rFont val="Arial, sans-serif"/>
        <color rgb="FF1155CC"/>
        <sz val="11.0"/>
        <u/>
      </rPr>
      <t>092133 05121</t>
    </r>
  </si>
  <si>
    <t>Service Staff/ Servers</t>
  </si>
  <si>
    <t>540</t>
  </si>
  <si>
    <t>127</t>
  </si>
  <si>
    <t>Celebrations 365</t>
  </si>
  <si>
    <t>celebrations-365</t>
  </si>
  <si>
    <t>Celebrations 365 is a team that works enthusiastically to deliver food in a way that delights the eyes and is palatable to the tongue! The Celebrations 365 based in the city of Delhi. They enjoy what they do as a team and ensure that the quality is nothing less than delightful. The team is led by Japmeet Singh, who works fervently for the comfort and satisfaction of the client. Be sure to give them the privilege of catering on your special day if you have a good feeling about them! Cuisines Offered: North Indian South Indian Chinese Japanese Italian Greek Lebanese Thai Desserts Bengali Gujarati Rajasthani Goan Maharashtrian</t>
  </si>
  <si>
    <t>Mughlai Caterers</t>
  </si>
  <si>
    <t>https://www.whatsapp.com/catalog/919999799076/</t>
  </si>
  <si>
    <t>099997 99076</t>
  </si>
  <si>
    <t>mughlai-caterers</t>
  </si>
  <si>
    <t>Mughlai Caterers is a catering company serving all over Delhi. He started catering for wedding and other events. With countless clients, ranging from public to private companies, Mughlai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</si>
  <si>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http://www.ahmedmughlai.com/</t>
  </si>
  <si>
    <t>365</t>
  </si>
  <si>
    <t>128</t>
  </si>
  <si>
    <t>098111 10627</t>
  </si>
  <si>
    <t>129</t>
  </si>
  <si>
    <t>Radiance Hospitality</t>
  </si>
  <si>
    <t>radiance-hospitality</t>
  </si>
  <si>
    <t>https://www.facebook.com/RadianceVersatileCreation/</t>
  </si>
  <si>
    <t>095016 00625</t>
  </si>
  <si>
    <t>130</t>
  </si>
  <si>
    <t>TAB - The Anonymous Bartenders House</t>
  </si>
  <si>
    <t>tab-the-anonymous-bartenders-house</t>
  </si>
  <si>
    <t>Jaswal Caterers &amp; Decorators</t>
  </si>
  <si>
    <t>jaswal-caterers-decorators</t>
  </si>
  <si>
    <t>https://www.facebook.com/thetabhouse/</t>
  </si>
  <si>
    <t>Jaswal Caterers &amp; Decorators is a Delhi NCR based catering services is a full-service catering company that provides high quality cuisine and services for wedding. They are proud of the role it has played to improve the eclatic palate of entire correction of society through superlative quality mass cooking supportive by expensive richness of experience in food industry guided by vision &amp; a value system to provide hygienic authentic food. The future holds great promotion for the company to create a niche, where nobody else had done to exploit. They have the minimum capacity of catering to 50 people and maximum of 2000 people.</t>
  </si>
  <si>
    <t>https://www.facebook.com/jaiswalcaterersanddecoreter/</t>
  </si>
  <si>
    <t>096505 49454</t>
  </si>
  <si>
    <t>084478 50633</t>
  </si>
  <si>
    <t>131</t>
  </si>
  <si>
    <t>Deli Cocktail House</t>
  </si>
  <si>
    <t>https://www.instagram.com/spiceroute699/</t>
  </si>
  <si>
    <t>deli-cocktail-house</t>
  </si>
  <si>
    <t>Deli Cocktail House is a high-end mobile bar service. They specialize in providing their clients with an exceptional bar experience, creating excellent cocktails as well as executing professional bartending service for a variety of weddings, parties, and events. The team is based out of Ashok Vihar in Delhi. Their experience in the field is sure to delight you when they serve at your event. Be sure to give them a call if you have a good feeling about them! Services Offered: Cocktails Alcoholic Beverages</t>
  </si>
  <si>
    <t>https://www.facebook.com/Delicocktailhouse786/</t>
  </si>
  <si>
    <t>095997 37354</t>
  </si>
  <si>
    <t>132</t>
  </si>
  <si>
    <t>The Flavour's Kitchen &amp; Catering</t>
  </si>
  <si>
    <t>the-flavour-s-kitchen-catering</t>
  </si>
  <si>
    <t>The Flavour's Kitchen &amp; Catering is a catering company serving all over Delhi. He started catering for wedding and other events. With countless clients, ranging from public to private companies, The Flavour's Kitchen &amp;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t>
  </si>
  <si>
    <t>http://www.theflavourskitchen.com/</t>
  </si>
  <si>
    <t>095827 05058</t>
  </si>
  <si>
    <t>Fruit Fiesta</t>
  </si>
  <si>
    <t>fruit-fiesta</t>
  </si>
  <si>
    <t>Fruit Fiesta is a catering company serving all over Delhi NCR. He started catering for wedding and other events. With countless clients, ranging from public to private companies,Fruit Fiesta gained a reputation for elegant presentations and impressive services. Be assured of the fact that the food is prepared &amp; served under hygienic conditions and all rates are inclusive of top-class service, crockery &amp; cutlery. Cuisines offered: Fruits Live Counter</t>
  </si>
  <si>
    <t>133</t>
  </si>
  <si>
    <t>DC Catering Services</t>
  </si>
  <si>
    <t>dc-catering-services</t>
  </si>
  <si>
    <t>BWD wedding Pvt Ltd</t>
  </si>
  <si>
    <t>bwd-wedding-pvt-ltd</t>
  </si>
  <si>
    <t>BWD wedding Pvt Ltd is a team that works enthusiastically to deliver food in a way that delights the eyes and is palatable to the tongue! The team of BWD wedding Pvt Ltd is based in the city of Delhi NCR. They enjoy what they do as a team and ensure that the quality is nothing less than delightful. The team is led by Vivek Sharma, who works fervently for the comfort and satisfaction of the client. Be sure to give them the privilege of catering on your special day if you have a good feeling about them! Cuisines Offered: North Indian South Indian Bengali Rajasthani</t>
  </si>
  <si>
    <t>134</t>
  </si>
  <si>
    <t>https://www.instagram.com/bansooriwalas/?hl=en</t>
  </si>
  <si>
    <t>https://www.instagram.com/gourmetgrub_official/?hl=en</t>
  </si>
  <si>
    <t>135</t>
  </si>
  <si>
    <t>https://www.instagram.com/foodminardelhi/?hl=en</t>
  </si>
  <si>
    <t>136</t>
  </si>
  <si>
    <t>https://www.instagram.com/royalflavors_noida/</t>
  </si>
  <si>
    <t>138</t>
  </si>
  <si>
    <t>Bartenders Table arrangements Waiting staff / butlers
Multicuisine buffets Live stations Specially curated menus
Beautifully designed grazing tables</t>
  </si>
  <si>
    <t>The Taste Affair</t>
  </si>
  <si>
    <t>the-taste-affair</t>
  </si>
  <si>
    <t>The Taste Affair enjoys the rare distinction of being an all in one organizer for all types of functions that their clients could think of hosting. Be it birthdays or weddings, their skilled team can easily manage all aspects of these functions from beginning till the very end. They will make your special event memorable not only for you but, for every one of your guests. Their exquisite &amp; innovative food, spectacular presentation &amp; unfailing service has enabled The Taste Affair to create a seamless match in Delhi &amp; other cities. Cuisines Offered: North Indian South Indian Chinese Italian Thai Desserts Gujarati Rajasthani</t>
  </si>
  <si>
    <t>https://www.instagram.com/thetasteaffair/?hl=en</t>
  </si>
  <si>
    <t>139</t>
  </si>
  <si>
    <r>
      <rPr>
        <rFont val="Urbanist, Arial"/>
        <b/>
        <color rgb="FF1155CC"/>
        <u/>
      </rPr>
      <t>99990 78778</t>
    </r>
  </si>
  <si>
    <t>140</t>
  </si>
  <si>
    <t>Seasons Catering Services</t>
  </si>
  <si>
    <t>seasons-catering-services</t>
  </si>
  <si>
    <t>Seasons Catering Services, based on MG Road in Delhi NCR, is a renowned hospitality group established in 1987. They specialize in designing customized menus that align with the occasion, destination, theme, and budget. Their extensive range of cuisines promises to take guests on a culinary journey around the world, while also offering exotic regional flavors of India.</t>
  </si>
  <si>
    <t>https://www.instagram.com/theseasonscatering/?hl=en</t>
  </si>
  <si>
    <r>
      <rPr>
        <rFont val="Arial, sans-serif, &quot;Noto Color Emoji&quot;"/>
        <color rgb="FF1155CC"/>
        <sz val="11.0"/>
        <u/>
      </rPr>
      <t>098101 34644</t>
    </r>
  </si>
  <si>
    <t>141</t>
  </si>
  <si>
    <t>142</t>
  </si>
  <si>
    <t>Fossetta Gourmet Catering</t>
  </si>
  <si>
    <t>fossetta-gourmet-catering</t>
  </si>
  <si>
    <t>Fossetta Gourmet Catering is a luxury catering company that is based in the heart of Delhi- Central Delhi. Their services areas include Delhi NCR, Chandigarh, Panchkula, Mohali, Zirakpur and Patiala. Their award-winning food menus are applauded for their flavours and superb presentations! And they have a menu for every budget.</t>
  </si>
  <si>
    <t>https://www.instagram.com/fossettagourmetcatering/?hl=en</t>
  </si>
  <si>
    <t>MG Road, Delhi NCR</t>
  </si>
  <si>
    <t>91 98117 47715</t>
  </si>
  <si>
    <t>Karol Bagh, Delhi NCR</t>
  </si>
  <si>
    <t>Karol Bagh</t>
  </si>
  <si>
    <t>Caters to gatherings of all sizes, from intimate events with a minimum of 100 guests to grand celebrations for up to 20,000 guests. Highly flexible service with customizable menu options to suit individual tastes and requirements.
Renowned for exceptional service and meticulous attention to detail.
Ensures flawless execution of every event.</t>
  </si>
  <si>
    <t>1850</t>
  </si>
  <si>
    <t>Fossetta Gourmet Catering is a luxury catering company that is based in the heart of Delhi- Central Delhi. Their services areas include Delhi NCR Chandigar 
Panchkula Mohali Zirakpur and Patiala. Their award-winning food menus are applauded for their flavours and superb presentations! And they have a menu for every budget.</t>
  </si>
  <si>
    <t>Sanadige</t>
  </si>
  <si>
    <t>sanadige</t>
  </si>
  <si>
    <t>No Indian wedding or any other event or function is complete without food. Food is an integral part of all Indian weddings and occasions, be it birthdays, anniversaries, or even a small prayer ceremony at home. Food is the main ingredient in ensuring a party’s success. The right caterer can make or break a party; therefore it is very important to partner with the right catering team.</t>
  </si>
  <si>
    <t>https://www.facebook.com/sanadigedelhi/</t>
  </si>
  <si>
    <t>145</t>
  </si>
  <si>
    <t>The Cuisine Factory</t>
  </si>
  <si>
    <t>the-cuisine-factory</t>
  </si>
  <si>
    <t>https://www.facebook.com/TCuisineFactory/</t>
  </si>
  <si>
    <t>011 4050 7777</t>
  </si>
  <si>
    <t>099106 03933</t>
  </si>
  <si>
    <t>North Indian Coastal and much more</t>
  </si>
  <si>
    <t>146</t>
  </si>
  <si>
    <t>Rosé Luxury Catering</t>
  </si>
  <si>
    <t>ros-luxury-catering</t>
  </si>
  <si>
    <t>Rosé Luxury Catering is a catering company serving all over Delhi. He started catering for wedding and other events. With countless clients, ranging from public to private companies, Rosé Luxury Catering gained a reputation for elegant presentations and impressive services. Be assured of the fact that the food is prepared &amp; served under hygienic conditions and all rates are inclusive of top-class service, crockery &amp; cutlery. Cuisines offered: North Indian Desserts Bengali</t>
  </si>
  <si>
    <t>https://www.facebook.com/roseluxurycatering.co/</t>
  </si>
  <si>
    <t>147</t>
  </si>
  <si>
    <t>098007 41742</t>
  </si>
  <si>
    <t>Lawrence Road, Delhi NCR</t>
  </si>
  <si>
    <t>Lawrence Road</t>
  </si>
  <si>
    <t>148</t>
  </si>
  <si>
    <t>https://www.facebook.com/p/Vinay-Caterers-100064557404854/</t>
  </si>
  <si>
    <t>299</t>
  </si>
  <si>
    <t>399</t>
  </si>
  <si>
    <t>088600 73861</t>
  </si>
  <si>
    <t>149</t>
  </si>
  <si>
    <t>070536 20308</t>
  </si>
  <si>
    <t>Traditional South Indian Authentic Punjabi Exotic Chinese Outdoor Catering
Birthday Party Catering Reception Catering Ring Ceremony Catering</t>
  </si>
  <si>
    <t>Deep Dream Caterers</t>
  </si>
  <si>
    <t>deep-dream-caterers</t>
  </si>
  <si>
    <t>A celebration is all about great food and a good time, Dream Caterers is a full-service catering company, combining innovative catered food with superior customer service and is leading catering services in the greater city of Delhi NCR and its sub-areas. They ensure to use high-quality ingredients to provide their customers with a first-class gourmet food experience that will leave your taste buds for joy. They serve vegetarian and non-vegetarian foods for a small casual gathering to a lavish party. Cuisines Offered: North Indian South Indian Desserts Chinese Japanese Italian Bengali Gujarati Rajasthani</t>
  </si>
  <si>
    <t>078388 88005</t>
  </si>
  <si>
    <t>099991 09404</t>
  </si>
  <si>
    <t>https://www.instagram.com/gulshanfish_/?hl=en</t>
  </si>
  <si>
    <t>152</t>
  </si>
  <si>
    <r>
      <rPr>
        <rFont val="Arial, sans-serif, &quot;Noto Color Emoji&quot;"/>
        <color rgb="FF1155CC"/>
        <sz val="11.0"/>
        <u/>
      </rPr>
      <t>099998 78411</t>
    </r>
  </si>
  <si>
    <t>153</t>
  </si>
  <si>
    <t>https://www.instagram.com/cateringvala.in/</t>
  </si>
  <si>
    <t>25000</t>
  </si>
  <si>
    <t>155</t>
  </si>
  <si>
    <t>Abhinandan Caterers &amp; Decorators</t>
  </si>
  <si>
    <t>abhinandan-caterers-decorators</t>
  </si>
  <si>
    <t>https://mehar.co.in/</t>
  </si>
  <si>
    <t>Abhinandan Caterers &amp; Decorators are a team that works enthusiastically to deliver food in a way that delights the eyes and is palatable to the tongue! Abhinandan Caterers &amp; Decorators are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t>
  </si>
  <si>
    <t>156</t>
  </si>
  <si>
    <t>https://www.facebook.com/Mrcookorganic/</t>
  </si>
  <si>
    <t>098188 66602</t>
  </si>
  <si>
    <t>North Indian Japanese Lebanese Thai
Bengali Gujarati Goan</t>
  </si>
  <si>
    <t>Arpan Caterers</t>
  </si>
  <si>
    <t>arpan-caterers</t>
  </si>
  <si>
    <t>Arpan Caterers is a team that works enthusiastically to deliver food in a way that delights the eyes and is palatable to the tongue! Arpan Caterers is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Desserts Bengali Gujarati Rajasthani Goan Maharashtrian</t>
  </si>
  <si>
    <t>099100 52423</t>
  </si>
  <si>
    <t>157</t>
  </si>
  <si>
    <t>https://www.facebook.com/p/S-square-hospitality-100063605029597/</t>
  </si>
  <si>
    <t>http://amritcaterers.com/</t>
  </si>
  <si>
    <t>159</t>
  </si>
  <si>
    <t>099901 18841</t>
  </si>
  <si>
    <t>160</t>
  </si>
  <si>
    <t>https://www.instagram.com/cafechaispot/?hl=en</t>
  </si>
  <si>
    <t>Indo Fusion Cuisine Services</t>
  </si>
  <si>
    <t>indo-fusion-cuisine-services</t>
  </si>
  <si>
    <t>A renowned catering service based in delhi, Indo Fusion Cuisine services completely justify their name with a profusion of dishes to satisfy every taste palate. Maintaining high quality standards and exquisitely designed multi cuisine menu, the chefs prepare food in such a way that it is not only delicious to eat but is also extremely pleasing to the eye.</t>
  </si>
  <si>
    <t>https://www.facebook.com/Ifcservices/</t>
  </si>
  <si>
    <t>099993 44384</t>
  </si>
  <si>
    <t>Western Middle Eastern
Pan Asian</t>
  </si>
  <si>
    <t>161</t>
  </si>
  <si>
    <t>https://srcem.co.in/</t>
  </si>
  <si>
    <t>Ocean Events &amp; Caterer</t>
  </si>
  <si>
    <t>ocean-events-caterer</t>
  </si>
  <si>
    <t>Ocean Events &amp; Caterer is a catering company serving all over Delhi. They started catering for wedding and other events. With countless clients, ranging from public to private companies, Ocean Events &amp; Caterer gained a reputation for elegant presentations and impressive services. Be assured of the fact that the food is prepared &amp; served under hygienic conditions and all rates are inclusive of top-class service, crockery &amp; cutlery. Cuisines offered: North Indian South Indian Desserts Chinese</t>
  </si>
  <si>
    <t>Shri Ram Caterers is a wedding caterer based in the vibrant city of Delhi. Established in 2022 they provide excellent catering services for wedding occasions. Specializing in North Indian cuisine their menus include an array of delicious entrees and sumptuous desserts. For those looking for something a bit special they can create custom menus to fit any budget. Shri Ram Caterers utilize the freshest
hand-picked ingredients in their recipes and purchase their ingredients from trusted local vendors. Their team of dedicated chef guarantees that all dishes are cooked perfectly and served with an eye for presentation. They offer an attentive team of skilled wait staff who ensure the guests are well taken care of during the event. They strive to give their clients an unforgettable experience tailored to their vision and personality. Combining excellent quality food and delightful decorations Shri Ram Caterers deliver nothing less than perfection.</t>
  </si>
  <si>
    <t>Shri Ram Caterers is a catering company based in Aya Nagar, Delhi NCR.</t>
  </si>
  <si>
    <t>162</t>
  </si>
  <si>
    <t>https://www.instagram.com/misrikla/</t>
  </si>
  <si>
    <t>Joshi Tent &amp; Caterers</t>
  </si>
  <si>
    <t>joshi-tent-caterers</t>
  </si>
  <si>
    <t>Joshi Tent &amp; Caterers is a Delhi NCR based catering company. It was started by Hemu Joshi. He started catering for wedding and other events. With countless clients, ranging from public to private companies, Joshi Tent &amp;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Italian Desserts Bengali Gujarati Rajasthani</t>
  </si>
  <si>
    <t>https://www.facebook.com/p/Joshi-tent-caterer-100064038492725/</t>
  </si>
  <si>
    <t>163</t>
  </si>
  <si>
    <t>https://www.facebook.com/sartajcateringservices/</t>
  </si>
  <si>
    <t>098734 40108</t>
  </si>
  <si>
    <t>98110 98117</t>
  </si>
  <si>
    <t>Peachtree</t>
  </si>
  <si>
    <t>peachtree</t>
  </si>
  <si>
    <t>Peachtree is a Delhi NCR based catering company. It was started by Vikas . He started catering for wedding and other events. With countless clients, ranging from public to private companies, Peachtree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Italian</t>
  </si>
  <si>
    <t>164</t>
  </si>
  <si>
    <t>https://www.instagram.com/feastlyfoodservice/</t>
  </si>
  <si>
    <r>
      <rPr>
        <color rgb="FF1155CC"/>
        <u/>
      </rPr>
      <t>088005 98269</t>
    </r>
  </si>
  <si>
    <t>165</t>
  </si>
  <si>
    <t>Indian Oriental/Thai Indian Regional Cuisines
Indian Street Food</t>
  </si>
  <si>
    <t>Seeking Roots is a business in the city of Noida that provides catering services. When two people decide to get married at Seeking Roots there should be a big party to celebrate. Several studies have found that the quality of the food served at a wedding is strongly linked to how happy the guests are about it. For this kind of event
you need the help of a good caterer. In Hyderabad
Seeking Roots is so popular that its name is almost a household word
thanks to its reputation for serving delicious food and great service. Seeking Roots has a beautiful dining room
a very well-trained staff
and a huge selection of delicious food.</t>
  </si>
  <si>
    <t>167</t>
  </si>
  <si>
    <t>Feastkings Catering &amp; Events</t>
  </si>
  <si>
    <t>feastkings-catering-events</t>
  </si>
  <si>
    <t>Krishna Rasoi</t>
  </si>
  <si>
    <t>Feastkings Catering &amp; Events is a catering company serving all over Delhi. He started catering for wedding and other events. With countless clients, ranging from public to private companies, Feastkings Catering &amp; Events gained a reputation for elegant presentations and impressive services. Be assured of the fact that the food is prepared &amp; served under hygienic conditions and all rates are inclusive of top-class service, crockery &amp; cutlery. Cuisines offered: North Indian South Indian Chinese</t>
  </si>
  <si>
    <t>krishna-rasoi</t>
  </si>
  <si>
    <t>https://www.feastkings.in/menu</t>
  </si>
  <si>
    <t>Krishna Rasoi is a Delhi based catering company. They started catering for wedding and other events. With countless clients, ranging from public to private companies, Krishna Rasoi gained a reputation for elegant presentations and impressive services. Be assured of the fact that the food is prepared &amp; served under hygienic conditions and all rates are inclusive of top-class service, crockery &amp; cutlery. Cuisines offered: North Indian Chinese Desserts South Indian Rajasthani</t>
  </si>
  <si>
    <t>082876 70744</t>
  </si>
  <si>
    <t>098107 36145</t>
  </si>
  <si>
    <t>168</t>
  </si>
  <si>
    <t>Quisine Catering, Events &amp; More</t>
  </si>
  <si>
    <t>quisine-catering-events-more</t>
  </si>
  <si>
    <t>https://www.facebook.com/quisinecaterers/</t>
  </si>
  <si>
    <t>The Shamiyanas</t>
  </si>
  <si>
    <t>the-shamiyanas</t>
  </si>
  <si>
    <t>The Shamiyanas, a complete Wedding Planner company in Delhi, specializes in wedding decoration and planning. Area Covered: Delhi Jaipur</t>
  </si>
  <si>
    <t>078389 99564</t>
  </si>
  <si>
    <t>169</t>
  </si>
  <si>
    <t>Asian Flavours by Chef Jajos</t>
  </si>
  <si>
    <t>asian-flavours-by-chef-jajos</t>
  </si>
  <si>
    <t>Asian Flavours by Chef Jajos is a catering company serving all over Delhi. He started catering for wedding and other events. With countless clients, ranging from public to private companies,Asian Flavours by Chef Jajos gained a reputation for elegant presentations and impressive services. Be assured of the fact that the food is prepared &amp; served under hygienic conditions and all rates are inclusive of top-class service, crockery &amp; cutlery. Cuisines offered: Asian Japanese Italian Greek Lebanese Thai</t>
  </si>
  <si>
    <t>Vasant Kunj, Delhi NCR</t>
  </si>
  <si>
    <t>Vasant Kunj</t>
  </si>
  <si>
    <t>170</t>
  </si>
  <si>
    <t>https://www.instagram.com/rrcaterersevents/</t>
  </si>
  <si>
    <t>Pawan Caterers is a catering company serving all over Gurgaon. He started catering for wedding and other events. With countless clients, ranging from public to private companies, Pawan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</si>
  <si>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https://www.facebook.com/catererspawan/</t>
  </si>
  <si>
    <t>099103 47224</t>
  </si>
  <si>
    <t>171</t>
  </si>
  <si>
    <t>https://www.instagram.com/layeredatelier/?hl=en</t>
  </si>
  <si>
    <t>Sambandh Caterers</t>
  </si>
  <si>
    <t>sambandh-caterers</t>
  </si>
  <si>
    <t>Sambandh Caterers is a catering company serving all over Delhi. He started catering for wedding and other events. With countless clients, ranging from public to private companies, Sambandh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t>
  </si>
  <si>
    <t>Vegetarian Food Non vegetarian food Dj and music
Licensed Bar services Decoration and lightning Dietary and sugar free food</t>
  </si>
  <si>
    <t>172</t>
  </si>
  <si>
    <t>Soulinaire - Delhi NCR</t>
  </si>
  <si>
    <t>Service staff / servers Soft beverages, juices, sodas, tonic
Vegetarian menu Non vegetarian menu</t>
  </si>
  <si>
    <t>soulinaire-delhi-ncr</t>
  </si>
  <si>
    <t>Service staff / servers Glassware Presentation and lighting for the food setup
Soft beverages, juices, sodas, tonic Chilling and cubed ice
Vegetarian menu Non vegetarian menu</t>
  </si>
  <si>
    <t>https://www.facebook.com/soulinaire/</t>
  </si>
  <si>
    <t>173</t>
  </si>
  <si>
    <t>https://www.instagram.com/sidh_events_and_caterer/</t>
  </si>
  <si>
    <t>099996 33704</t>
  </si>
  <si>
    <t>175</t>
  </si>
  <si>
    <t>Khomchaa The Chaat Culture is a popular chaat providing catering company from Delhi, with an endeavor to refine and redefine the street food experience for food lovers and connoisseurs. They believe that food gets its Soul when its turned into a fine recipe. They have provided catering to some of the most lavish weddings and events over the years. They have a decade of experience in providing impeccable service to their clients. Contact them to book them for your wedding. Specialization: Chaat</t>
  </si>
  <si>
    <t>http://www.khomchaa.com/</t>
  </si>
  <si>
    <t>099115 55166</t>
  </si>
  <si>
    <t>https://www.facebook.com/p/The-Rancho-Jai-Gaurmet-Services-100063738800433/</t>
  </si>
  <si>
    <t>0124 229 1707</t>
  </si>
  <si>
    <t>176</t>
  </si>
  <si>
    <t>Ministry of Taste is a catering company serving all over Noida. He started catering for wedding and other events. With countless clients, ranging from public to private companies, Ministry of Taste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t>
  </si>
  <si>
    <t>https://www.instagram.com/ministryoftasteofficial/</t>
  </si>
  <si>
    <t>177</t>
  </si>
  <si>
    <t>BTH Events</t>
  </si>
  <si>
    <t>bth-events</t>
  </si>
  <si>
    <t>https://www.instagram.com/bthevents1/</t>
  </si>
  <si>
    <t>Xpert Wedding Planner &amp; Caterer</t>
  </si>
  <si>
    <t>xpert-wedding-planner-caterer</t>
  </si>
  <si>
    <t>178</t>
  </si>
  <si>
    <t>Xpert Wedding Planner &amp; Caterer is a Delhi based catering service provider. They work on the principal of customer satisfaction and promise to deliver the best quality food with supreme taste. Presenting their food in the most unique and creative manner, they are the perfect caterers that will leave your tastebuds dancing with delight and flavours.</t>
  </si>
  <si>
    <t>Seven Seas Catering</t>
  </si>
  <si>
    <t>seven-seas-catering</t>
  </si>
  <si>
    <t>https://www.facebook.com/xpertservices2013/</t>
  </si>
  <si>
    <t>In the city of Delhi, there is a catering business of Seven Seas Catering. Indian weddings are large and fervent affairs, with every detail meticulously arranged. The cuisine and food that you would be serving on your big day is one thing that all of your wedding presents will be looking forward to because it can leave an impression on them as well as on their brains. Your quest for a reputable catering business in the area that can provide you with first-rate services and a delectable selection of cuisine can end right now. The catering business of Seven Seas has a lot to offer to the picky client. They are extremely passionate and meticulous in their preparation of their vegetarian banquets, and they want their customers to taste the savouriness, diversity and excellence of the meal. Seven Seas Catering can offer their catering services for a variety of occasions, including your pre- and post-wedding rituals. Each dish is carefully curated with your dietary needs and tastes in mind.</t>
  </si>
  <si>
    <t>https://www.instagram.com/sevenseas_catering/?hl=en</t>
  </si>
  <si>
    <t>098185 78788</t>
  </si>
  <si>
    <t>Starters Salad and soups
Chaat counters</t>
  </si>
  <si>
    <t>3200</t>
  </si>
  <si>
    <t>179</t>
  </si>
  <si>
    <t>Saini Caterers is a catering company serving all over Gurgaon. He started catering for wedding and other events. With countless clients, ranging from public to private companies, Saini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</si>
  <si>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https://www.instagram.com/ishwarcaterers/</t>
  </si>
  <si>
    <t>181</t>
  </si>
  <si>
    <t>https://www.instagram.com/_masala.art/</t>
  </si>
  <si>
    <t>https://www.instagram.com/royalswanbanquet/</t>
  </si>
  <si>
    <t>Luxuria Crockery</t>
  </si>
  <si>
    <t>luxuria-crockery</t>
  </si>
  <si>
    <t>182</t>
  </si>
  <si>
    <t>Luxuria Crockery is a catering company serving all over Delhi NCR. He started catering for wedding and other events. With countless clients, ranging from public to private companies, Luxuria Crockery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</si>
  <si>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https://www.instagram.com/luxuriacrockery/</t>
  </si>
  <si>
    <t>2100</t>
  </si>
  <si>
    <t>183</t>
  </si>
  <si>
    <t>https://www.facebook.com/p/Delhi-Gourmet-Kitchen-Catering-Co-100064060328810/</t>
  </si>
  <si>
    <t>077173 16211</t>
  </si>
  <si>
    <t>Aaditya Caterers and Decorators</t>
  </si>
  <si>
    <t>aaditya-caterers-and-decorators</t>
  </si>
  <si>
    <t>Aaditya Caterers and Decorators is a catering company serving all over Delhi. He started catering for wedding and other events. With countless clients, ranging from public to private companies, Aaditya Caterers and Decorators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</si>
  <si>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184</t>
  </si>
  <si>
    <t>https://www.instagram.com/thesupperclubnewdelhi/?hl=en</t>
  </si>
  <si>
    <t>Food Delecious Caterers is a catering company serving all over Noida. They started catering for wedding and other events. With countless clients, ranging from public to private companies, Food Delecious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</si>
  <si>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1699</t>
  </si>
  <si>
    <t>1899</t>
  </si>
  <si>
    <t>Indian Traditional</t>
  </si>
  <si>
    <t>185</t>
  </si>
  <si>
    <t>LEAT Catering a Delhi based catering company. It was started by Udit. He started catering for wedding and other events. With countless clients, ranging from public to private companies, LEAT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Bengali Desserts Italian Rajasthani Gujarati Goan</t>
  </si>
  <si>
    <t>https://l-eat.com/</t>
  </si>
  <si>
    <t>Celebrate Caterers</t>
  </si>
  <si>
    <t>celebrate-caterers</t>
  </si>
  <si>
    <t>Celebrate Caterers is a Delhi NCR based catering company. It was started by Shivraj Pahadia. He started catering for wedding and other events. With countless clients, ranging from public to private companies, Celebrate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Thai Desserts Bengali Gujarati Rajasthani Maharashtrian</t>
  </si>
  <si>
    <t>186</t>
  </si>
  <si>
    <t>Babu Singh Caterers</t>
  </si>
  <si>
    <t>187</t>
  </si>
  <si>
    <t>babu-singh-caterers</t>
  </si>
  <si>
    <t>Babu Singh Caterers is a Delhi based catering company. He started catering for wedding and other events. With countless clients, ranging from public to private companies, Babu Singh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Italian Desserts Rajasthani Gujarati</t>
  </si>
  <si>
    <t>https://www.facebook.com/babusinghcaterers/</t>
  </si>
  <si>
    <t>Vegetarian Menu Non-vegetarian Menu
Seafood MenuProfessional Service Staff</t>
  </si>
  <si>
    <t>099906 25701</t>
  </si>
  <si>
    <t>188</t>
  </si>
  <si>
    <t>Cinnamon</t>
  </si>
  <si>
    <t>cinnamon</t>
  </si>
  <si>
    <t>Based in Delhi, Cinnamon, previously known as Anand Caterers, - a unique blend of creativity and originality in food and related services. Their gourmet chefs craft exquisite menus combining the best of Indian, Mughlai, Chettinard, Kashmiri, Goan, Rajasthani, Gujarati, Vaishnavi and Dehlvi to name a few. And when its comes to international Cuisines they have Thai, Chinese, Italian, Pakistani, Mongolian, Spanish, Lebanese, Mexican, International Grills and some very interesting Fusion Cuisines on Offer. Their delicious food along with high standards of hygiene make them a great option for your wedding functions.</t>
  </si>
  <si>
    <t>Indian Spanish</t>
  </si>
  <si>
    <t>RS Fragrance Catering</t>
  </si>
  <si>
    <t>rs-fragrance-catering</t>
  </si>
  <si>
    <t>189</t>
  </si>
  <si>
    <t>RS Fragrance Catering is a catering company serving all over Delhi NCR. They started catering for wedding and other events. With countless clients, ranging from public to private companies, RS Fragrance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</si>
  <si>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Established in the Year 1960, Harisons Caterers is one of the oldest and most recognized names in Hospitality. The Company has been at the forefront of the Food &amp; Beverages sector, bringing in the latest trends and concepts from around the world. Mr. Lajpat Rai, Founder of Harisons Caterers believes in providing Guests with the "Ultimate Dining Experience", and that is what embodies the products and services offered by the Company. From Designer Weddings, Corporate Soirées, Product Launches or just a simple get-together of near &amp; dear ones, they provide unparalleled levels of service, along with the finest cuisines made from the choicest ingredients sourced from across the world. Multi–cuisine offerings, culinary indulgence &amp; exemplary service help them provide their Guests with an Unforgettable Experience.</t>
  </si>
  <si>
    <t>https://www.instagram.com/harisonscaterer/?hl=en</t>
  </si>
  <si>
    <t>UMA Caterers &amp; Party Creators</t>
  </si>
  <si>
    <t>uma-caterers-party-creators</t>
  </si>
  <si>
    <t>Phenomenal food, outstanding service, and stunning presentation are the basic ingredients of every celebration planned at UMA Caterers &amp; Party Creators. Established in Dehi to meet the vision of a catering company for vegetarian gourmet events, their menu includes the finest and most elegant vegetarian option from around the world, focusing on delivering impeccable culinary and event services. They ensure that each dish is prepared with locally sourced, seasonal and organic ingredients. The gracious and highly trained staff sets high standards and focuses on making your guests feel welcomed. Cuisine Offered: North Indian South Indian Italian</t>
  </si>
  <si>
    <t>https://www.facebook.com/umarestarauntandcaterers/</t>
  </si>
  <si>
    <t>190</t>
  </si>
  <si>
    <t>https://www.instagram.com/homacaterers/?hl=en</t>
  </si>
  <si>
    <t>099714 66677</t>
  </si>
  <si>
    <t>Modern Indian Pan-Asian European and many more. Homa by The Dinner Box provides wedding catering services for a variety of budgets and events. They offer catering for 20 to 250 guests.</t>
  </si>
  <si>
    <t>191</t>
  </si>
  <si>
    <t>Vi-ar Caterers &amp; Events is a catering company serving all over Delhi. He started catering for wedding and other events. With countless clients, ranging from public to private companies, Vi-ar Caterers &amp; Events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</si>
  <si>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https://www.instagram.com/viar_caterers/</t>
  </si>
  <si>
    <t>192</t>
  </si>
  <si>
    <t>Creative Kitchen Catering</t>
  </si>
  <si>
    <t>Creative Kitchen Catering is a catering company serving all over Delhi NCR. He started catering for wedding and other events. With countless clients, ranging from public to private companies, Creative Kitchen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</si>
  <si>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http://creativekitchen.co.in/</t>
  </si>
  <si>
    <t>099535 35360</t>
  </si>
  <si>
    <t>193</t>
  </si>
  <si>
    <t>https://www.facebook.com/chawladecors/</t>
  </si>
  <si>
    <t>Krips Caterers</t>
  </si>
  <si>
    <t>krips-caterers</t>
  </si>
  <si>
    <t>Krips Caterers is a Delhi NCR based catering company. It was started by Dalip D Kripalani. He started catering for wedding and other events. With countless clients, ranging from public to private companies, Krips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Japanese Desserts Bengali Gujarati Rajasthani Goan</t>
  </si>
  <si>
    <t>https://www.instagram.com/kripscaterersanddecor/</t>
  </si>
  <si>
    <t>098119 59124</t>
  </si>
  <si>
    <r>
      <rPr>
        <rFont val="Arial, sans-serif, &quot;Noto Color Emoji&quot;"/>
        <color rgb="FF1155CC"/>
        <sz val="11.0"/>
        <u/>
      </rPr>
      <t>099108 20666</t>
    </r>
  </si>
  <si>
    <t>195</t>
  </si>
  <si>
    <t>https://www.instagram.com/caarafood/?hl=en</t>
  </si>
  <si>
    <t>Italian Western</t>
  </si>
  <si>
    <t>196</t>
  </si>
  <si>
    <t>https://www.instagram.com/get_set_eat/</t>
  </si>
  <si>
    <r>
      <rPr>
        <color rgb="FF1155CC"/>
        <u/>
      </rPr>
      <t>088009 62275</t>
    </r>
  </si>
  <si>
    <t>197</t>
  </si>
  <si>
    <t>Archana Rai- The Food Designer</t>
  </si>
  <si>
    <t>archana-rai-the-food-designer</t>
  </si>
  <si>
    <t>Catering Services by Archana Rai are known for the exquisite culinary experiences created every time by talented chefs giving utmost importance to taste, variety and quality. Whether you're planning an intimate gathering or a grand celebration, they will bring to you creative and out of the box ideas that will truly give your wedding a distinctive signature style. The delicacies captivate your senses with their delightful flavors and visual aesthetics.</t>
  </si>
  <si>
    <t>North Indian Regional Indian
Coastal Oriental/Thai</t>
  </si>
  <si>
    <t>The Samarkand</t>
  </si>
  <si>
    <t>the-samarkand</t>
  </si>
  <si>
    <t>The Samarkand is a catering company serving all over Delhi He started catering for wedding and other events. With countless clients, ranging from public to private companies, The Samarkand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</si>
  <si>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https://dalsamarkand.in/</t>
  </si>
  <si>
    <t>198</t>
  </si>
  <si>
    <t>https://www.instagram.com/global_gourmet_company/?hl=en</t>
  </si>
  <si>
    <r>
      <rPr>
        <color rgb="FF1155CC"/>
        <u/>
      </rPr>
      <t>098118 22774</t>
    </r>
  </si>
  <si>
    <t>095373 66366</t>
  </si>
  <si>
    <t>199</t>
  </si>
  <si>
    <t>https://www.instagram.com/the_fusion_street/</t>
  </si>
  <si>
    <r>
      <rPr>
        <color rgb="FF1155CC"/>
        <u/>
      </rPr>
      <t>072176 56500</t>
    </r>
  </si>
  <si>
    <t>South Ex, Delhi NCR</t>
  </si>
  <si>
    <t>South Ex</t>
  </si>
  <si>
    <t>Ms Caterers</t>
  </si>
  <si>
    <t>ms-caterers</t>
  </si>
  <si>
    <t>Ms Caterers has been involved in this business since so many years. Based in Delhi, the company is extending its services in a few more cities. They are here to provide quality service and tasty food along with maintaining proper hygiene. Also along with preparing good food, it is necessary to serve them in an attractive manner which adds extra spice to it and it is done by this catering amazingly. They are one of the perfect options to hire for your special events. Cuisines Offered: North Indian South Indian Chinese Desserts Gujarati Rajasthani</t>
  </si>
  <si>
    <t>https://www.facebook.com/p/MS-caterers-100064056519165/</t>
  </si>
  <si>
    <t>078276 37193</t>
  </si>
  <si>
    <t>August Hue Catering</t>
  </si>
  <si>
    <t>august-hue-catering</t>
  </si>
  <si>
    <t>Based in Delhi, August Hue Catering is an excellent catering service offering impeccable quality food. They quote, "At August Hue, we are the original innovators and game-changers, ushering in a whole New Era in the field of Banqueting &amp; Catering." Meticulous planning, clockwork execution and timely delivery are their Hallmarks expanding their clientage ever since. They aim for customer satisfaction and are always up for any type of requirements their clients ask for.</t>
  </si>
  <si>
    <t>201</t>
  </si>
  <si>
    <t>https://www.facebook.com/p/Maharaja-catering-services-100064116039479/</t>
  </si>
  <si>
    <t>Tradional</t>
  </si>
  <si>
    <t>Milan Tent House is a wedding decor company based out of Faridabad, providing wedding designing, decor and floral arrangement services for wedding and other events. Having started the company in 1990, they have been decorating weddings for over 10 years now and have made a name for themselves in the wedding industry .due to their talent and professionalism Milan Tent House provides a full package for your wedding services, not only designing decor for your banquet and event spaces but also providing decor for the home where the wedding is. Home decor packages can be enquired for separately. Apart from this they offer the following services: Flowers,Audio Visuals,Decorative Draping,Tents,Centerpiece,Table Decoration,Venue Entrances The team is adept at managing wedding decor outside of Faridabad and has created many memorable events for destination weddings in Gurgaon, Delhi, Faridabad</t>
  </si>
  <si>
    <r>
      <rPr>
        <color rgb="FF1155CC"/>
        <u/>
      </rPr>
      <t>099102 46413</t>
    </r>
  </si>
  <si>
    <t>202</t>
  </si>
  <si>
    <t>https://www.instagram.com/spontaneouscaterers/</t>
  </si>
  <si>
    <t>098111 10490</t>
  </si>
  <si>
    <t>100000</t>
  </si>
  <si>
    <t>203</t>
  </si>
  <si>
    <t>Ambe Fruit Merchant</t>
  </si>
  <si>
    <t>ambe-fruit-merchant</t>
  </si>
  <si>
    <t>Ambe Fruit Merchant, a distinguished catering company spreading its flavors across Delhi NCR. With a legacy dating back to 2004, Ambe Fruit Merchant has earned acclaim for its impeccable service, elegant presentations, and a delectable array of cuisines. Specializing in wedding catering and events, Ambe Fruit Merchant ensures a gastronomic experience that reflects sophistication and culinary finesse.</t>
  </si>
  <si>
    <t>https://www.instagram.com/official_ankul_thakur1/reels/</t>
  </si>
  <si>
    <t>98244 00557</t>
  </si>
  <si>
    <t>Gt Karnal Road, Delhi NCR</t>
  </si>
  <si>
    <t>Gt Karnal Road</t>
  </si>
  <si>
    <t>North Indian Hygienic Food Preparation
Inclusive Packages</t>
  </si>
  <si>
    <t>Hygienic Food Preparation</t>
  </si>
  <si>
    <t>https://www.instagram.com/katraaneelkitchens/</t>
  </si>
  <si>
    <t>The team extends its culinary expertise to serve clients across Delhi NCR. Whether you are celebrating in the bustling streets of Delhi or the serene outskirts, the team brings its culinary excellence to your chosen venue.</t>
  </si>
  <si>
    <t>204</t>
  </si>
  <si>
    <t>https://www.instagram.com/cherishexclusive/?hl=en</t>
  </si>
  <si>
    <r>
      <rPr>
        <color rgb="FF1155CC"/>
        <u/>
      </rPr>
      <t>095407 39739</t>
    </r>
  </si>
  <si>
    <t>Shri Ganesh Fruit and Juice</t>
  </si>
  <si>
    <t>shri-ganesh-fruit-and-juice</t>
  </si>
  <si>
    <t>A catering business with its headquarters in Delhi is called Shri Ganesh Fruit and Juice. Indian weddings are large and fervent affairs, with every every detail meticulously arranged. The cuisine and food that you would be serving on your big day is one thing that all of your wedding presents will be looking forward to because it can leave an impression on them as well as on their brains. Your quest for a reputable catering business in the area that can provide you with first-rate services and a delectable selection of cuisine can end right now.</t>
  </si>
  <si>
    <t>Raj Tent and Caterers</t>
  </si>
  <si>
    <t>raj-tent-and-caterers</t>
  </si>
  <si>
    <t>Raj Tent and Caterers is a catering company serving all over Delhi. He started catering for wedding and other events. With countless clients, ranging from public to private companies, Raj Tent and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</si>
  <si>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205</t>
  </si>
  <si>
    <t>https://www.instagram.com/evergreencaterers/</t>
  </si>
  <si>
    <t>Bollywood The Wedding Company</t>
  </si>
  <si>
    <t>bollywood-the-wedding-company</t>
  </si>
  <si>
    <t>Bollywood The Wedding Company is a wedding catering service. They provide complete hospitality solutions, by setting new benchmarks through an effective and efficient catering with each event. The company's true success lies in offering scrumptious food items and the pairing of discipline and passion of making people happy through food.</t>
  </si>
  <si>
    <t>https://www.instagram.com/theweddingcompanyofficial/?hl=en</t>
  </si>
  <si>
    <t>206</t>
  </si>
  <si>
    <t>https://www.facebook.com/chefomshospitality/</t>
  </si>
  <si>
    <t>098110 50077</t>
  </si>
  <si>
    <r>
      <rPr>
        <color rgb="FF1155CC"/>
        <u/>
      </rPr>
      <t>011 4355 4400</t>
    </r>
  </si>
  <si>
    <t>207</t>
  </si>
  <si>
    <t>Bollywood The Wedding Company is a wedding catering service. They provide complete hospitality solutions by setting new benchmarks through an effective and efficient catering with each event. The company's true success lies in offering scrumptious food items and the pairing of discipline and passion of making people happy through food.</t>
  </si>
  <si>
    <t>North Indian Mexican
Street Food</t>
  </si>
  <si>
    <t>208</t>
  </si>
  <si>
    <t>Nature's Delight</t>
  </si>
  <si>
    <t>nature-s-delight</t>
  </si>
  <si>
    <t>Nature's Delight Catering Services is a leading Delhi based catering company, which delivers first-class food, prepared according to your tastes. From corporate catering for client entertainment, Theme Parties, and Birthday parties to special occasions such as weddings, engagement parties, and personal celebrations - their experienced event management team, through their zeal and efficiency, can make any event a successful one.</t>
  </si>
  <si>
    <t>https://www.facebook.com/naturesdeligthcafe/</t>
  </si>
  <si>
    <t>Sagar Ratna Outdoor Food Catering Services</t>
  </si>
  <si>
    <t>sagar-ratna-outdoor-food-catering-services</t>
  </si>
  <si>
    <t>915 867 8822</t>
  </si>
  <si>
    <t>Sagar Ratna Outdoor Food Catering Services is a Delhi NCR based catering company. It was started by Rahul Khullar. He started catering for wedding and other events. With countless clients, ranging from public to private companies, Sagar Ratna Outdoor Food Catering Services gained a reputation for elegant presentations and impressive services. Be assured of the fact that the food is prepared &amp; served under hygienic conditions and all rates are inclusive of top-class service, crockery &amp; cutlery. Cuisines offered: North Indian South Indian Chinese</t>
  </si>
  <si>
    <t>https://www.facebook.com/sagarratnaofficial/</t>
  </si>
  <si>
    <t>011 4737 7300</t>
  </si>
  <si>
    <t>209</t>
  </si>
  <si>
    <t>Gulab Sweets</t>
  </si>
  <si>
    <t>gulab-sweets</t>
  </si>
  <si>
    <t>Gulab Sweets is a catering company serving all over Delhi. Gulab Sweets started it's catering journey for wedding and other events in 1912. With countless clients, ranging from public to private companies, Gulab Sweets gained a reputation for elegant presentations and impressive services. Be assured of the fact that the food is prepared &amp; served under hygienic conditions and all rates are inclusive of top-class service, crockery &amp; cutlery. Cuisines offered: North Indian South Indian</t>
  </si>
  <si>
    <t>https://www.instagram.com/gulabwala/?hl=en</t>
  </si>
  <si>
    <t>210</t>
  </si>
  <si>
    <t>Sadguru Catering Services</t>
  </si>
  <si>
    <t>sadguru-catering-services</t>
  </si>
  <si>
    <t>Sadguru Catering Services is a wedding lawn in Ghaziabad near Vasundhara. Are you looking for an ideal location to hold your wedding ceremonies on a budget? If so, Sadguru Catering Services is the right choice for you. The first step in hosting a perfect wedding is choosing the right wedding venue. Sadguru Catering Services is a hotel in Delhi that is an ideal location for any of your wedding functions. It has a well-equipped banquet hall and a wide range of amenities and services to make your wedding a grand affair that you and your guests will remember for a lifetime.</t>
  </si>
  <si>
    <t>https://www.sadhgurucatering.com/</t>
  </si>
  <si>
    <t>097110 57713</t>
  </si>
  <si>
    <t>211</t>
  </si>
  <si>
    <t>https://www.facebook.com/solariscateringNevents/</t>
  </si>
  <si>
    <t>098115 78910</t>
  </si>
  <si>
    <t>212</t>
  </si>
  <si>
    <t>Food And Soul</t>
  </si>
  <si>
    <t>food-and-soul</t>
  </si>
  <si>
    <t>Food and Soul is a catering venture of Delhi, which ahs been in association with WedMeGood for about 2 years now. Apart from a Best catering company in Delhi, which excels in meeting your gastronomical requirements - simply, or with as much panache as you like, they also make events conceive, arrange, execute and stylize all the arrangements in a matter to make your dream event into reality. Caterers In Delhi, Food Caterers In Delhi India, Catering Services In Delhi NCR, Best Wedding Caterer In Gurgaon, Marriage Caterers In Delhi India.</t>
  </si>
  <si>
    <t>http://www.foodandsoul.in/</t>
  </si>
  <si>
    <r>
      <rPr>
        <color rgb="FF1155CC"/>
        <u/>
      </rPr>
      <t>098112 77760</t>
    </r>
  </si>
  <si>
    <t>Indian Multi-cuisine</t>
  </si>
  <si>
    <t>Quality and hygiene in food preparation Experienced team
High standards of quality Inclusive of service, crockery, and cutlery</t>
  </si>
  <si>
    <t>Street Food Factory</t>
  </si>
  <si>
    <t>street-food-factory</t>
  </si>
  <si>
    <t>15000</t>
  </si>
  <si>
    <t>https://www.facebook.com/streetfoodfactorycatering/</t>
  </si>
  <si>
    <t>The team caters to clients all over Delhi NCR, bringing their exceptional culinary expertise to weddings, corporate events, and private gatherings across the region. Whether you're hosting an intimate gathering or a grand celebration, they are committed to providing impeccable service and unforgettable dining experiences.</t>
  </si>
  <si>
    <t>213</t>
  </si>
  <si>
    <t>Alwar Events is a Delhi based catering company. It was started by Vipul. He started catering for wedding and other events. With countless clients, ranging from public to private companies, Alwar Events gained a reputation for elegant presentations and impressive services. Be assured of the fact that the food is prepared &amp; served under hygienic conditions and all rates are inclusive of top-class service, crockery &amp; cutlery. Cuisines offered: North Indian South Indian Chinese Italian Desserts Italian Rajasthani Maharashtrian Gujarati</t>
  </si>
  <si>
    <t>https://alwareventsplanner.com/</t>
  </si>
  <si>
    <t>063754 56851</t>
  </si>
  <si>
    <t>098711 15295</t>
  </si>
  <si>
    <t>214</t>
  </si>
  <si>
    <t>Tari India</t>
  </si>
  <si>
    <t>tari-india</t>
  </si>
  <si>
    <t>https://www.instagram.com/tari.india/?hl=en</t>
  </si>
  <si>
    <t>https://www.instagram.com/yadav_catering/</t>
  </si>
  <si>
    <t>216</t>
  </si>
  <si>
    <t>Hotel RK Residency - Catering</t>
  </si>
  <si>
    <t>hotel-rk-residency-catering</t>
  </si>
  <si>
    <t>Hotel R K Residency, a luscious venue based in Ghaziabad, is perfect for the grande affair like your wedding. Equipped with world-class facilities, the venue is spacious and comfortable. They offer complete event support for all your nuptial ceremonies and events. With their class apart services, you are ensured that every experience with them is unique, every time. This venue is an ideal choice for your wedding as it can hold lavish as well as a simple and subtle wedding. Vibrant and progressive, Hotel R K Residency retains the warmth and spirit of India while offering a hall. The services go far above and beyond the conventional venue and catering staples. All these services would be customized according to your demands, needs, and budget.</t>
  </si>
  <si>
    <t>Vasundhara, Ghaziabad</t>
  </si>
  <si>
    <t>Vasundhara</t>
  </si>
  <si>
    <t>217</t>
  </si>
  <si>
    <t>Ahad Sons Foods</t>
  </si>
  <si>
    <t>ahad-sons-foods</t>
  </si>
  <si>
    <t>Ahad Sons Foods are a team that works enthusiastically to deliver food in a way that delights the eyes and is palatable to the tongue! Ahad Sons Foods are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t>
  </si>
  <si>
    <t>https://www.instagram.com/ahadsonsfoods/?hl=en</t>
  </si>
  <si>
    <t>1-9810074913</t>
  </si>
  <si>
    <t>40000</t>
  </si>
  <si>
    <t>218</t>
  </si>
  <si>
    <t>https://www.instagram.com/kiahospitality/</t>
  </si>
  <si>
    <t>C.A.R.E</t>
  </si>
  <si>
    <t>088600 08807</t>
  </si>
  <si>
    <t>c-a-r-e</t>
  </si>
  <si>
    <t>219</t>
  </si>
  <si>
    <t>R.K. Food Caterers and Event Planners</t>
  </si>
  <si>
    <t>r-k-food-caterers-and-event-planners</t>
  </si>
  <si>
    <t>R.K. Food Caterers and event planners is a team that works enthusiastically to deliver food in a way that delights the eyes and is palatable to the tongue! R.K. Food Caterers and event planners is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t>
  </si>
  <si>
    <t>https://www.instagram.com/caterers.rk/?hl=en</t>
  </si>
  <si>
    <t>220</t>
  </si>
  <si>
    <t>The Silver Kitchen</t>
  </si>
  <si>
    <t>the-silver-kitchen</t>
  </si>
  <si>
    <t>https://www.instagram.com/thesilverkitchen/</t>
  </si>
  <si>
    <r>
      <rPr>
        <color rgb="FF1155CC"/>
        <u/>
      </rPr>
      <t>099711 01898</t>
    </r>
  </si>
  <si>
    <t>Lala Ram Caterers</t>
  </si>
  <si>
    <t>lala-ram-caterers</t>
  </si>
  <si>
    <t>Located in Delhi, National Capital Region, Lala Ram Caterers is a catering company that specialises in the regal beauty of bygone times. Lala Ram Caterers is the organisation you need if you truly want to have a magnificent wedding. It will provide your guests a flavour that is upscale and present it in a way that is both beautiful to look at and delicious to consume. Food is and has always been a crucial and essential component of any kind of celebrations, and it would make sure that your wedding was one of the best times of your life. In order to create an unforgettable banquet experience, Lala Ram Caterers will offer a lovely wedding package that includes everything you need. The crew will deliver all you require for all types of wedding functions, including delectable foods, unique menus, and a diversity of cuisines.</t>
  </si>
  <si>
    <t>https://tradelinker.in/wedding-planner/caterers-for-marriages-and-parties-in-delhi/lala-ram-caterer.html</t>
  </si>
  <si>
    <t>91 23271008</t>
  </si>
  <si>
    <t>221</t>
  </si>
  <si>
    <t>The Ranch</t>
  </si>
  <si>
    <t>the-ranch</t>
  </si>
  <si>
    <t>With 13 years of catering experience, and restaurants such as Lotus Pond, Bamboo Shoots , Wokamama and more under their belt - The Ranch dishes out yummy food that is spans across cuisines. Right from Indian delicacies to exotic continental and chinese specialties- there is something for everyone at this Delhi based restaurant, because they cater to a multi cuisine menu which includes North Indian , South Indian, Chinese, Japanese, Italian, Greek, Lebanese, Thai, Desserts, Bengali, Gujarati , Rajasthani, Goan, Maharashtrian . They have skilled chefs, who cater to every individual taste. Rooted in the tradition and good-will, they stand out for their quality and hygiene and cater to delicious food. They have a minimum capacity of 50 and maximum capacity of about 1000 people. This caterer has impressed countless clients with impressionable outdoor catering services, as they provide you a menu which can be customized as per your tastes and prefernces. By orienting the best of resources with dedication and commitment towards catering services, they have set their own standards in the hospitality and service industry. They value what is important for the client and act on a fever pitch to fulfil their expectations. They ensure customer satisfaction and timely delivery of services as well. Being associated with WMG for quite some time now, they are making families happy, book them for your special day now</t>
  </si>
  <si>
    <t>Khana Mantra is a catering company serving all over Gurugram. He started catering for wedding and other events. With countless clients, ranging from public to private companies, Khana Mantra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</si>
  <si>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https://www.facebook.com/khanamantra/</t>
  </si>
  <si>
    <t>With 13 years of catering experience and restaurants such as Lotus Pond Bamboo Shoots Wokamama and more under their belt - The Ranch dishes out yummy food that is spans across cuisines. Right from Indian delicacies to exotic continental and chinese specialties- there is something for everyone at this Delhi based restaurant because they cater to a multi cuisine menu which includes North Indian Maharashtrian . They have skilled chefs who cater to every individual taste. Rooted in the tradition and good-will they stand out for their quality and hygiene and cater to delicious food. They have a minimum capacity of 50 and maximum capacity of about 1000 people. This caterer has impressed countless clients with impressionable outdoor catering services as they provide you a menu which can be customized as per your tastes and prefernces. By orienting the best of resources with dedication and commitment towards catering services they have set their own standards in the hospitality and service industry. They value what is important for the client and act on a fever pitch to fulfil their expectations. They ensure customer satisfaction and timely delivery of services as well. Being associated with WMG for quite some time now
they are making families happy book them for your special day now</t>
  </si>
  <si>
    <t>222</t>
  </si>
  <si>
    <t>099996 22545</t>
  </si>
  <si>
    <t>https://www.facebook.com/Theheavenscaterers/</t>
  </si>
  <si>
    <t>097114 48003</t>
  </si>
  <si>
    <t>1099</t>
  </si>
  <si>
    <t>Dixit Caterers and Event Management Services</t>
  </si>
  <si>
    <t>dixit-caterers-and-event-management-services</t>
  </si>
  <si>
    <t>Established in 2012, Dixit Caterers and Event Management Services is a renowned wedding caterer specializing in creating unforgettable culinary experiences for weddings and events in Delhi NCR. They understand that every wedding is unique and requires a bespoke approach. That's why the team works closely with the clients to understand their vision, preferences, and dietary requirements, to curate a tailored menu that truly reflects their taste and style. They ensure that every dish is prepared with precision and garnished to perfection, leaving a lasting impression on your guests. Apart from exceptional food, Dixit Caterers also offers comprehensive event management services. From stunning decor to seamless logistics, our team takes care of all aspects of your wedding, allowing you to relax and enjoy your special day. Choose them for a memorable wedding day that is rich in flavor, elegance, and professionalism.</t>
  </si>
  <si>
    <t>https://www.instagram.com/dixitcaterers/</t>
  </si>
  <si>
    <t>223</t>
  </si>
  <si>
    <t>https://www.instagram.com/marriage_and__food/</t>
  </si>
  <si>
    <t>Shahdara, Delhi NCR</t>
  </si>
  <si>
    <t>224</t>
  </si>
  <si>
    <t>Elegant Cuisine House</t>
  </si>
  <si>
    <t>elegant-cuisine-house</t>
  </si>
  <si>
    <t>https://www.shaadidukaan.com/profile/dry-curry-foodworks</t>
  </si>
  <si>
    <t>Get best quote from Elegant Cuisine House and book your date! Check their prices and availability. Send enquiry to your selected list of Wedding Catering at WedMeGood and choose the best. Browse for more Wedding Catering in Delhi NCR and more wedding vendors at WedMeGood and plan your wedding hassle free.</t>
  </si>
  <si>
    <t>+60 3-5131 6369</t>
  </si>
  <si>
    <r>
      <rPr>
        <rFont val="Calibri"/>
        <color rgb="FF1155CC"/>
        <u/>
      </rPr>
      <t>8010-66-77-88</t>
    </r>
  </si>
  <si>
    <t>226</t>
  </si>
  <si>
    <t>https://www.facebook.com/p/Kasturi-Catering-and-services-100069881185018/</t>
  </si>
  <si>
    <t>https://vihaancaterers.in/</t>
  </si>
  <si>
    <t xml:space="preserve">099388 67427
</t>
  </si>
  <si>
    <t>91 983 4608 779</t>
  </si>
  <si>
    <t>227</t>
  </si>
  <si>
    <t>https://www.instagram.com/natraj.caterers/</t>
  </si>
  <si>
    <t>098732 70830</t>
  </si>
  <si>
    <t>https://www.captainjoe.in/</t>
  </si>
  <si>
    <r>
      <rPr>
        <color rgb="FF1155CC"/>
        <u/>
      </rPr>
      <t>098999 88185</t>
    </r>
  </si>
  <si>
    <t>228</t>
  </si>
  <si>
    <t>https://www.instagram.com/punjab.caterers/?hl=en</t>
  </si>
  <si>
    <t>098115 95594</t>
  </si>
  <si>
    <t>229</t>
  </si>
  <si>
    <t>V &amp; J Catering is a catering company serving all over Noida. He started catering for wedding and other events. With countless clients, ranging from public to private companies, V &amp; J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</si>
  <si>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https://www.facebook.com/avcaterer/</t>
  </si>
  <si>
    <t>232</t>
  </si>
  <si>
    <t>https://www.instagram.com/thecleanplatebyshaurya/</t>
  </si>
  <si>
    <t>AV Caterer and Event Company is a wedding catering service. They provide complete hospitality solutions AV Caterer and Event Company’s success lies in offering scrumptious food items and the pairing of discipline and passion of making people happy through food.</t>
  </si>
  <si>
    <t>L K Caters</t>
  </si>
  <si>
    <t>l-k-caters</t>
  </si>
  <si>
    <t>L K Caters is a catering company serving all over Ghaziabad. He started catering for wedding and other events. With countless clients, ranging from public to private companies, L K Caters gained a reputation for elegant presentations and impressive services. Be assured of the fact that the food is prepared &amp; served under hygienic conditions and all rates are inclusive of top-class service, crockery &amp; cutlery. Cuisines offered: North Indian South Indian Chinese</t>
  </si>
  <si>
    <t>233</t>
  </si>
  <si>
    <t>https://www.instagram.com/creativecuisinesinc/?hl=en</t>
  </si>
  <si>
    <t>092055 59609</t>
  </si>
  <si>
    <t>Beliram Degchiwala Caterers</t>
  </si>
  <si>
    <t>beliram-degchiwala-caterers</t>
  </si>
  <si>
    <t>Beliram Degchiwala is a Delhi-based catering service. Food is the most delectable aspect of an Indian wedding, and if you are planning a grand wedding and looking for a catering service, Beliram Degchiwala is the right choice. This company is a one-stop shop for all of your catering and food needs, as it has a team of well-trained employees who handle all of the arrangements and services. They are known for their elegant presentations and outstanding services.</t>
  </si>
  <si>
    <t>http://www.beliramdegchiwala.com/</t>
  </si>
  <si>
    <t>234</t>
  </si>
  <si>
    <t>097111 55578</t>
  </si>
  <si>
    <t>095600 42506</t>
  </si>
  <si>
    <t>Mughlai/North Indian/Italian/European/Continental Chinese, Thai, and Oriental
Indian subcontinent
Live food counters with no garlic or onions
Chaat and other Indian street food
Drinks Made from Seafood (non-alcoholic)below:</t>
  </si>
  <si>
    <t>235</t>
  </si>
  <si>
    <t>Red Chilli Caterers</t>
  </si>
  <si>
    <t>red-chilli-caterers</t>
  </si>
  <si>
    <t>Red Chilli Caterers enjoy the rare distinction of being an all in one organizer for all types of functions that our clients could think of hosting. Be it Birthdays, weddings, get-togethers, old friends’ re-unions, wedding anniversaries, kitty parties, engagements, mehndi, New year parties, family outings, seminars, conferences, annual sales meets, company functions, or any other type of function that any of our client may think of hosting, we at Red Chilli Caterers can easily manage all aspects of these functions from their beginning till the very end.</t>
  </si>
  <si>
    <t>https://www.facebook.com/redchillicaterersindelhi/</t>
  </si>
  <si>
    <t>238</t>
  </si>
  <si>
    <t>088002 09900</t>
  </si>
  <si>
    <t>Chaat Delhi Noida Gurugram Ludhiana
Amritsar Jalandhar Agra Jaipur Dehradun</t>
  </si>
  <si>
    <t>https://www.facebook.com/aonecaterersandhospitality/</t>
  </si>
  <si>
    <t>Dana Choga</t>
  </si>
  <si>
    <t>dana-choga</t>
  </si>
  <si>
    <t>Based in Delhi, NCR Daana Choga is a team of caterers. Their team of well experienced chefs create dishes that are delicious and also look aesthetic. They are a great option for your wedding as they offer a wide range of mouthwatering dishes at reasonable prices.</t>
  </si>
  <si>
    <t>https://www.facebook.com/danachogaofficial/</t>
  </si>
  <si>
    <t>099533 35083</t>
  </si>
  <si>
    <t>092137 77111</t>
  </si>
  <si>
    <t>241</t>
  </si>
  <si>
    <t>Captain Joes is a catering company serving all over Gurgaon. He started catering for wedding and other events. With countless clients, ranging from public to private companies, Captain Joe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</si>
  <si>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098999 88185</t>
  </si>
  <si>
    <t>Satrangee Chaat by Ashish Goyal</t>
  </si>
  <si>
    <t>satrangee-chaat-by-ashish-goyal</t>
  </si>
  <si>
    <t>Satrangee Chaat by Ashish Goyal is a catering company serving all over Delhi NCR. He started catering for wedding and other events. With countless clients, ranging from public to private companies,Satrangee Chaat by Ashish Goyal gained a reputation for elegant presentations and impressive services. Be assured of the fact that the food is prepared &amp; served under hygienic conditions and all rates are inclusive of top-class service, crockery &amp; cutlery. Cuisines offered: Chaat &amp; Food Stalls</t>
  </si>
  <si>
    <t>https://www.instagram.com/satrangeechaat/</t>
  </si>
  <si>
    <t>242</t>
  </si>
  <si>
    <t>99711 93571</t>
  </si>
  <si>
    <t>243</t>
  </si>
  <si>
    <t>Catering's Kitchen</t>
  </si>
  <si>
    <t>catering-s-kitchen</t>
  </si>
  <si>
    <t>http://www.srdhospitality.in/</t>
  </si>
  <si>
    <t>https://www.facebook.com/cateringskitchen/?locale=bg_BG</t>
  </si>
  <si>
    <t>244</t>
  </si>
  <si>
    <t>https://www.facebook.com/aromaticcatering/</t>
  </si>
  <si>
    <t>078386 83693</t>
  </si>
  <si>
    <t>Shyam Paan Palace</t>
  </si>
  <si>
    <t>shyam-paan-palace</t>
  </si>
  <si>
    <t>Shyam Paan Palace is a catering company serving all over Delhi. He started catering for wedding and other events. With countless clients, ranging from public to private companies, Shyam Paan Palace gained a reputation for elegant presentations and impressive services. Be assured of the fact that the food is prepared &amp; served under hygienic conditions and all rates are inclusive of top-class service, crockery &amp; cutlery. Cuisines offered: Paan</t>
  </si>
  <si>
    <t>245</t>
  </si>
  <si>
    <t>Your's Choice Cater's</t>
  </si>
  <si>
    <t>your-s-choice-cater-s</t>
  </si>
  <si>
    <t>Your's Choice Cater's is a catering company serving all over Delhi. He started catering for wedding and other events. With countless clients, ranging from public to private companies, Your's Choice Cater's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</si>
  <si>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https://chefbychoice.com/</t>
  </si>
  <si>
    <t>246</t>
  </si>
  <si>
    <t>Khatirdari Catering Service</t>
  </si>
  <si>
    <t>khatirdari-catering-service</t>
  </si>
  <si>
    <t>https://www.facebook.com/khatirdari.lko/</t>
  </si>
  <si>
    <t>74086 06060</t>
  </si>
  <si>
    <r>
      <rPr>
        <color rgb="FF1155CC"/>
        <u/>
      </rPr>
      <t>093115 85843</t>
    </r>
  </si>
  <si>
    <t>247</t>
  </si>
  <si>
    <t>https://www.facebook.com/p/Yadav-Catering-Service-100057481658144/</t>
  </si>
  <si>
    <t>070036 52063</t>
  </si>
  <si>
    <t>249</t>
  </si>
  <si>
    <t>https://www.tastefreshhospitality.in/</t>
  </si>
  <si>
    <t>078910 22771</t>
  </si>
  <si>
    <t>Purple Cuisine</t>
  </si>
  <si>
    <t>purple-cuisine</t>
  </si>
  <si>
    <t>Purple Cuisines is a catering company serving all over Delhi. He started catering for wedding and other events. With countless clients, ranging from public to private companies, Purple Cuisines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</si>
  <si>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https://www.facebook.com/p/Indo-Spice-Caterers-and-Event-Planners-100064006361498/</t>
  </si>
  <si>
    <t>Jai Bhuwneshwari Caterers</t>
  </si>
  <si>
    <t>jai-bhuwneshwari-caterers</t>
  </si>
  <si>
    <t>080595 99376</t>
  </si>
  <si>
    <t>Jaika Outdoor Caterer</t>
  </si>
  <si>
    <t>jaika-outdoor-caterer</t>
  </si>
  <si>
    <t>Zaika Decorator &amp; Caterer is an end to end wedding planning brand located in Jodhpur. They have dedicated professionals with the best skills to create something new and unique. Efficiency and success is a habit of this passionate team who put their heart and soul in preparing for the big day with all details attended to perfection. They have experience of more than 5 years. Their decor ideas and designs are definitely a source of inspiration that will surely make your venue look outstanding from every angle. They have covered many international weddings. Areas Covered: Jodhpur,Udaipur,Pali</t>
  </si>
  <si>
    <t>https://kuldeeptenthouse.wordpress.com/</t>
  </si>
  <si>
    <t>251</t>
  </si>
  <si>
    <t>https://www.facebook.com/khemahalwai/</t>
  </si>
  <si>
    <t>080775 24146</t>
  </si>
  <si>
    <r>
      <rPr>
        <color rgb="FF1155CC"/>
        <u/>
      </rPr>
      <t>098999 54668</t>
    </r>
  </si>
  <si>
    <t>252</t>
  </si>
  <si>
    <t>Tauji Caterers</t>
  </si>
  <si>
    <t>tauji-caterers</t>
  </si>
  <si>
    <t>https://www.facebook.com/taujicaterers/</t>
  </si>
  <si>
    <t>092104 76274</t>
  </si>
  <si>
    <t>254</t>
  </si>
  <si>
    <t>The Fresh Freeze</t>
  </si>
  <si>
    <t>the-fresh-freeze</t>
  </si>
  <si>
    <t>The Fresh Freeze is a catering company serving all over Ghaziabad . He started catering for wedding and other events. With countless clients, ranging from public to private companies, The Fresh Freeze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</si>
  <si>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https://www.evobee.com/business-detail/restaurants/the-fresh-freeze</t>
  </si>
  <si>
    <t>070420 09617</t>
  </si>
  <si>
    <t>Vaishali, Ghaziabad</t>
  </si>
  <si>
    <t>Vaishali</t>
  </si>
  <si>
    <t>255</t>
  </si>
  <si>
    <t>https://www.facebook.com/pages/Aristocrat-Caterers/1978302319110405</t>
  </si>
  <si>
    <r>
      <rPr>
        <color rgb="FF1155CC"/>
        <u/>
      </rPr>
      <t>098111 26246</t>
    </r>
  </si>
  <si>
    <t>https://www.facebook.com/profile.php?id=100054511777796&amp;locale=fy_NL#</t>
  </si>
  <si>
    <t>079828 75454</t>
  </si>
  <si>
    <t>256</t>
  </si>
  <si>
    <t>https://www.facebook.com/aleisureevent/</t>
  </si>
  <si>
    <t>B2Wedding</t>
  </si>
  <si>
    <t>b2wedding</t>
  </si>
  <si>
    <t>In Delhi NCR, a big event venue called the B2 Party Palace has been used for a wide range of occasions, including weddings. The catering services at B2 Party Palace will guarantee that your wedding reception is a success. You can rest assured that your event will be a success because of the professional crew working on it. Visitors will be able to easily get to the venue from anywhere in the city and find their way around once they arrive.</t>
  </si>
  <si>
    <t>https://www.facebook.com/B2Banquets/</t>
  </si>
  <si>
    <t>257</t>
  </si>
  <si>
    <t>Sri Ji Caters</t>
  </si>
  <si>
    <t>sri-ji-caters</t>
  </si>
  <si>
    <t>https://www.facebook.com/srijicaters/</t>
  </si>
  <si>
    <t>099533 97645</t>
  </si>
  <si>
    <t>097165 46776</t>
  </si>
  <si>
    <t>258</t>
  </si>
  <si>
    <t>https://www.facebook.com/p/Shri-Bankey-Bihari-Exclusive-Catering-Services-100064040258732/</t>
  </si>
  <si>
    <t>Nath Caters</t>
  </si>
  <si>
    <t>nath-caters</t>
  </si>
  <si>
    <t>Nath Caters is a catering company serving all over Delhi. He started catering for wedding. With countless clients, ranging from public to private companies, Nath Caters gained a reputation for elegant presentations and impressive services. Be assured of the fact that the food is prepared &amp; served under hygienic conditions and all rates are inclusive of top-class service, crockery &amp; cutlery. Cuisines offered: North Indian South Indian Desserts</t>
  </si>
  <si>
    <t>098114 63413</t>
  </si>
  <si>
    <t>Hari Nagar, Delhi NCR</t>
  </si>
  <si>
    <t>Hari Nagar</t>
  </si>
  <si>
    <t>261</t>
  </si>
  <si>
    <t>What The Truck</t>
  </si>
  <si>
    <t>what-the-truck</t>
  </si>
  <si>
    <t>Quite a rave in the millennium city of Gurgaon, some of the most lip-smacking dishes are made available on the move by food trucks. What the Truck offers uniquely curated flavors with highest food quality and drool worthy delicacies. Perfect for an intimate party full of adventurous young foodies, choose from their out-of-the-box gourmet food options to make your occasion just as flavorsome as it is special.</t>
  </si>
  <si>
    <t>Burgers Hot dogs Shakes
Brownies</t>
  </si>
  <si>
    <t>262</t>
  </si>
  <si>
    <t>096541 56734</t>
  </si>
  <si>
    <t>263</t>
  </si>
  <si>
    <t>https://www.facebook.com/foodandsoulcateringservices/</t>
  </si>
  <si>
    <t>Swadisht Caterers</t>
  </si>
  <si>
    <t>swadisht-caterers</t>
  </si>
  <si>
    <t>Swadisht Caterers are a team that works enthusiastically to deliver food in a way that delights the eyes and is palatable to the tongue! Swadisht Caterers are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t>
  </si>
  <si>
    <t>https://swadisht-caterers.netlify.app/</t>
  </si>
  <si>
    <t>264</t>
  </si>
  <si>
    <t>Devrana Caterers &amp; Event Planners</t>
  </si>
  <si>
    <t>devrana-caterers-event-planners</t>
  </si>
  <si>
    <t>https://www.facebook.com/DevranaOfficial/posts/where-luxury-meets-detail-our-bespoke-event-setups-are-designed-to-leave-your-gu/1299911055516711/</t>
  </si>
  <si>
    <t>097169 58460</t>
  </si>
  <si>
    <t>265</t>
  </si>
  <si>
    <t>Saffron Caterer</t>
  </si>
  <si>
    <t>saffron-caterer</t>
  </si>
  <si>
    <t>A catering company with its headquarters in Ghaziabad is called Saffron Caterer Indore. You must select a vendor who can provide you with excellent food delights if you want to plan and execute the ideal wedding day. Saffron Caterer Indore is the option that you should be looking for if you want a concrete and distinctive wedding catering company that provides you the best gastro event of your lives because they offer all the support and a team of service workers to give you a special multi-cuisine experience. They began supplying food for weddings and other occasions. Saffron Caterer developed a reputation for attractive presentations and excellent services with its numerous clients, which include both public and private companies. You can be confident that the cuisine is made and served in hygienic conditions, and all prices include first-rate service, fine china, and cutlery. They will undoubtedly win the hearts of your guests with their astounding choice of services.</t>
  </si>
  <si>
    <t>https://www.facebook.com/saffroncaterer/posts/saffron-caterer/1594048852089013/</t>
  </si>
  <si>
    <t>North Indian  Dessert</t>
  </si>
  <si>
    <t>266</t>
  </si>
  <si>
    <t>Wedding Moon</t>
  </si>
  <si>
    <t>wedding-moon</t>
  </si>
  <si>
    <t>Based in Delhi, Wedding Moon is a catering company. They are your one stop shop for stiating all your cravings. Dealing with all kinds of cuisines, they specialize in catering for weddings and paties. Offering an impeccable taste and a multi cuisine spread, Wedding Moon is a great option for your wedding.</t>
  </si>
  <si>
    <t>098111 15115</t>
  </si>
  <si>
    <t>Indian Pizza Hut</t>
  </si>
  <si>
    <t>indian-pizza-hut</t>
  </si>
  <si>
    <t>Indian Pizza Hut is a Delhi based catering company. It was started by Aazam Ali. He started catering for wedding and other events. With countless clients, ranging from public to private companies, Indian Pizza Hut gained a reputation for elegant presentations and impressive services. Be assured of the fact that the food is prepared &amp; served under hygienic conditions and all rates are inclusive of top-class service, crockery &amp; cutlery. Cuisines offered: North Indian Chinese Italian Desserts Maharashtrian</t>
  </si>
  <si>
    <t>267</t>
  </si>
  <si>
    <t>The Perfect Eats</t>
  </si>
  <si>
    <t>the-perfect-eats</t>
  </si>
  <si>
    <t>https://www.facebook.com/perfecteatscatering/</t>
  </si>
  <si>
    <t>734-858-8564</t>
  </si>
  <si>
    <t>The Terrace At Delhi</t>
  </si>
  <si>
    <t>the-terrace-at-delhi</t>
  </si>
  <si>
    <t>The Terrace At Delhi is a catering company serving all over Delhi. He started catering for wedding and other events. With countless clients, ranging from public to private companies, The Terrace At Delhi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</si>
  <si>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https://www.facebook.com/theterracesatdelhi/</t>
  </si>
  <si>
    <t>268</t>
  </si>
  <si>
    <t>093548 96279</t>
  </si>
  <si>
    <t>499</t>
  </si>
  <si>
    <t>Punjabi Flavors</t>
  </si>
  <si>
    <t>269</t>
  </si>
  <si>
    <t>punjabi-flavors</t>
  </si>
  <si>
    <t>Delicious Pakwaan</t>
  </si>
  <si>
    <t>delicious-pakwaan</t>
  </si>
  <si>
    <t>Punjabi by Nature is a Vasant Kunj, Delhi NCR-based catering business that provides services for a variety of festivals and events. It offers a variety of services and a multi-cuisine menu to make your event fragrant and opulent. Your visitors will be impressed by the knowledgeable personnel and their delectable food options, making for a really unforgettable dining experience. Punjabi by Nature is capable of handling any type of event, from a little birthday party to an elaborate wedding! Each delicacy is made by their carefully trained in-house chefs using the best ingredients, bursting with irresistible flavors and scents.</t>
  </si>
  <si>
    <t>099109 92023</t>
  </si>
  <si>
    <t>https://deliciouspakwaan.com/</t>
  </si>
  <si>
    <t>098684 24296</t>
  </si>
  <si>
    <t>Sai Catering Service</t>
  </si>
  <si>
    <t>sai-catering-service</t>
  </si>
  <si>
    <t>270</t>
  </si>
  <si>
    <t>Sai Catering Service is a Delhi-based supplier of food and drinks that serves customary passage all through India. The most pivotal part of any Indian or global wedding or occasion is the food. The fascination of food is felt by everybody of your wedding visitors. Therefore, it should be dealt with warily and productively. For your exceptional day, these cooks give some delicious and intriguing food choices. An intricate gala is constantly made arrangements for each function while having an Indian wedding. This firm can act as your all in one resource for your catering needs, so on the off chance that you're all searching for a legitimate caterer that offers first class benefits, your pursuit might end here. Your wedding visitors will be all ready to appreciate and recall the delightful exhibit of worldwide multi-food platters that they served alongside their administrations. They'll ensure that everything is thoroughly examined, obliging, and gave. All Your requirements will be taken care of, and they will plan a menu that might be modified to suit your preferences. Since they have been offering their types of assistance for some time, they have the right stuff and information to make your wedding festivities remarkable and the best culinary experience.</t>
  </si>
  <si>
    <t>https://www.instagram.com/sai_catering_service_56/?hl=en</t>
  </si>
  <si>
    <t>Chawri Bazar, Delhi NCR</t>
  </si>
  <si>
    <t>Chawri Bazar</t>
  </si>
  <si>
    <t>272</t>
  </si>
  <si>
    <t>759</t>
  </si>
  <si>
    <t>TLC Kitchen Catering</t>
  </si>
  <si>
    <t>tlc-kitchen-catering</t>
  </si>
  <si>
    <t>TLC Kitchen Catering is a team that works enthusiastically to deliver food in a way that delights the eyes and is palatable to the tongue! TLC Kitchen Catering is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t>
  </si>
  <si>
    <t>https://www.facebook.com/tlckitchencatering/</t>
  </si>
  <si>
    <t>273</t>
  </si>
  <si>
    <t>The Pizza Hut Caterers</t>
  </si>
  <si>
    <t>the-pizza-hut-caterers</t>
  </si>
  <si>
    <t>https://www.facebook.com/pizzahutusvi/posts/gather-your-friends-and-let-pizza-hut-take-care-of-the-food-with-easy-catering-o/910647901054574/</t>
  </si>
  <si>
    <r>
      <rPr>
        <color rgb="FF1155CC"/>
        <u/>
      </rPr>
      <t>011 4141 4162</t>
    </r>
  </si>
  <si>
    <t>274</t>
  </si>
  <si>
    <t>Delhi Tandur Service</t>
  </si>
  <si>
    <t>delhi-tandur-service</t>
  </si>
  <si>
    <t>A providing food organization called Delhi Tandur Service is arranged in Delhi, NCR. They have practical experience in creating menus for a wide range of unique events and ensure that all of their clients has a great time. The hosts and visitors of a wedding are frequently treated to a luxurious dinner. Your journey can end here assuming you're searching for a trustworthy catering business in the space that can give you both scrumptious food and top notch administrations. Delhi Tandur Service can be utilized for each wedding night assuming you are coordinating an enormous wedding and looking for a legitimate cooking organization that deals with every one of your plans and needs. They have a staff of culinary experts who put a ton of exertion and expertise into every feast they create.Delhi Tandur Service has long stretches of involvement with this industry, has confidence in the validity of the item, and ensures that your occasion is a triumph.</t>
  </si>
  <si>
    <t>The Food Web</t>
  </si>
  <si>
    <t>the-food-web</t>
  </si>
  <si>
    <t>The Food Web is a catering company serving all over Delhi NCR. He started catering for wedding and other events. With countless clients, ranging from public to private companies, The Food Web gained a reputation for elegant presentations and impressive services. Be assured of the fact that the food is prepared &amp; served under hygienic conditions and all rates are inclusive of top-class service, crockery &amp; cutlery. Cuisines offered: North Indian South Indian</t>
  </si>
  <si>
    <t>275</t>
  </si>
  <si>
    <t>https://www.facebook.com/applecaterersjaipur/</t>
  </si>
  <si>
    <t>Life Artisanal</t>
  </si>
  <si>
    <t>life-artisanal</t>
  </si>
  <si>
    <t>Life Artisanal is a catering company serving all over Delhi. She started catering for wedding and other events. With countless clients, ranging from public to private companies, Life Artisanal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t>
  </si>
  <si>
    <t>099713 41000</t>
  </si>
  <si>
    <t>https://www.instagram.com/essemmgroup/?hl=en</t>
  </si>
  <si>
    <t>276</t>
  </si>
  <si>
    <t>https://www.facebook.com/p/M-M-Caterers-100068878403867/</t>
  </si>
  <si>
    <t>Vegetarian</t>
  </si>
  <si>
    <t>277</t>
  </si>
  <si>
    <t>The Art Kraft</t>
  </si>
  <si>
    <t>the-art-kraft</t>
  </si>
  <si>
    <t>The Art Kraft is a team of Delhi Based Caterers. They specialize in creating unique menus for your function. Be it corporate events or traditional wedding events, they customise their menu to give a personalised touch and cater to all your requirements. Reasonably priced, their catering service has earned huge appreciation for achieving client satisfaction. The Art Kraft is a great option for your weddding.</t>
  </si>
  <si>
    <t>https://www.facebook.com/ArtCraftandArchitecture/</t>
  </si>
  <si>
    <t>Non vegetarian</t>
  </si>
  <si>
    <r>
      <rPr>
        <color rgb="FF1155CC"/>
        <u/>
      </rPr>
      <t>099907 37679</t>
    </r>
  </si>
  <si>
    <t>Baraat Events &amp; Catering</t>
  </si>
  <si>
    <t>baraat-events-catering</t>
  </si>
  <si>
    <t>Baraat Catering is a catering company serving all over Delhi. He started catering for wedding and other events. With countless clients, ranging from public to private companies, Baraat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</si>
  <si>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https://www.instagram.com/celebratewithbaraat/</t>
  </si>
  <si>
    <t>Shahpur Jat, Delhi NCR</t>
  </si>
  <si>
    <t>Shahpur Jat</t>
  </si>
  <si>
    <t>Deluxe Fine Catering</t>
  </si>
  <si>
    <t>deluxe-fine-catering</t>
  </si>
  <si>
    <t>Deluxe Fine Catering is a catering company serving all over Delhi. He started catering for wedding and other events. With countless clients, ranging from public to private companies, Deluxe Fine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t>
  </si>
  <si>
    <t>https://www.instagram.com/deluxefinecatering/</t>
  </si>
  <si>
    <t>278</t>
  </si>
  <si>
    <t>https://www.facebook.com/malhotracaterer/</t>
  </si>
  <si>
    <t>095409 61347</t>
  </si>
  <si>
    <t>12000</t>
  </si>
  <si>
    <t>279</t>
  </si>
  <si>
    <t>Khan Caterers</t>
  </si>
  <si>
    <t>khan-caterers</t>
  </si>
  <si>
    <t>Khan Caterers is a Delhi NCR based catering company. It was started by Danish Khan. He started catering for wedding and other events. With countless clients, ranging from public to private companies, Khan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Lebanese Italian Thai Desserts Bengali Gujarati Rajasthani</t>
  </si>
  <si>
    <t>https://www.instagram.com/khan_caterers_/</t>
  </si>
  <si>
    <t>280</t>
  </si>
  <si>
    <t>Sreejee Caterer</t>
  </si>
  <si>
    <t>sreejee-caterer</t>
  </si>
  <si>
    <t>https://www.facebook.com/shreejiicaterer/</t>
  </si>
  <si>
    <t>098796 05971</t>
  </si>
  <si>
    <t>Wadhwa Food Cateres</t>
  </si>
  <si>
    <t>wadhwa-food-cateres</t>
  </si>
  <si>
    <t>Wadhwa Food Cateres is a catering company serving all over Delhi. He started catering for wedding and other events. With countless clients, ranging from public to private companies, Wadhwa Food Cateres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t>
  </si>
  <si>
    <t>281</t>
  </si>
  <si>
    <t>https://www.instagram.com/wadhwa_caterers_85/</t>
  </si>
  <si>
    <r>
      <rPr>
        <color rgb="FF1155CC"/>
        <u/>
      </rPr>
      <t>070423 26706</t>
    </r>
  </si>
  <si>
    <t>284</t>
  </si>
  <si>
    <t>Kandpal Caterers and Decorators</t>
  </si>
  <si>
    <t>kandpal-caterers-and-decorators</t>
  </si>
  <si>
    <t>https://www.facebook.com/kandpalcaterersanddecorators/</t>
  </si>
  <si>
    <t>098189 69473</t>
  </si>
  <si>
    <t>Netaji Nagar , Delhi NCR</t>
  </si>
  <si>
    <t>Netaji Nagar</t>
  </si>
  <si>
    <t>285</t>
  </si>
  <si>
    <t>https://www.facebook.com/amaatrabanquet/</t>
  </si>
  <si>
    <t>Good Caterers</t>
  </si>
  <si>
    <t>good-caterers</t>
  </si>
  <si>
    <t>092101 00219</t>
  </si>
  <si>
    <t>286</t>
  </si>
  <si>
    <t>098112 53827</t>
  </si>
  <si>
    <t>Something Saucy</t>
  </si>
  <si>
    <t>something-saucy</t>
  </si>
  <si>
    <t>Something Saucy is a cool food truck based in Delhi, that offers delicious and mouth watering starters and desserts at weddings. They mainly specialize in fusion food and street food. The team at Something Saucy will be delighted to customize their services according to your requirements. They have been in association with WMG for over 2 years now and have always catered with focus on quality, hygiene at an affordable price. Whether you want to cater to a small group that is a minimum of 25 people or a large group with the maximum capacity of 250; they will be able to do it. They offer both Veg and Non-veg options.</t>
  </si>
  <si>
    <t>https://www.facebook.com/somethingsaucy/</t>
  </si>
  <si>
    <t>287</t>
  </si>
  <si>
    <t>https://www.facebook.com/culinaryaffaire/</t>
  </si>
  <si>
    <t>072900 97838</t>
  </si>
  <si>
    <t>096250 74946</t>
  </si>
  <si>
    <t>Sugandh Catering is a catering company serving all over Gurgaon. He started catering for wedding and other events. With countless clients, ranging from public to private companies, Dutta Caterers and Decorators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</si>
  <si>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https://www.instagram.com/sugandhcaterers/</t>
  </si>
  <si>
    <t>288</t>
  </si>
  <si>
    <t>https://gourmerservices.com/</t>
  </si>
  <si>
    <r>
      <rPr>
        <color rgb="FF1155CC"/>
        <u/>
      </rPr>
      <t>092179 77499</t>
    </r>
  </si>
  <si>
    <t>Heera Moti Catering Service</t>
  </si>
  <si>
    <t>heera-moti-catering-service</t>
  </si>
  <si>
    <t>Heera Moti Catering Service is a catering company serving all over Delhi. He started catering for wedding and other events. With countless clients, ranging from public to private companies, Heera Moti Catering Service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</si>
  <si>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https://www.facebook.com/HeeraCatering/</t>
  </si>
  <si>
    <t>93105 76689</t>
  </si>
  <si>
    <t>Kapashera, Delhi NCR</t>
  </si>
  <si>
    <t>Kapashera</t>
  </si>
  <si>
    <t>289</t>
  </si>
  <si>
    <t>https://www.facebook.com/delhicatering/</t>
  </si>
  <si>
    <t>Eggjactly</t>
  </si>
  <si>
    <t>eggjactly</t>
  </si>
  <si>
    <t>A catering van on the move in Gurgaon with the best of new age delicacies, Eggjactly is an absolute winner for tantalizing taste buds. Needless to say that almost all food items contain egg, this food truck doles out the most scrumptious quick bites for your small functions.</t>
  </si>
  <si>
    <t>https://www.facebook.com/Eggjactly/</t>
  </si>
  <si>
    <t>Wedding catering American BBQ Bar services
Mongolian Belgian</t>
  </si>
  <si>
    <t>098118 07878</t>
  </si>
  <si>
    <t>290</t>
  </si>
  <si>
    <t>Foodville - The Authentic Indian Kitchen</t>
  </si>
  <si>
    <t>foodville-the-authentic-indian-kitchen</t>
  </si>
  <si>
    <t>https://www.facebook.com/foodvillecatering/</t>
  </si>
  <si>
    <t>Quick Bites like burgers, tacos Beverages</t>
  </si>
  <si>
    <t>098991 70034</t>
  </si>
  <si>
    <t>Niranjan Pooja Caterers &amp; Events</t>
  </si>
  <si>
    <t>niranjan-pooja-caterers-events</t>
  </si>
  <si>
    <t>Niranjan Pooja Caterers &amp; Events is a team that works enthusiastically to deliver food in a way that delights the eyes and is palatable to the tongue! Niranjan Pooja Caterers &amp; Events is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t>
  </si>
  <si>
    <t>https://www.facebook.com/NiranjanPoojaCaterersEvents/</t>
  </si>
  <si>
    <t>291</t>
  </si>
  <si>
    <t>https://www.facebook.com/groups/199945990364320/posts/2722292161463011/</t>
  </si>
  <si>
    <t>097161 00519</t>
  </si>
  <si>
    <t>0120 384 3127</t>
  </si>
  <si>
    <t>Purpleberry Catering</t>
  </si>
  <si>
    <t>purpleberry-catering</t>
  </si>
  <si>
    <t>PurpleBerry Catering is a Gourmet catering services based in Delhi NCR marked by sensational food, creative ideas and professional staff cued for tastefully unique events. Whatever the venue is, they have a menu to match your style. Their inspiring catering set-ups and displays are sure to be the centrepiece of any event. Lavish buffet spreads, live cooking stations, specialised culinary concepts to global gastronomic fare, their winning team of chefs, servers and managers will add distinct notes of spectacular flavours to your special day. The food is prepared under extremely hygienic conditions and is as pure as home-made.</t>
  </si>
  <si>
    <t>https://www.instagram.com/purpleberry_pb/?hl=en</t>
  </si>
  <si>
    <t>292</t>
  </si>
  <si>
    <r>
      <rPr>
        <color rgb="FF1155CC"/>
        <u/>
      </rPr>
      <t>098103 50067</t>
    </r>
  </si>
  <si>
    <t>https://www.facebook.com/artofmasala/</t>
  </si>
  <si>
    <t>098738 33007</t>
  </si>
  <si>
    <t>PurpleBerry Catering is a Gourmet catering services based in Delhi NCR marked by sensational food creative ideas and professional staff cued for tastefully unique events. Whatever the venue is
they have a menu to match your style. Their inspiring catering set-ups and displays are sure to be the centrepiece of any event. Lavish buffet spreads
live cooking stations
specialised culinary concepts to global gastronomic fare
their winning team of chefs
servers and managers will add distinct notes of spectacular flavours to your special day. The food is prepared under extremely hygienic conditions and is as pure as home-made.</t>
  </si>
  <si>
    <t>294</t>
  </si>
  <si>
    <t>Murari Kushwaha Caterers</t>
  </si>
  <si>
    <t>murari-kushwaha-caterers</t>
  </si>
  <si>
    <t>https://www.facebook.com/100068513259397/photos/</t>
  </si>
  <si>
    <t>Casper Hospitality</t>
  </si>
  <si>
    <t>casper-hospitality</t>
  </si>
  <si>
    <t>Casper Hospitality is a catering company serving all over Delhi. He started catering for wedding and other events. With countless clients, ranging from public to private companies, Casper Hospitality gained a reputation for elegant presentations and impressive services. Be assured of the fact that the food is prepared &amp; served under hygienic conditions and all rates are inclusive of top-class service, crockery &amp; cutlery. Cuisines offered: North Indian Chinese Desserts</t>
  </si>
  <si>
    <t>https://casperhospitality.com/</t>
  </si>
  <si>
    <t>098110 74761</t>
  </si>
  <si>
    <t>+1 310-694-3553</t>
  </si>
  <si>
    <t>295</t>
  </si>
  <si>
    <t>SRS Caterers and Decorators</t>
  </si>
  <si>
    <t>srs-caterers-and-decorators</t>
  </si>
  <si>
    <t>https://www.northerncuisineuiuc.com/</t>
  </si>
  <si>
    <r>
      <rPr>
        <rFont val="Calibri"/>
        <color rgb="FF1155CC"/>
        <u/>
      </rPr>
      <t>17-607-1299</t>
    </r>
  </si>
  <si>
    <t>296</t>
  </si>
  <si>
    <t>https://www.siyaevent.com/contact.html</t>
  </si>
  <si>
    <t>297</t>
  </si>
  <si>
    <t>97-1111-4258</t>
  </si>
  <si>
    <t>Get best quote from Wok in the Clouds and book your date! Send enquiry to your selected list of Wedding Venues at WedMeGood and choose the best. Browse for more Wedding Venues in West Delhi, Delhi NCR and more wedding vendors in Delhi NCR at WedMeGood and plan your wedding hassle free.</t>
  </si>
  <si>
    <t>So Sushi</t>
  </si>
  <si>
    <t>so-sushi</t>
  </si>
  <si>
    <t>So Sushi is a catering company serving all over Delhi. He started catering for wedding and other events. With countless clients, ranging from public to private companies, So Sushi gained a reputation for elegant presentations and impressive services. Be assured of the fact that the food is prepared &amp; served under hygienic conditions and all rates are inclusive of top-class service, crockery &amp; cutlery. Cuisines offered: Chinese Japanese</t>
  </si>
  <si>
    <t>298</t>
  </si>
  <si>
    <t>Pink Shark Catering</t>
  </si>
  <si>
    <t>https://www.instagram.com/sosushi.in/?hl=en</t>
  </si>
  <si>
    <t>pink-shark-catering</t>
  </si>
  <si>
    <t>https://www.facebook.com/pinksharkmarketing/photos/</t>
  </si>
  <si>
    <t>97170 18937</t>
  </si>
  <si>
    <t>098918 52004</t>
  </si>
  <si>
    <t>Murari kushwaha Caterers are a team that works enthusiastically to deliver food in a way that delights the eyes and is palatable to the tongue! Murari kushwaha Caterers are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t>
  </si>
  <si>
    <t>https://www.facebook.com/profile.php?id=100068513259397&amp;sk=about&amp;locale=sq_AL</t>
  </si>
  <si>
    <t>https://www.facebook.com/groups/1466548386962150/posts/1788760651407587/</t>
  </si>
  <si>
    <t>98110 74761</t>
  </si>
  <si>
    <t>North Indian Cuisine Authentic Bengali Cuisines South Indian Cuisine
Rajputana Cuisine Magahi Delicacies Traditional and International Desserts
Cold and Hot Drinks Any Custom Cuisines if required can also be prepared. Utensils and Cooking Equipment Cooks and catering assistants Basic set-up for the serving area Cost of the raw material being used</t>
  </si>
  <si>
    <t>Tikki'n More</t>
  </si>
  <si>
    <t>tikki-n-more</t>
  </si>
  <si>
    <t>Food adds to the delight of weddings. Tikki'n More is a wedding catering company for chaat and snacks, based in Delhi NCR that adds to the delight of weddings. They are well known for their catering and hospitality services at genuine prices for more than a year. Flavors &amp; Frills ensures the availability of delicious food under health standards. They qualify to maintain optimum sanitation and well-etiquette staff of caterers. It is a good option to hire in the budget with variety and class standards. Cuisines Offered: Fruit Chaat Indian Continental Snacks Chinese Snacks</t>
  </si>
  <si>
    <t>https://www.facebook.com/FOODIEADDICTED/posts/north-indian-food-at-south-india-finally/1186012583347587/</t>
  </si>
  <si>
    <t>Kashyap Caterers</t>
  </si>
  <si>
    <t>kashyap-caterers</t>
  </si>
  <si>
    <t>Kashyap Caterers is a full-service wedding catering company based in Delhi. They strive to provide their clients with high-quality food, excellent customer service, and a distinctive dining experience. Their experienced chefs add a special touch to every meal they prepare and are always willing to tailor their menus to meet their client’s needs. The company is well-known for providing best-in-class service and creating unforgettable event experiences. They take pride in creating a customized catering menu that caters to the tastes of their clients, utilizing only the freshest ingredients available. Whether a small intimate gathering or a large elaborate event, Kashyap Caterers promises to take the worry away from planning and execute flawless service. With over 20 years of experience in the catering industry, they are sure to make any event both special and memorable.</t>
  </si>
  <si>
    <t>https://kashyapcatering.com/</t>
  </si>
  <si>
    <t>301</t>
  </si>
  <si>
    <t>98731 68565</t>
  </si>
  <si>
    <t>302</t>
  </si>
  <si>
    <t>Arora Food Caterers</t>
  </si>
  <si>
    <t>arora-food-caterers</t>
  </si>
  <si>
    <t>081308 19047</t>
  </si>
  <si>
    <t>Dhamaal Gully</t>
  </si>
  <si>
    <t>dhamaal-gully</t>
  </si>
  <si>
    <t>Dhamaal Gully is a Delhi based catering company. It was started by Manisha. He started catering for wedding and other events. With countless clients, ranging from public to private companies, Dhamaal Gully gained a reputation for elegant presentations and impressive services. Be assured of the fact that the food is prepared &amp; served under hygienic conditions and all rates are inclusive of top-class service, crockery &amp; cutlery. Cuisines offered: North Indian Chinese Italian Desserts Maharashtrian</t>
  </si>
  <si>
    <t>https://www.facebook.com/dhamaalgully/</t>
  </si>
  <si>
    <t>303</t>
  </si>
  <si>
    <t>093129 37457</t>
  </si>
  <si>
    <t>https://www.facebook.com/beliramdegchiwalaindia/</t>
  </si>
  <si>
    <t>099587 09996</t>
  </si>
  <si>
    <t>Sri Ji Caters is a catering company serving all over Ghaziabad. He started catering for wedding and other events. With countless clients, ranging from public to private companies, Sri ji caters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</si>
  <si>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077019 20282</t>
  </si>
  <si>
    <t>306</t>
  </si>
  <si>
    <t>https://www.facebook.com/TheDhanMillDelhi/videos/an-evening-to-remember-at-the-dhan-mill-the-courtyard-is-officially-open-a-desti/3909504772517329/</t>
  </si>
  <si>
    <t>099716 88994</t>
  </si>
  <si>
    <t>307</t>
  </si>
  <si>
    <t>Aman Caterers &amp; Decorations</t>
  </si>
  <si>
    <t>aman-caterers-decorations</t>
  </si>
  <si>
    <t>https://www.facebook.com/amancateringservice/</t>
  </si>
  <si>
    <t>076680 15317</t>
  </si>
  <si>
    <t>Raas Catering</t>
  </si>
  <si>
    <t>raas-catering</t>
  </si>
  <si>
    <t>Raas Catering is a catering business in Delhi NCR. Raas Catering are skilled and experienced wedding caterers. Whether your wedding ceremony is modest or huge, with lots of space inside and out, Raas Catering will work with you to produce a meal that meets your needs.</t>
  </si>
  <si>
    <t>https://raascatering.com/</t>
  </si>
  <si>
    <t>GTB Nagar, Delhi NCR</t>
  </si>
  <si>
    <t>GTB Nagar</t>
  </si>
  <si>
    <t>Raas Catering is a catering business in Delhi NCR. Raas Catering are skilled and experienced wedding caterers. Whether your wedding ceremony is modest or huge with lots of space inside and out
Raas Catering will work with you to produce a meal that meets your needs.</t>
  </si>
  <si>
    <t>308</t>
  </si>
  <si>
    <t>Shivam's Catering</t>
  </si>
  <si>
    <t>shivam-s-catering</t>
  </si>
  <si>
    <t>https://www.facebook.com/people/Shivam-Event-Management-Catering-services/100083172078751/?locale=lv_LV#</t>
  </si>
  <si>
    <t>Foodvaille Catering</t>
  </si>
  <si>
    <t>foodvaille-catering</t>
  </si>
  <si>
    <t>Foodville - The Authentic Indian Kitchen is a Delhi NCR based catering company serving all over Delhi NCR. He started catering for wedding and other events. With countless clients, ranging from public to private companies. Foodville gained a reputation for elegant presentations and impressive services. Be assured of the fact that the food is prepared &amp; served under hygienic conditions and all rates are inclusive of top-class service, crockery &amp; cutlery. Cuisines offered: North Indian South Indian Chinese Japanese Italian Desserts Bengali Gujarati Rajasthani</t>
  </si>
  <si>
    <t>095828 77051</t>
  </si>
  <si>
    <t>Khatirdari Catering Service is a catering company serving all over Delhi. They started catering for wedding and other events. With countless clients, ranging from public to private companies, Khatirdari Catering Service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</si>
  <si>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https://www.facebook.com/KhatirdariCateringService/?locale=is_IS&amp;_rdr</t>
  </si>
  <si>
    <t>309</t>
  </si>
  <si>
    <t>076784 70781</t>
  </si>
  <si>
    <t>Culinary Affaire</t>
  </si>
  <si>
    <t>culinary-affaire</t>
  </si>
  <si>
    <t>Culinary Affaire is a catering company serving all over Gurgaon. He started catering for wedding and other events. With countless clients, ranging from public to private companies, Culinary Affaires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</si>
  <si>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https://www.instagram.com/culinaryaffaire/?hl=en</t>
  </si>
  <si>
    <t>349</t>
  </si>
  <si>
    <t>310</t>
  </si>
  <si>
    <t>Woodwill Cafe is a catering company serving all over Noida. He started catering for wedding and other events. With countless clients, ranging from public to private companies, Woodwill Cafe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t>
  </si>
  <si>
    <t>https://www.facebook.com/cafewoodwill/</t>
  </si>
  <si>
    <t>098995 55578</t>
  </si>
  <si>
    <t>Cuisine Art Concepts and Events</t>
  </si>
  <si>
    <t>cuisine-art-concepts-and-events</t>
  </si>
  <si>
    <t>Cuisine Art Concepts and Events is a Delhi based catering company. It was started by Krishan Bhardwaj. He started catering for wedding and other events. With countless clients, ranging from public to private companies, Cuisine Art Concepts and Events gained a reputation for elegant presentations and impressive services. Be assured of the fact that the food is prepared &amp; served under hygienic conditions and all rates are inclusive of top-class service, crockery &amp; cutlery. Cuisines offered: North Indian South Indian Chinese Japanese Italian Greek Lebanese Thai Desserts Bengali Gujarati Rajasthani Goan</t>
  </si>
  <si>
    <t>https://www.facebook.com/eventscuisine/</t>
  </si>
  <si>
    <t>311</t>
  </si>
  <si>
    <t>Chaat Paradise</t>
  </si>
  <si>
    <t>chaat-paradise</t>
  </si>
  <si>
    <t>Chaat Paradise is a Delhi NCR based catering company. It was started by Tushar. He started catering for weddings and other events. With countless clients, ranging from public to private companies, Chaat Paradise gained a reputation for elegant presentations and impressive services. Be assured of the fact that the food is prepared &amp; served under hygienic conditions and all rates are inclusive of top-class service, crockery &amp; cutlery. Cuisines offered: Lebanese Thai Desserts Bengali Gujarati Rajasthani Goan Maharashtrian North Indian South Indian Chinese Italian</t>
  </si>
  <si>
    <t>http://chaatparadisehouse.in/</t>
  </si>
  <si>
    <t>099533 36601</t>
  </si>
  <si>
    <t>097111 19491</t>
  </si>
  <si>
    <t>The Chaat Affair</t>
  </si>
  <si>
    <t>the-chaat-affair</t>
  </si>
  <si>
    <t>The Chaat Affair is a catering company serving all over Delhi. He started catering for wedding and other events. With countless clients, ranging from public to private companies, The Chaat Affair gained a reputation for elegant presentations and impressive services. Be assured of the fact that the food is prepared &amp; served under hygienic conditions and all rates are inclusive of top-class service, crockery &amp; cutlery. Cuisines offered: Chaat &amp; Street Food</t>
  </si>
  <si>
    <t>https://www.instagram.com/thechaataffair/?hl=en</t>
  </si>
  <si>
    <t>312</t>
  </si>
  <si>
    <t>https://www.facebook.com/khansaamacaters/</t>
  </si>
  <si>
    <t>Blue Ginger Catering Concepts</t>
  </si>
  <si>
    <t>blue-ginger-catering-concepts</t>
  </si>
  <si>
    <t>093694 74435</t>
  </si>
  <si>
    <t>Imperial Flavours</t>
  </si>
  <si>
    <t>imperial-flavours</t>
  </si>
  <si>
    <t>Managed by hospitality professionals who have extensive experience in delivering quality services across continents, Imperial Flavours is a vibrant offering in Delhi's catering and bespoke hospitality scene. The company offers the highest level of guest satisfaction and value to their esteemed clients. They are capable of undertaking turn-key catering projects and consultancy services for weddings, diplomatic missions, home based functions, corporate events and international conferences. In addition, the group has its very own hospitality venue, a popular fast food chain and a hotel in Delhi. They have 3 acres of land around their base kitchen where there produce their own organic fresh vegetables and herbs. They have been associated with WedMeGood for almost 2 years and provide catering for a minimum of 50 people.</t>
  </si>
  <si>
    <t>North and South Indian</t>
  </si>
  <si>
    <t>313</t>
  </si>
  <si>
    <t>Golden Cirlcle</t>
  </si>
  <si>
    <t>golden-cirlcle</t>
  </si>
  <si>
    <t>At Golden Circle, Delhi NCR based team is committed in ensuring that your event meets refined quality services and unparalleled attention. They intend to achieve the best possible occasion for you and your guests. Their customers are free to choose a simple pre-packaged catering menu or create their own desired menu from their list of suggestions or sample menus. They can also accommodate a wide array of other choices for your stress free event planning. They enjoy helping you come up with an event that reflects your unique style fulfilling your versatile requirements. Your event is all about celebrations between you, your close friends, relatives and dear ones, and that does mean that you would really like to treat them in a special way. At Golden Circle, they just do that. They turn your event into an amazing celebration, just as you desire. Your event décor and menu design is the first and foremost impression of your celebrations. While basics do make up the event, they transform the essential details into unforgettable elements of your event.</t>
  </si>
  <si>
    <t>https://www.instagram.com/gourmerservices/?hl=en</t>
  </si>
  <si>
    <t>All type of catering services</t>
  </si>
  <si>
    <t>314</t>
  </si>
  <si>
    <t>zayka Caterers</t>
  </si>
  <si>
    <t>https://www.artcraft.co.in/?srsltid=AfmBOooDPmM-617URKIXp05mN7Q_tY6avycVO_DhE6I_Np1WpUwEjn3Z</t>
  </si>
  <si>
    <t>https://www.facebook.com/zaykacaters/</t>
  </si>
  <si>
    <t>96700 53776</t>
  </si>
  <si>
    <t>1450</t>
  </si>
  <si>
    <t>317</t>
  </si>
  <si>
    <t>https://www.facebook.com/a3acaterers/</t>
  </si>
  <si>
    <t>093111 97376</t>
  </si>
  <si>
    <t>318</t>
  </si>
  <si>
    <t>LSS Caterers</t>
  </si>
  <si>
    <t>lss-caterers</t>
  </si>
  <si>
    <t>LSS Caterers, based in Rohini, Delhi NCR, is a renowned catering company that serves throughout the region. With an extensive background in catering for various events, they have earned a reputation for their elegant presentations and exceptional services. When you choose LSS Caterers for your wedding or special occasion, you can rest assured that they prioritize hygiene, quality, and impeccable service. Their packages include top-class crockery and cutlery, making your dining experience truly special.</t>
  </si>
  <si>
    <t>https://www.instagram.com/lsscaterers/?hl=en</t>
  </si>
  <si>
    <t>319</t>
  </si>
  <si>
    <t>Welcome Caterers</t>
  </si>
  <si>
    <t>welcome-caterers</t>
  </si>
  <si>
    <t>https://www.facebook.com/p/Welcome-Caterers-100068299807355/</t>
  </si>
  <si>
    <t>098185 66359</t>
  </si>
  <si>
    <t>Kandpal Caterers and Decorators is a catering company serving all over Delhi. He started catering for wedding and other events. With countless clients, ranging from public to private companies, Kandpal Caterers and Decorators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</si>
  <si>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320</t>
  </si>
  <si>
    <t>Goluji Foods</t>
  </si>
  <si>
    <t>goluji-foods</t>
  </si>
  <si>
    <t>https://www.facebook.com/Golujifoods/</t>
  </si>
  <si>
    <t>096505 90590</t>
  </si>
  <si>
    <t>321</t>
  </si>
  <si>
    <t>Silver Spoons Catering</t>
  </si>
  <si>
    <t>silver-spoons-catering</t>
  </si>
  <si>
    <t>http://mscaterers.co.in/</t>
  </si>
  <si>
    <t>Based in Delhi, Silver Spoons Catering is a team of caterers. Offering variety of cuisines, they also specialise in preparing customized food menus, exquisite desserts that will keep your guests wanting for more. Been associated with Wedmegood for 3 years now, Silver Spoons Catering is a great option for your wedding.</t>
  </si>
  <si>
    <t>092121 37193</t>
  </si>
  <si>
    <t>https://silverspoons.co.in/</t>
  </si>
  <si>
    <t>099999 48344</t>
  </si>
  <si>
    <t>SRS Caterers and Decorators is a Delhi based catering company. It was started by Krishna He started catering for wedding and other events. With countless clients, ranging from public to private companies, SRS Caterers and Decorators gained a reputation for elegant presentations and impressive services. Be assured of the fact that the food is prepared &amp; served under hygienic conditions and all rates are inclusive of top-class service, crockery &amp; cutlery. Cuisines offered: North Indian South Indian Chinese Italian Desserts Italian Rajasthani Maharashtrian Gujarati Bengali</t>
  </si>
  <si>
    <t>323</t>
  </si>
  <si>
    <t>https://www.facebook.com/Tawa-Tadka-116353630211454/</t>
  </si>
  <si>
    <t>Delicious Pakwaan is a Delhi NCR based catering company. It was started by Sunil. He started catering for wedding and other events. With countless clients, ranging from public to private companies, Delicious Pakwaan gained a reputation for elegant presentations and impressive services. Be assured of the fact that the food is prepared &amp; served under hygienic conditions and all rates are inclusive of top-class service, crockery &amp; cutlery. Cuisines offered: North Indian South Indian Chinese Italian Desserts Italian Rajasthani Maharashtrian</t>
  </si>
  <si>
    <t>https://www.deliciouspakwan.com/</t>
  </si>
  <si>
    <t>98684 24296</t>
  </si>
  <si>
    <t>324</t>
  </si>
  <si>
    <t>https://www.facebook.com/Aggarwalcaterers1/</t>
  </si>
  <si>
    <t>Chef N Crew - The Catering Company</t>
  </si>
  <si>
    <t>chef-n-crew-the-catering-company</t>
  </si>
  <si>
    <t>A catering brand that arranges a delightful setup to serve and serves food that is delectable to one's taste, that's what Chef N Crew - The Catering Company goes for. The team is based out of Patel Nagar in New Delhi. The brand was begun by and is led by the very experienced Chef Puneet Narang, who is a passionate and enthusiastic chef who built this company to fulfill his passion in the field. Be sure to give them the privilege of catering for your auspicious occasion if you have a good feeling about them! Cuisines Offered: Continental South Indian North Indian Oriental Mediterranean</t>
  </si>
  <si>
    <t>https://www.facebook.com/chefncrew.co/</t>
  </si>
  <si>
    <t>99531 14492</t>
  </si>
  <si>
    <t>088009 34550</t>
  </si>
  <si>
    <t>Aggarwal Catering N Events is a Ghaziabad-based wedding catering company that caters to all special occasions from intimate gatherings to large weddings. With an emphasis on fresh ingredients and distinctively flavorful creations they offer a wealth of diverse cuisines to fulfill any desire. They also offer a full selection of starters accompaniments and spices. With their knowledgeable and accommodating personnel
they make sure that every event is an unforgettable success. With so many services to choose from
you can trust that Aggarwal Catering N Events will provide the perfect catering solution for your special event. Their highly-trained and experienced staff will collaborate with you in order to make sure that your special day goes smoothly. From customized menus to beverages no detail is overlooked in order to make sure that your wedding is a celebration to remember.</t>
  </si>
  <si>
    <t>Gelato Vinto</t>
  </si>
  <si>
    <t>gelato-vinto</t>
  </si>
  <si>
    <t>https://www.facebook.com/gelatovinto/</t>
  </si>
  <si>
    <t>325</t>
  </si>
  <si>
    <t>79827 79508</t>
  </si>
  <si>
    <t>Vastavika Caterers</t>
  </si>
  <si>
    <t>vastavika-caterers</t>
  </si>
  <si>
    <t>Vastavika Caterers in Delhi is the preferred caterer for special events and occasions like weddings. Dedicated to excellence and perfection they offer premium catering services to provide the most memorable experience. Their team of experienced chefs, waiters, and other staff ensure that everything is done to the highest standards. Vastavika Caterers take care of every aspect of a wedding catering. The food is prepared from the highest quality ingredients and the menu choices are inspired by different cuisines. At Vastavika Caterers, clients are welcome to customize the menu and discuss their requirements. They also offer full service for events like corporate functions, birthdays, reunion and other special occasions. They also provide budget friendly packages to fit any size and budget. Whether it is a small intimate event or a grand wedding, Vastavika Caterers ensures that all guests are pleased. The mission of the company is to make each occasion extraordinary and special and they strive to exceed expectations in every way. With Vastavika Caterers the joy of any special event is not only complete but also tastes perfect.</t>
  </si>
  <si>
    <t>https://www.instagram.com/vastavikacaterers/</t>
  </si>
  <si>
    <t>326</t>
  </si>
  <si>
    <t>https://www.facebook.com/Thegourmetstories/</t>
  </si>
  <si>
    <t>HRRB Caterers</t>
  </si>
  <si>
    <t>hrrb-caterers</t>
  </si>
  <si>
    <t>HRRB Caterers is a Delhi NCR based catering company. HRRB Caterers started catering for wedding and other events. With countless clients, ranging from public to private companies, HRRB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Italian Thai Desserts Italian Labanese</t>
  </si>
  <si>
    <t>https://www.instagram.com/hrrbcaterers/</t>
  </si>
  <si>
    <t>063632 03988</t>
  </si>
  <si>
    <t>329</t>
  </si>
  <si>
    <t>https://purplecuisine.in/</t>
  </si>
  <si>
    <t>097737 00836</t>
  </si>
  <si>
    <t>https://www.gdfoodsindia.com/</t>
  </si>
  <si>
    <t>330</t>
  </si>
  <si>
    <t>Aaglobe Services Pvt.Ltd.</t>
  </si>
  <si>
    <t>aaglobe-services-pvt-ltd</t>
  </si>
  <si>
    <t>Aaglobe Services Pvt.Ltd. is a catering company serving all over Delhi NCR. They started catering for wedding and other events. With countless clients, ranging from public to private companies, Aaglobe Services Pvt.Ltd. gained a reputation for elegant presentations and impressive services. Be assured of the fact that the food is prepared &amp; served under hygienic conditions and all rates are inclusive of top-class service, crockery &amp; cutlery. Cuisines offered: North Indian South Indian Chinese Japanese Italian Desserts Bengali Gujarati Rajasthani Goan Maharashtrian</t>
  </si>
  <si>
    <t>http://aaglobe.com/</t>
  </si>
  <si>
    <t>011 4677 8888</t>
  </si>
  <si>
    <t>Zayka Caterers</t>
  </si>
  <si>
    <t>zayka-caterers</t>
  </si>
  <si>
    <t>Based in Delhi, Zayka Caterers is an excellent catering service. Be it any occasion, from any corporate event to cocktail dinners, they offer the best quality food. Reasonably priced, their outstanding catering and hospitality have won them huge appeciation from their clients. They create an exquisite range of menus for your occasion and specialize in offering a diverse range of cuisines.</t>
  </si>
  <si>
    <t>https://caterersdelhi.in/</t>
  </si>
  <si>
    <t>91-9811616461</t>
  </si>
  <si>
    <t>331</t>
  </si>
  <si>
    <t>Diamond Caterers</t>
  </si>
  <si>
    <t>diamond-caterers</t>
  </si>
  <si>
    <t>A Delhi-based business called Diamond Caterers gives heavenly food and first rate benefits for a scope of occasions and extraordinary events. You can look over a wide determination of tasty foods there and let Diamond Caterers do something amazing in the wake of making your choices as per your inclinations. Regardless of how huge or how minimal the wedding, Diamond Caterers will make a universe of flavors and scents without forfeiting assortment or quality. Food is one of the most expected parts of any social event, and tasting something lovely, remarkable, and flavorful is an opportunity to enjoy. For considerably more noteworthy flawlessness at your wedding, Diamond Caterers offers various foods and tasty desserts. The menu can be changed to mirror your qualities, tastes, and the event, and Diamond Caterers can raise your occasion to a higher degree of culinary dream.</t>
  </si>
  <si>
    <t>http://diamondcaterers.net/</t>
  </si>
  <si>
    <t>098200 29577</t>
  </si>
  <si>
    <t>North Indian Pastries</t>
  </si>
  <si>
    <t>332</t>
  </si>
  <si>
    <t>Kelsey Pakwan</t>
  </si>
  <si>
    <t>kelsey-pakwan</t>
  </si>
  <si>
    <t>Kelsey Pakwan is a Delhi based catering company. It was started by Manjit. He started catering for wedding and other events. With countless clients, ranging from public to private companies, Kelsey Pakwan gained a reputation for elegant presentations and impressive services. Be assured of the fact that the food is prepared &amp; served under hygienic conditions and all rates are inclusive of top-class service, crockery &amp; cutlery. Cuisines offered: North Indian South Indian Chinese Bengali</t>
  </si>
  <si>
    <t>http://eatntreat.blogspot.com/</t>
  </si>
  <si>
    <t>098996 86763</t>
  </si>
  <si>
    <t>Cuisines and Concepts</t>
  </si>
  <si>
    <t>cuisines-and-concepts</t>
  </si>
  <si>
    <t>North Indian And More: Additionally, they provide an extensive range of cuisines, including Japanese, Italian, Lebanese, Thai, Gujarati, Rajasthani, Goan, Maharashtrian, Greek, and more.</t>
  </si>
  <si>
    <t>333</t>
  </si>
  <si>
    <t>J.B. Caterers &amp; Decorators</t>
  </si>
  <si>
    <t>j-b-caterers-decorators</t>
  </si>
  <si>
    <t>J.B. Caterers &amp; Decorators is a Delhi NCR based catering company. It was started by Amrish Saxena. He started catering for wedding and other events. With countless clients, ranging from public to private companies, J.B. Caterers &amp; Decorators gained a reputation for elegant presentations and impressive services. Be assured of the fact that the food is prepared &amp; served under hygienic conditions and all rates are inclusive of top-class service, crockery &amp; cutlery. Cuisines offered: North Indian South Indian Chinese Japanese Thai Desserts Bengali Gujarati Rajasthani</t>
  </si>
  <si>
    <t>House of Rakabdar is a catering company serving all over Gurgaon. He started catering for wedding and other events. With countless clients, ranging from public to private companies, House of Rakabdar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</si>
  <si>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https://www.instagram.com/house_of_rakabdar/</t>
  </si>
  <si>
    <t>334</t>
  </si>
  <si>
    <t>https://www.instagram.com/ahmedmughlai/</t>
  </si>
  <si>
    <t>085869 17125</t>
  </si>
  <si>
    <t>Aman Caterers &amp; Decorations is a wedding design and decoration company based in Delhi NCR offering their services since 2015. Services Offered: Wedding Decorations Floral Decorations</t>
  </si>
  <si>
    <t>https://www.instagram.com/chatpaticravings.in/</t>
  </si>
  <si>
    <t>335</t>
  </si>
  <si>
    <t>https://www.facebook.com/bong.caterer/</t>
  </si>
  <si>
    <t>095992 18021</t>
  </si>
  <si>
    <t>https://ramkrishnatenthouse.in/</t>
  </si>
  <si>
    <t>089295 51204</t>
  </si>
  <si>
    <t>336</t>
  </si>
  <si>
    <t>https://lajwaabcaterers.in/</t>
  </si>
  <si>
    <t>337</t>
  </si>
  <si>
    <t>jw-kitchens</t>
  </si>
  <si>
    <t>For over 25 years, Lajawab Caterers has been a distinguished name in the catering industry, setting the gold standard for fine dining and exceptional service across the Indian subcontinent. Based in the capital and well-established as a leader in the field, they have had the honor of working with numerous high-profile clients, earning their trust and accolades through their unwavering commitment to quality, innovation, and excellence.</t>
  </si>
  <si>
    <t>https://www.instagram.com/thelajawaab/</t>
  </si>
  <si>
    <t>90455 84861</t>
  </si>
  <si>
    <t>NH8, Delhi NCR</t>
  </si>
  <si>
    <t>Bholajee Caterers</t>
  </si>
  <si>
    <t>bholajee-caterers</t>
  </si>
  <si>
    <t>Bholajee Caterers are a team that works enthusiastically to deliver food in a way that delights the eyes and is palatable to the tongue! Bholajee Caterers are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t>
  </si>
  <si>
    <t>338</t>
  </si>
  <si>
    <t>https://www.facebook.com/bholacaterers2019/</t>
  </si>
  <si>
    <t>https://www.facebook.com/Creativefoodcateringandevents/</t>
  </si>
  <si>
    <t>011 2046 5946</t>
  </si>
  <si>
    <t>097175 98825</t>
  </si>
  <si>
    <t>098376 04347</t>
  </si>
  <si>
    <t>340</t>
  </si>
  <si>
    <t>011 4346 6886</t>
  </si>
  <si>
    <t>The Events Gear</t>
  </si>
  <si>
    <t>the-events-gear</t>
  </si>
  <si>
    <t>https://www.instagram.com/eventsgear/</t>
  </si>
  <si>
    <t>341</t>
  </si>
  <si>
    <t>Atharv Caterers &amp; Decorator</t>
  </si>
  <si>
    <t>atharv-caterers-decorator</t>
  </si>
  <si>
    <t>Atharv Caterers &amp; Decorator is the go-to wedding catering company in Delhi whose commitment to outstanding service and quality menu items sets it apart. The company boasts of some of the most talented professional chefs in the industry working together with wedding planners and decorators to make a couple’s dream wedding come to life. With a team of wedding planners guaranteeing flawless execution on the special day, the company ensures that the decor matched the couple’s vision and the catering service married superior quality and exceptional hospitality. This uncompromising blend of culinary excellence and aesthetic design is what a couple can look forward to at Atharv Caterers &amp; Decorator. Their team of knowledgeable wedding planners and designers can manage every aspect of a couple’s wedding ranging from catering to decorations, ensuring a hassle-free and wonderful experience that they can remember for a lifetime.</t>
  </si>
  <si>
    <t>https://www.facebook.com/AtharvCaterer/</t>
  </si>
  <si>
    <t>https://www.kentscaterers.com/</t>
  </si>
  <si>
    <t>099106 12115</t>
  </si>
  <si>
    <t>Gupta Jee Catering</t>
  </si>
  <si>
    <t>gupta-jee-catering</t>
  </si>
  <si>
    <t>Gupta Jee Catering is a catering company serving all over Delhi. He started catering for wedding and other events. With countless clients, ranging from public to private companies, Gupta Jee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</si>
  <si>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https://www.facebook.com/guptajeecaterers/</t>
  </si>
  <si>
    <t>342</t>
  </si>
  <si>
    <t>081307 59925</t>
  </si>
  <si>
    <t>Kalkaji, Delhi NCR</t>
  </si>
  <si>
    <t>Kalkaji</t>
  </si>
  <si>
    <t>098100 96224</t>
  </si>
  <si>
    <t>Chawla Caterer &amp; Decoraters is a team that works enthusiastically to deliver food in a way that delights the eyes and is palatable to the tongue! Chawla Caterer &amp; Decoraters is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t>
  </si>
  <si>
    <t>https://www.facebook.com/www.chawlacaterers.co.in/</t>
  </si>
  <si>
    <t>098102 62807</t>
  </si>
  <si>
    <t>343</t>
  </si>
  <si>
    <t>Gillies Catering Services</t>
  </si>
  <si>
    <t>gillies-catering-services</t>
  </si>
  <si>
    <t>https://www.facebook.com/people/Gillies-Catering-Services/100063988001169/#</t>
  </si>
  <si>
    <t>Suvidha Caterers Tent and Decorators - Caterers</t>
  </si>
  <si>
    <t>suvidha-caterers-tent-and-decorators-caterers</t>
  </si>
  <si>
    <t>Suvidha Caterers Tent and Decorators is a catering company serving all over Delhi NCR. He started catering for wedding and other events. With countless clients, ranging from public to private companies, Suvidha Caterers Tent and Decorators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</si>
  <si>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https://www.facebook.com/SuvidhaCaterersTentAndDecorators/</t>
  </si>
  <si>
    <t>099583 99990</t>
  </si>
  <si>
    <t>099105 62275</t>
  </si>
  <si>
    <t>https://www.facebook.com/thechefsstorybyakriti/</t>
  </si>
  <si>
    <t>344</t>
  </si>
  <si>
    <t>Incredible Catering Services</t>
  </si>
  <si>
    <t>incredible-catering-services</t>
  </si>
  <si>
    <t>Incredible Catering Services are a team that works enthusiastically to deliver food in a way that delights the eyes and is palatable to the tongue! Incredible Catering Services are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t>
  </si>
  <si>
    <t>099716 84191</t>
  </si>
  <si>
    <t>http://www.incrediblecateringservices.com/</t>
  </si>
  <si>
    <t>098114 04745</t>
  </si>
  <si>
    <t>The Grand Caterers</t>
  </si>
  <si>
    <t>the-grand-caterers</t>
  </si>
  <si>
    <t>The Grand Caterers is a Delhi based catering company. She started catering for wedding and other events. With countless clients, ranging from public to private companies,The Grand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Italian Desserts Italian Rajasthani Gujarati Bengali</t>
  </si>
  <si>
    <t>https://www.facebook.com/thegrandcaterers/</t>
  </si>
  <si>
    <t>82851 11561</t>
  </si>
  <si>
    <t>345</t>
  </si>
  <si>
    <t>https://www.facebook.com/people/Lala-Ram-Tent-House-Event-Caterers/61590637377013/#</t>
  </si>
  <si>
    <t>Seigneur Worldwide Entertainment</t>
  </si>
  <si>
    <t>seigneur-worldwide-entertainment</t>
  </si>
  <si>
    <t>Seigneur Worldwide Entertainment is a catering company serving all over Delhi. He started catering for wedding and other events. With countless clients, ranging from public to private companies, Seigneur Worldwide Entertainment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t>
  </si>
  <si>
    <t>https://www.facebook.com/groups/733300653941914/</t>
  </si>
  <si>
    <t>098181 21054</t>
  </si>
  <si>
    <t>346</t>
  </si>
  <si>
    <t>https://www.facebook.com/incrediblecateringservices/</t>
  </si>
  <si>
    <t>Geera Gourmet Treats</t>
  </si>
  <si>
    <t>geera-gourmet-treats</t>
  </si>
  <si>
    <t>https://www.facebook.com/GeeRaGourmetTreats/</t>
  </si>
  <si>
    <t>093553 46767</t>
  </si>
  <si>
    <t>1779</t>
  </si>
  <si>
    <t>Creative Food Catering is a catering company serving all over Gurgaon. He started catering for wedding and other events. With countless clients, ranging from public to private companies, Creative Food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t>
  </si>
  <si>
    <t>https://www.instagram.com/concurocateringservices/</t>
  </si>
  <si>
    <t>347</t>
  </si>
  <si>
    <t>Bs Hospitality</t>
  </si>
  <si>
    <t>bs-hospitality</t>
  </si>
  <si>
    <t>Bs Hospitality is a catering company serving all over Delhi. He started catering for wedding and other events. With countless clients, ranging from public to private companies, Bs Hospitality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</si>
  <si>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348</t>
  </si>
  <si>
    <t>https://www.facebook.com/cuisineocaterer/posts/1670839631715182/</t>
  </si>
  <si>
    <t>https://www.facebook.com/thegoldencirclebrewery/</t>
  </si>
  <si>
    <t>092126 26474</t>
  </si>
  <si>
    <t>https://www.facebook.com/urbansweetsandbakers/</t>
  </si>
  <si>
    <t>The Sharp Knife is a catering company serving all over Noida. The Sharp Knife started catering for wedding and other events. With countless clients, ranging from public to private companies, The Sharp Knife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</si>
  <si>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Global Cuisines by Skyline Hospitality</t>
  </si>
  <si>
    <t>global-cuisines-by-skyline-hospitality</t>
  </si>
  <si>
    <t>070808 88875</t>
  </si>
  <si>
    <t>Based in Delhi, Gobal Cuisines by Skyline Hospitality is an excellent catering service serving the different needs of their clients. Be it any occasion, from any social or coporate event to cocktail dinners, they offer the best food. Reasonably priced, their superior catering services have earned them huge accolades from their clients. With their expert team of chefs, they are capable of creating an outstanding range of menus for turning your occasion into a mega event. They specialize in offering a diverse range of services, including menu planning, food preparation, food servicing and more. Their tailor-made menu feature nutritious recipes that are freshly made and elegantly catered to ensure maximum clients satisfaction.</t>
  </si>
  <si>
    <t>Saubhagyam Caterers</t>
  </si>
  <si>
    <t>saubhagyam-caterers</t>
  </si>
  <si>
    <t>Saubhagyam Caterers is a catering company serving all over Ghaziabad. He started catering for wedding and other events. With countless clients, ranging from public to private companies, Saubhagyam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t>
  </si>
  <si>
    <t>https://www.instagram.com/saubhagya_caterers/?hl=en</t>
  </si>
  <si>
    <r>
      <rPr>
        <color rgb="FF1155CC"/>
        <u/>
      </rPr>
      <t>087458 38446</t>
    </r>
  </si>
  <si>
    <t>https://innovatedhospitalityservices.com/</t>
  </si>
  <si>
    <t>353</t>
  </si>
  <si>
    <t>Ahmed Mughlai Caterers</t>
  </si>
  <si>
    <t>ahmed-mughlai-caterers</t>
  </si>
  <si>
    <t>Ahmed Mughlai Caterers is a catering company serving all over Delhi. Ahmed Mughlai started catering for wedding and other events. With countless clients, ranging from public to private companies, Ahmed Mughlai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</si>
  <si>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r>
      <rPr>
        <color rgb="FF1155CC"/>
        <u/>
      </rPr>
      <t>98715 23339</t>
    </r>
  </si>
  <si>
    <t>354</t>
  </si>
  <si>
    <t>099962 11777</t>
  </si>
  <si>
    <t>Dream Caterers</t>
  </si>
  <si>
    <t>dream-caterers</t>
  </si>
  <si>
    <t>https://www.instagram.com/dream_caterers_zahid/?hl=en</t>
  </si>
  <si>
    <t>355</t>
  </si>
  <si>
    <t>Flavour Hub</t>
  </si>
  <si>
    <t>flavour-hub</t>
  </si>
  <si>
    <t>Flavor Hub is an extremely popular food truck in Gurgaon bringing quality gourmet food to the masses at affordable prices. Living by their name, they offer flavorsome, simple and indulgent food. Having been associated with WedMeGood for 2 years, they are known to serve the most lip smacking food prepared with utmost hygiene and perfection.</t>
  </si>
  <si>
    <t>https://www.facebook.com/p/Flavour-Hub-61571554619311/</t>
  </si>
  <si>
    <t>https://www.instagram.com/aggarwaldelhitentcaterer/</t>
  </si>
  <si>
    <t>Aggarwal Catering N Events is a Ghaziabad-based wedding catering company that caters to all special occasions from intimate gatherings to large weddings. With an emphasis on fresh ingredients and distinctively flavorful creations
they offer a wealth of diverse cuisines to fulfill any desire. They also offer a full selection of starters
accompaniments
and spices. With their knowledgeable and accommodating personnel
they make sure that every event is an unforgettable success. With so many services to choose from
you can trust that Aggarwal Catering N Events will provide the perfect catering solution for your special event. Their highly-trained and experienced staff will collaborate with you in order to make sure that your special day goes smoothly. From customized menus to beverages
no detail is overlooked in order to make sure that your wedding is a celebration to remember.</t>
  </si>
  <si>
    <t>356</t>
  </si>
  <si>
    <t>https://www.facebook.com/p/Parampara-catering-100054437442044/</t>
  </si>
  <si>
    <t>https://www.instagram.com/gopalcook_and_catering_service/?hl=en</t>
  </si>
  <si>
    <t>083758 88835</t>
  </si>
  <si>
    <t>The Halwais</t>
  </si>
  <si>
    <t>the-halwais</t>
  </si>
  <si>
    <t>The Halwais is a catering company based in Shahdara, Delhi NCR, that has been making the wedding celebrations of their clients even more flavorful with their premium catering services. They have been in the business since 2001 and have been making the big day of couples even more special for over two decades with their high-quality and delicious dishes. They take great pride in the taste they offer and prepare everything with utmost detail and hygiene, making sure to offer the best service possible.</t>
  </si>
  <si>
    <t>https://www.instagram.com/thehalwaicompany/</t>
  </si>
  <si>
    <t>357</t>
  </si>
  <si>
    <t>Maa Caterers</t>
  </si>
  <si>
    <t>maa-caterers</t>
  </si>
  <si>
    <t>https://www.facebook.com/maacaterersanddecorators/</t>
  </si>
  <si>
    <r>
      <rPr>
        <color rgb="FF1155CC"/>
        <u/>
      </rPr>
      <t>089262 62675</t>
    </r>
  </si>
  <si>
    <t>99581 24501</t>
  </si>
  <si>
    <t>Toshani Food And Decoration</t>
  </si>
  <si>
    <t>toshani-food-and-decoration</t>
  </si>
  <si>
    <t>Toshani Food And Decoration is a Noida based catering company. He started catering for wedding and other events. With countless clients, ranging from public to private companies, Toshani Food And Decoration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Italian</t>
  </si>
  <si>
    <t>358</t>
  </si>
  <si>
    <t>489</t>
  </si>
  <si>
    <t>589</t>
  </si>
  <si>
    <t>Guru Kripa Catereres</t>
  </si>
  <si>
    <t>guru-kripa-catereres</t>
  </si>
  <si>
    <t>https://www.facebook.com/hellofoodiess/</t>
  </si>
  <si>
    <t>099170 09555</t>
  </si>
  <si>
    <t>Najafgarh, Delhi NCR</t>
  </si>
  <si>
    <t>Najafgarh</t>
  </si>
  <si>
    <t>359</t>
  </si>
  <si>
    <t>SpiceeGarden</t>
  </si>
  <si>
    <t>spiceegarden</t>
  </si>
  <si>
    <t>https://www.facebook.com/spicegardenModinagar/</t>
  </si>
  <si>
    <t>https://www.instagram.com/sdsinghfoodcompany/</t>
  </si>
  <si>
    <t>078330 40404</t>
  </si>
  <si>
    <t>680</t>
  </si>
  <si>
    <t>Global Desi Catering &amp; Events</t>
  </si>
  <si>
    <t>global-desi-catering-events</t>
  </si>
  <si>
    <t>https://www.facebook.com/globaldesicatering/</t>
  </si>
  <si>
    <t>099998 88561</t>
  </si>
  <si>
    <t>360</t>
  </si>
  <si>
    <t>Rajmeet Caterers</t>
  </si>
  <si>
    <t>rajmeet-caterers</t>
  </si>
  <si>
    <t>https://www.facebook.com/rajcateringservices/</t>
  </si>
  <si>
    <t>97573 43443</t>
  </si>
  <si>
    <t>Turkish Scoops</t>
  </si>
  <si>
    <t>turkish-scoops</t>
  </si>
  <si>
    <t>Turkish Scoops is a Vasant Kunj, Delhi NCR-based catering company that specializes in exquisite Turkish ice-cream and desserts. It is a Delhi-based company that has been in business since 2008 and caters to all of your wedding functions. Their desserts are distinctive in that they are soft and fluffy, crisp and juicy. As a result, if you're seeking for a firm that provides delectable and diverse sweets, your search ends with Turkish Scoops. They have successfully created and delivered high-quality products for a wide range of activities, including pre-wedding, wedding, and post-wedding ceremonies.</t>
  </si>
  <si>
    <t>https://www.instagram.com/turkishscoopsindia/</t>
  </si>
  <si>
    <t>361</t>
  </si>
  <si>
    <t>Divine Tadka</t>
  </si>
  <si>
    <t>divine-tadka</t>
  </si>
  <si>
    <t>https://www.facebook.com/divinetadka/</t>
  </si>
  <si>
    <t>Lajwaab Culinary Art</t>
  </si>
  <si>
    <t>lajwaab-culinary-art</t>
  </si>
  <si>
    <t>Lajwaab Culinary Art is catering services company specialising in wedding catering. They are based in Preet Vihar, New Delhi. They have become a well-known name in the hospitality industry. While quality is their trademark, excellence in service and experience that is invaluable is what holds them apart from others. The believe that the once in a lifetime wedding party deserves an individual magic touch, which they offer with excellence and love. Their expert catering consultant works closely with their clients in planning the special event, handling all the details to ensure that they will be in the ideal setting for the wedding.</t>
  </si>
  <si>
    <t>https://www.lajwaab.com/</t>
  </si>
  <si>
    <t>: 093100 05492</t>
  </si>
  <si>
    <t>Lajwaab Culinary Art is catering services company specialising in wedding catering. They are based in Preet Vihar New Delhi. They have become a well-known name in the hospitality industry. While quality is their trademark
excellence in service and experience that is invaluable is what holds them apart from others. The believe that the once in a lifetime wedding party deserves an individual magic touch
which they offer with excellence and love. Their expert catering consultant works closely with their clients in planning the special event
handling all the details to ensure that they will be in the ideal setting for the wedding.</t>
  </si>
  <si>
    <t>363</t>
  </si>
  <si>
    <t>Farro Experiences</t>
  </si>
  <si>
    <t>farro-experiences</t>
  </si>
  <si>
    <t>Farro Experiences is a catering company serving all over Delhi NCR. He started catering for wedding and other events. With countless clients, ranging from public to private companies, Farro Experiences gained a reputation for elegant presentations and impressive services. Be assured of the fact that the food is prepared &amp; served under hygienic conditions and all rates are inclusive of top-class service, crockery &amp; cutlery. Cuisines offered: North Indian</t>
  </si>
  <si>
    <t>https://www.instagram.com/farroexperiences/?hl=en</t>
  </si>
  <si>
    <t>364</t>
  </si>
  <si>
    <t>Royal Jain Caterers</t>
  </si>
  <si>
    <r>
      <rPr>
        <color rgb="FF1155CC"/>
        <u/>
      </rPr>
      <t>96500 64343</t>
    </r>
  </si>
  <si>
    <t>royal-jain-caterers</t>
  </si>
  <si>
    <t>https://www.instagram.com/motimahaldeluxdelhi/?hl=en</t>
  </si>
  <si>
    <t>99992 93856</t>
  </si>
  <si>
    <t>SRS Fruit Mart</t>
  </si>
  <si>
    <t>srs-fruit-mart</t>
  </si>
  <si>
    <t>https://www.srsequipments.com/</t>
  </si>
  <si>
    <t>1499</t>
  </si>
  <si>
    <t>1799</t>
  </si>
  <si>
    <t>366</t>
  </si>
  <si>
    <t>https://www.facebook.com/cuisinesandconcepts/</t>
  </si>
  <si>
    <t>https://www.facebook.com/p/Mangalam-Caterers-100065017383811/</t>
  </si>
  <si>
    <r>
      <rPr>
        <color rgb="FF1155CC"/>
        <u/>
      </rPr>
      <t>98711 96926</t>
    </r>
  </si>
  <si>
    <t>Kent Caterers</t>
  </si>
  <si>
    <t>kent-caterers</t>
  </si>
  <si>
    <t>Kent Caterers is a Delhi NCR based catering company. It was started by Pankaj Walia. He started catering for wedding and other events. With countless clients, ranging from public to private companies, Kent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Italian Thai Desserts Bengali Gujarati Rajasthani</t>
  </si>
  <si>
    <t>https://www.instagram.com/kentscaterer_s/</t>
  </si>
  <si>
    <t>Jail Road, Delhi NCR</t>
  </si>
  <si>
    <t>Jail Road</t>
  </si>
  <si>
    <t>Turbanators Kitchen</t>
  </si>
  <si>
    <t>turbanators-kitchen</t>
  </si>
  <si>
    <t>Wedding is incomplete without any entertainment segment. One who is professional and knows how to execute your wedding without any glitches. So, here we have one of the best entertainers in the industry who you can book for your wedding and sit back relaxed because you can trust them to take care of the entertainment segment without a hitch. Contact Pankaj Kapoor to know more about the services offered for your wedding. Events covered: Wedding Private Party Pre-Wedding (Roka) Sagan Private Party Bachelor Party</t>
  </si>
  <si>
    <t xml:space="preserve">Bartender, other bar services </t>
  </si>
  <si>
    <t>2850</t>
  </si>
  <si>
    <t>3250</t>
  </si>
  <si>
    <t>Harisons.Caterers</t>
  </si>
  <si>
    <t>367</t>
  </si>
  <si>
    <t>Anand Chat Chopal</t>
  </si>
  <si>
    <t>anand-chat-chopal</t>
  </si>
  <si>
    <t>https://www.facebook.com/anandchaatchopal/</t>
  </si>
  <si>
    <t>The Desi Brunch Co</t>
  </si>
  <si>
    <t>the-desi-brunch-co</t>
  </si>
  <si>
    <t>In the heart of Delhi, there is a reputable catering company called The Desi Brunch Co. The most important element of a wedding reception is delicious food, which turns the wedding into a success. So, if you're looking for a wedding catering service that will give you an incredible culinary experience, look no further than them. With superbly crafted menus and exquisitely styled food presentations, they strive to reach the heights of good cuisine. The welcoming and knowledgeable staff at The Desi Brunch Co offers excellent services and a wide selection of cuisines to transform your wedding ceremony into something wonderful and unforgettable.</t>
  </si>
  <si>
    <t>https://www.instagram.com/thedesibrunchco/</t>
  </si>
  <si>
    <r>
      <rPr>
        <color rgb="FF1155CC"/>
        <u/>
      </rPr>
      <t>078408 14819</t>
    </r>
  </si>
  <si>
    <t>368</t>
  </si>
  <si>
    <t>https://www.tentandcaterers.link/</t>
  </si>
  <si>
    <t>New Friends Colony, Delhi NCR</t>
  </si>
  <si>
    <t>New Friends Colony</t>
  </si>
  <si>
    <t>369</t>
  </si>
  <si>
    <t>https://www.instagram.com/thebadnaamadda/?hl=en</t>
  </si>
  <si>
    <t>RM Caterers</t>
  </si>
  <si>
    <t>rm-caterers</t>
  </si>
  <si>
    <t>RM Caterers are a team that works enthusiastically to deliver food in a way that delights the eyes and is palatable to the tongue! RM Caterers are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t>
  </si>
  <si>
    <t>https://www.shreerkcaterers.com/</t>
  </si>
  <si>
    <r>
      <rPr>
        <color rgb="FF1155CC"/>
        <u/>
      </rPr>
      <t>88007 79056</t>
    </r>
  </si>
  <si>
    <t>098390 07524</t>
  </si>
  <si>
    <t>Gillies Catering Services are a team that works enthusiastically to deliver food in a way that delights the eyes and is palatable to the tongue! Gillies Catering Services are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t>
  </si>
  <si>
    <t>http://facebook.com/profile.php?id=100063988001169#</t>
  </si>
  <si>
    <t>Joshi Wedding Planners</t>
  </si>
  <si>
    <t>joshi-wedding-planners</t>
  </si>
  <si>
    <t>Joshi Events is a wedding planner based out of Mathura They started the business in 2014 and since then have been helping couples plan their big day with aplomb, from coordination, to ideation as well as execution . They provide a whole array of services which include both planning and decor , While they have their own internal decor unit, couples can also choose to bring onboard external decorators while they take care of the planning aspects of the wedding. Joshi Events is a destination wedding specialist, and is an expert at planning weddings in cities such as Bharatpur, Jaipur, Delhi, Gujarat, Raipur, Agra, coordinating between the couples base city and the wedding venue to ensure a seamless and beautiful wedding experience.</t>
  </si>
  <si>
    <t>https://www.joshieventz.online/</t>
  </si>
  <si>
    <t>092867 67201</t>
  </si>
  <si>
    <t>372</t>
  </si>
  <si>
    <t>Deepsons Caterers</t>
  </si>
  <si>
    <t>deepsons-caterers</t>
  </si>
  <si>
    <t>Deepsons Caterers is a team that works enthusiastically to deliver food in a way that delights the eyes and is palatable to the tongue! Deepsons Caterers is based in the city of Delhi NCR.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Desserts Bengali Gujarati Rajasthani Goan Maharashtrian</t>
  </si>
  <si>
    <t>https://www.facebook.com/100054216861414/about/?_rdr</t>
  </si>
  <si>
    <r>
      <rPr>
        <color rgb="FF1155CC"/>
        <u/>
      </rPr>
      <t>99901 66008</t>
    </r>
  </si>
  <si>
    <t>098104 26026</t>
  </si>
  <si>
    <t>https://www.facebook.com/p/Maggo-caterers-100063707364260/</t>
  </si>
  <si>
    <t>095601 38105</t>
  </si>
  <si>
    <t>The Biryani Co.</t>
  </si>
  <si>
    <t>the-biryani-co</t>
  </si>
  <si>
    <t>Based in Delhi, The Biryani Co. is a catering company specialising in Hyderabadi cuisine. Their team of qualified chefs are known for their food quality and tastes. Offering dishes at reasonable prices, they aim to satisfy their clients to give them an experience of lifetime.</t>
  </si>
  <si>
    <t>https://www.facebook.com/thebiryanico/</t>
  </si>
  <si>
    <t>374</t>
  </si>
  <si>
    <t>https://www.facebook.com/RadheCatering/</t>
  </si>
  <si>
    <t>088824 79264</t>
  </si>
  <si>
    <t>94279 37482</t>
  </si>
  <si>
    <t>Victoria Star</t>
  </si>
  <si>
    <t>victoria-star</t>
  </si>
  <si>
    <t>Victoria Star is a catering company serving all over Delhi. He started catering for wedding and other events. With countless clients, ranging from public to private companies, Victoria Star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t>
  </si>
  <si>
    <t>375</t>
  </si>
  <si>
    <t>https://www.facebook.com/profile.php?id=100064653284133&amp;locale=ku_TR#</t>
  </si>
  <si>
    <t>https://www.facebook.com/dgrhospitalityservices/</t>
  </si>
  <si>
    <t>099537 45711</t>
  </si>
  <si>
    <t>98921 27999</t>
  </si>
  <si>
    <t>1199</t>
  </si>
  <si>
    <t>Asian Haus</t>
  </si>
  <si>
    <t>asian-haus</t>
  </si>
  <si>
    <t>Based in Delhi, Asian Haus (A Foodcraft Venture) is the answer to all your private &amp; corporate catering needs. Food is something one cannot compromise on their wedding functions, as food is remembered by all for quite long. A good catering at your wedding function will make your function stand out and a day to remember for both you and your guests. As a full scale wedding catering company, their catering is dedicated to producing an event that reflects the individual tastes and preferences of each and every client. Their wedding catering service includes innovative presentation, outstanding customer service and personalized menus for each of their distinctive customers. Each dish is prepared under the guidance of top trained chefs. Whether your style preference is classic, traditional or trend setting, they create an event for you and your guests that offer a standard of excellence and is truly a memorable occasion. Asian Haus is a premium caterer for weddings, parties and events. By orienting the best of resources with dedication and commitment towards catering services, they have set their own standards in the hospitality and service industry They specialise in all kinds of cuisines and promise quality food, adding a delicious touch to your wedding day. They cater to Asian, Chinese and traditional cuisines which are authentic. Rooted in the tradition and good-will, they stand out for their quality and hygiene and cater to delectable food. Their diverse work force have decades of experience in the cooking and service sector, and their professional approach drives their business. They value what is important for the client and act on a fever pitch to fulfill their expectations. Book them now for your wedding catering also for any pre wedding functions as they make for a perfect choice.</t>
  </si>
  <si>
    <t>https://www.instagram.com/asianhaus/?hl=en</t>
  </si>
  <si>
    <t>376</t>
  </si>
  <si>
    <t>https://www.facebook.com/caterersinbareilly/</t>
  </si>
  <si>
    <t>Based in Delhi Asian Haus (A Foodcraft Venture) is the answer to all your private &amp; corporate catering needs. Food is something one cannot compromise on their wedding functions as food is remembered by all for quite long. A good catering at your wedding function will make your function stand out and a day to remember for both you and your guests. As a full scale wedding catering company their catering is dedicated to producing an event that reflects the individual tastes and preferences of each and every client. Their wedding catering service includes innovative presentation outstanding customer service and personalized menus for each of their distinctive customers. Each dish is prepared under the guidance of top trained chefs. Whether your style preference is classic
traditional or trend setting they create an event for you and your guests that offer a standard of excellence and is truly a memorable occasion. Asian Haus is a premium caterer for weddings parties and events. By orienting the best of resources with dedication and commitment towards catering services they have set their own standards in the hospitality and service industry They specialise in all kinds of cuisines and promise quality food
adding a delicious touch to your wedding day. They cater to Asian
Chinese and traditional cuisines which are authentic. Rooted in the tradition and good-will
they stand out for their quality and hygiene and cater to delectable food. Their diverse work force have decades of experience in the cooking and service sector
and their professional approach drives their business. They value what is important for the client and act on a fever pitch to fulfill their expectations. Book them now for your wedding catering also for any pre wedding functions as they make for a perfect choice.</t>
  </si>
  <si>
    <t>UMA Caterers &amp; Decorators</t>
  </si>
  <si>
    <t>uma-caterers-decorators</t>
  </si>
  <si>
    <t>UMA Caterers &amp; Decorators is a wedding decor company based in Lajpat Nagar, Delhi providing wedding designing, decor and floral arrangement services for wedding and other events. Founded by Neeraj,Uma Decorator have been creating various themes and designing decor for weddings since 2014 About the team UMA Caterers &amp; Decorators They started doing wedding decor professionally in 2014 and have been creating various themes and designing decor elements for weddings for over many years, delighting one family at a time. They are known for Luxury Decor on a Budget Services provided by UMA Caterers &amp; Decorators They provide a customized decor package for weddings, engagement, reception and other functions and provide services including:Flowers, Audio Visuals, Decorative Draping, Event concept &amp; Design, Lighting, Furniture Rental, Sounds, Mandap, Car Decoration, Fireworks, Tents, Home Decoration, Centerpiece, Table Decoration, Venue Entrances. Uma Decorator also provides home decor services as well as decor for smaller functions. Specialization: If you are planning a theme decor for your wedding, UMA Caterers &amp; Decorators can be an ideal choice for you as they have managed to do decorations with various new age and interesting themes including Local Weddings Destination weddings covered: The team is adept at managing wedding decor outside of Delhias well and has created many memorable events for destination weddings in Jaipur, Gurgaon, Rishikesh and more</t>
  </si>
  <si>
    <t>https://www.instagram.com/umacaterers_gurgaon/</t>
  </si>
  <si>
    <r>
      <rPr>
        <color rgb="FF1155CC"/>
        <u/>
      </rPr>
      <t>075036 24017</t>
    </r>
  </si>
  <si>
    <t>377</t>
  </si>
  <si>
    <t>Shree Sai Caterers</t>
  </si>
  <si>
    <t>shree-sai-caterers</t>
  </si>
  <si>
    <t>https://www.facebook.com/ShriSaiCaterersDecorators/</t>
  </si>
  <si>
    <t>098995 47771</t>
  </si>
  <si>
    <t>https://www.motimahal.in/</t>
  </si>
  <si>
    <t>378</t>
  </si>
  <si>
    <t>Delhi-based Turbanators Kitchen is a business renowned for its cost-effective and superior catering services. It provides a wide range of services and custom menus with a variety of cuisines to create an enticing atmosphere. Turbanators Kitchen, a well-liked option for many events and parties, has always created its services and offerings based on client needs. They have a team that is always ready to handle the client's event as if it were their own and ensure that everything runs smoothly and elegantly.</t>
  </si>
  <si>
    <t>https://www.facebook.com/p/The-Turban-Kitchen-100064041611962/</t>
  </si>
  <si>
    <t>Tasty Paan Weddings</t>
  </si>
  <si>
    <t>tasty-paan-weddings</t>
  </si>
  <si>
    <t>Tasty Paan Weddings is a catering company serving all over Delhi NCR. He started catering for wedding and other events. With countless clients, ranging from public to private companies, Tasty Paan Weddings gained a reputation for elegant presentations and impressive services. Be assured of the fact that the food is prepared &amp; served under hygienic conditions and all rates are inclusive of top-class service, crockery &amp; cutlery. Cuisines offered: Paan</t>
  </si>
  <si>
    <t>https://www.instagram.com/thepaancompanyofficial/?hl=en</t>
  </si>
  <si>
    <t>95493-88111</t>
  </si>
  <si>
    <t>Himalaya Caterers</t>
  </si>
  <si>
    <t>himalaya-caterers</t>
  </si>
  <si>
    <t>Himalayan Caterers is a catering company serving all over Mohali . He started catering for wedding and other events. With countless clients, ranging from public to private companies, Himalayan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t>
  </si>
  <si>
    <t>Bartender, other bar services Bartender, other bar services</t>
  </si>
  <si>
    <t>https://www.instagram.com/himalaya__caterers/</t>
  </si>
  <si>
    <r>
      <rPr>
        <color rgb="FF1155CC"/>
        <u/>
      </rPr>
      <t>098718 35052</t>
    </r>
  </si>
  <si>
    <t>379</t>
  </si>
  <si>
    <t>Chilli and Cha Food &amp; Caterers</t>
  </si>
  <si>
    <t>chilli-and-cha-food-caterers</t>
  </si>
  <si>
    <t>Chilli And Cha Food &amp; Caterers is a catering company serving all over Delhi NCR. He started catering for wedding and other events. With countless clients, ranging from public to private companies, Chilli And Cha Food &amp;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</si>
  <si>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380</t>
  </si>
  <si>
    <t>Perfection Creators is a creative wedding planning company based in Delhi, established in 2018. Since then, they have been expertly assisting couples in planning their special day, by handling every little detail.</t>
  </si>
  <si>
    <t>http://www.perfectionsglass.com/</t>
  </si>
  <si>
    <t>082850 82221</t>
  </si>
  <si>
    <t>Beyond Cuisine is a Delhi based catering company. It was started by Namit. He started catering for wedding and other events. With countless clients, ranging from public to private companies, Beyond Cuisine gained a reputation for elegant presentations and impressive services. Be assured of the fact that the food is prepared &amp; served under hygienic conditions and all rates are inclusive of top-class service, crockery &amp; cutlery. Cuisines offered: North Indian South Indian Chinese Italian Desserts Rajasthani Maharashtrian Gujarati</t>
  </si>
  <si>
    <t>https://www.instagram.com/cuisinesandbeyond_india/</t>
  </si>
  <si>
    <r>
      <rPr>
        <color rgb="FF1155CC"/>
        <u/>
      </rPr>
      <t>076781 87043</t>
    </r>
  </si>
  <si>
    <t>381</t>
  </si>
  <si>
    <t>https://www.facebook.com/PadmavathiRavi76/</t>
  </si>
  <si>
    <t>099007 82351</t>
  </si>
  <si>
    <t>https://www.instagram.com/thechaatwalk/?hl=en</t>
  </si>
  <si>
    <r>
      <rPr>
        <color rgb="FF1155CC"/>
        <u/>
      </rPr>
      <t>099539 56543</t>
    </r>
  </si>
  <si>
    <t>382</t>
  </si>
  <si>
    <r>
      <rPr>
        <color rgb="FF1155CC"/>
        <u/>
      </rPr>
      <t>98110 57356</t>
    </r>
  </si>
  <si>
    <t>https://www.instagram.com/boostancatering.co/</t>
  </si>
  <si>
    <t>383</t>
  </si>
  <si>
    <t>https://www.facebook.com/SSCaterersJammu/</t>
  </si>
  <si>
    <t>70063 26448</t>
  </si>
  <si>
    <t>Sandeep Singh Madhok is a Delhi NCR based catering company. It was started by Sandeep Singh Madhok. He started catering for wedding and other events. With countless clients, ranging from public to private companies, Sandeep Singh Madhok gained a reputation for elegant presentations and impressive services. Be assured of the fact that the food is prepared &amp; served under hygienic conditions and all rates are inclusive of top-class service, crockery &amp; cutlery. Cuisines offered: North Indian South Indian Chinese Italian Thai Desserts Bengali Gujarati Rajasthani Maharashtrian</t>
  </si>
  <si>
    <t>384</t>
  </si>
  <si>
    <t>https://www.facebook.com/Catererseliite/</t>
  </si>
  <si>
    <t>Diamond Tent and Decorators</t>
  </si>
  <si>
    <t>diamond-tent-and-decorators</t>
  </si>
  <si>
    <t>Diamond Tent and Decorators, based in New Delhi, Delhi NCR, is a prominent name in the wedding decor industry. Founded by Puneet in 2000, they have been transforming wedding venues with their creative themes and elegant designs for over two decades. Known for their exceptional talent and professionalism, they have established a strong reputation for delivering stunning wedding decor.</t>
  </si>
  <si>
    <t>99171 64746</t>
  </si>
  <si>
    <t>Welcomhotel By ITC Hotels, Dwarka, New Delhi</t>
  </si>
  <si>
    <t>welcomhotel-by-itc-hotels-dwarka-new-delhi</t>
  </si>
  <si>
    <t>WelcomHotel Dwarka New Delhi has a very convenient location in Asia’s largest sub-city, Dwarka. It offers a perfect blend of services that are of International standards and with contemporary design, promising an extraordinary experience for your wedding celebrations.</t>
  </si>
  <si>
    <t>https://www.instagram.com/welcomhotel.newdelhi_dwarka/?hl=en</t>
  </si>
  <si>
    <t>385</t>
  </si>
  <si>
    <t xml:space="preserve">Standard Package includes 03 Veg + 03 Non- Veg, Soup - 01 Veg + 01 Non- Veg, Salads - 04, Main Course 05 Veg + 02 Non-Veg, Rice - 01, Curd - 01, Assorted Indian Breads, Desserts - 04. Indian cuisine        </t>
  </si>
  <si>
    <t>Standard Package includes 03 Veg + 03 Non- Veg, Soup - 01 Veg + 01 Non- Veg, Salads - 04, Main Course 05 Veg + 02 Non-Veg, Rice - 01, Curd - 01, Assorted Indian Breads, Desserts - 04.</t>
  </si>
  <si>
    <t>387</t>
  </si>
  <si>
    <t>Knight Gourmet</t>
  </si>
  <si>
    <t>Mughalnama</t>
  </si>
  <si>
    <t>knight-gourmet</t>
  </si>
  <si>
    <t>mughalnama</t>
  </si>
  <si>
    <t>Their venues Viceroy ,Gateway and Warren are all very well interconnected and offer space of over 18000 sq feet, perfect to accommodate all your wedding guests. The hotel has an expansive pool and lush lawns that are magical and perfect open spaces for all of your fun events.</t>
  </si>
  <si>
    <t>https://www.facebook.com/Knightgourmet/</t>
  </si>
  <si>
    <t>https://www.facebook.com/MughalnamaCatering/</t>
  </si>
  <si>
    <t>098715 42532</t>
  </si>
  <si>
    <t>081782 83739</t>
  </si>
  <si>
    <t>LemonGrass</t>
  </si>
  <si>
    <t>lemongrass</t>
  </si>
  <si>
    <t>The hotel perfectly showcases the warmth and character of the capital.</t>
  </si>
  <si>
    <t>388</t>
  </si>
  <si>
    <t>LemonGrass is a wedding catering service. They provide complete hospitality solutions by setting new benchmarks through an effective and efficient catering with each event. This amazingly talented and efficient wedding catering company’s success lies in offering scrumptious food items and the pairing of discipline and passion of making people happy through food.</t>
  </si>
  <si>
    <t>A One Catering</t>
  </si>
  <si>
    <t>a-one-catering</t>
  </si>
  <si>
    <t>In Delhi, there is a company called A One Catering that offers catering services. You can choose from delicious foods that have a unique twist. Your quest is over if you're seeking for someone who can provide cuisine for every age group. They guarantee excellence till the final visitor is served thanks to years of experience in offering fresh meals and top-notch services. Your stomach and the soul will both be satisfied by the delectable cuisine prepared by their clever and professional chefs, using the best ingredients, under the most hygienic conditions, and presented in a beautiful way. A One Catering ensures that neither taste nor health are compromised by using both current technology and ancient knowledge. They take pride in the fact that the juices are not only the healthiest drinks you can enjoy, but also the tastiest! They first get to know you well enough to understand your preferences and what you might want to be served, and they build their menu and produce it to the highest standards in accordance.</t>
  </si>
  <si>
    <t>https://www.instagram.com/aone_caterers_/?hl=en</t>
  </si>
  <si>
    <t>389</t>
  </si>
  <si>
    <t>AM 2 AM Caterers</t>
  </si>
  <si>
    <t>am-2-am-caterers</t>
  </si>
  <si>
    <t>https://hi-in.facebook.com/sambandhplanner</t>
  </si>
  <si>
    <t>AM 2 AM Catererss is a catering company serving all over Delhi Ncr. He started catering for wedding and other events. With countless clients, ranging from public to private companies, AM 2 AM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</si>
  <si>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https://www.instagram.com/am2am_caterer/</t>
  </si>
  <si>
    <t>078286 60888</t>
  </si>
  <si>
    <t>7 Spices</t>
  </si>
  <si>
    <t>7-spices</t>
  </si>
  <si>
    <t>The cuisines from 7 Spices in Delhi NCR are characterized by their authenticity and taste. Recipes passed down from generations to freshly curated ones, each dish is full of bold and bursting flavors. Their culinary style combines international and traditional Indian cuisine and prepares each dish using the highest quality products with elegant presentation.</t>
  </si>
  <si>
    <t>https://www.facebook.com/7spices.in/</t>
  </si>
  <si>
    <t>098187 05788</t>
  </si>
  <si>
    <t>390</t>
  </si>
  <si>
    <t>Adarsh Caterer And Sweets</t>
  </si>
  <si>
    <t>adarsh-caterer-and-sweets</t>
  </si>
  <si>
    <t>https://www.facebook.com/AdarshCaterer/</t>
  </si>
  <si>
    <t>North Indian Regional Indian Delicacies
Oriental//Thai</t>
  </si>
  <si>
    <t>United Chaat House</t>
  </si>
  <si>
    <t>united-chaat-house</t>
  </si>
  <si>
    <t>098110 41347</t>
  </si>
  <si>
    <t>Situated in Delhi ncr, United Chaat House offers culinary administrations for weddings. There are numerous exercises that occur at a luxurious wedding festivity, yet the lip-smacking, all-regular food that captures everyone's attention at each wedding occasion is one that hoists the display of the service. In the event that you are coordinating such a get-together and looking for a top notch cook, United Chaat House can help you in effectively and mindfully exploiting first class benefits. They are your all inclusive resource for all wedding-related requests and choices, and they put areas of strength for an on conveying client fulfillment effortlessly. The nature of the food during your wedding is vital. The main consider a capability's prosperity is great cooking. What's more, United Chaat House is the best decision for you in the event that you're looking for a meet your caterer needs. This business offers all that you might actually need for a decent wedding cooking arrangement.</t>
  </si>
  <si>
    <t>https://www.facebook.com/unitedchaathouse/</t>
  </si>
  <si>
    <t>093119 92568</t>
  </si>
  <si>
    <t>391</t>
  </si>
  <si>
    <t>https://www.facebook.com/people/Himalaya-Caterers/100068848069653/#</t>
  </si>
  <si>
    <t>https://www.instagram.com/velvetvapourhookah/</t>
  </si>
  <si>
    <t>093118 45052</t>
  </si>
  <si>
    <t>392</t>
  </si>
  <si>
    <t>https://www.instagram.com/celebrations_caterers/</t>
  </si>
  <si>
    <t>098731 17849</t>
  </si>
  <si>
    <t>Delhi Party Kitchen</t>
  </si>
  <si>
    <t>delhi-party-kitchen</t>
  </si>
  <si>
    <t>393</t>
  </si>
  <si>
    <t>Delhi Party Kitchen is a wedding catering company located in the New Delhi area. They specialize in providing comprehensive catering services for wedding events, from complete custom menus to luxurious buffet spreads. The talented chefs at Delhi Party Kitchen create delicious dishes from around the world and always keep quality and presentation in mind. From starters to mains and deserts, they have something to offer everyone. In addition to the high-quality dishes, Delhi Party Kitchen also focuses on creating an enjoyable atmosphere for wedding celebrations. Their friendly and professional staff ensures that all guests have a pleasant experience and that the couple's special day is extra special. The company prides itself in keeping up to date with the latest trends in food. Their outstanding customer service and quality of dishes make Delhi Party Kitchen a go-to destination for a delightful wedding experience. Whether it's a family-style dinner, a formal gathering, or a lunch with friends, Delhi Party Kitchen has something suitable for every type of celebration.</t>
  </si>
  <si>
    <t>https://www.instagram.com/delhi_party_kitchen/</t>
  </si>
  <si>
    <t>https://www.facebook.com/p/Silverfork-100064160014738/</t>
  </si>
  <si>
    <t>Badarpur, Delhi NCR</t>
  </si>
  <si>
    <t>Badarpur</t>
  </si>
  <si>
    <t>093101 37052</t>
  </si>
  <si>
    <t>Raghubeer Singh Caterers</t>
  </si>
  <si>
    <t>raghubeer-singh-caterers</t>
  </si>
  <si>
    <t>Raghubeer Singh Caterers, based in Delhi NCR, is a team that works enthusiastically to deliver food in a way that delights the eyes and is palatable to the tongue!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Gujarati Rajasthani</t>
  </si>
  <si>
    <t>https://www.facebook.com/ceterers/</t>
  </si>
  <si>
    <t>082853 96281</t>
  </si>
  <si>
    <t>394</t>
  </si>
  <si>
    <r>
      <rPr>
        <color rgb="FF1155CC"/>
        <u/>
      </rPr>
      <t>099901 66008</t>
    </r>
  </si>
  <si>
    <t>Bhatia Caterers</t>
  </si>
  <si>
    <t>bhatia-caterers</t>
  </si>
  <si>
    <t>Bhatia Caterers is a Delhi NCR based catering company. It was started by Prem Suresh. He started catering for wedding and other events. With countless clients, ranging from public to private companies, Bhatia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Italian Thai Desserts Bengali Gujarati Rajasthani</t>
  </si>
  <si>
    <t>https://bhatiacaterers.in/</t>
  </si>
  <si>
    <t>NDT Events</t>
  </si>
  <si>
    <t>ndt-events</t>
  </si>
  <si>
    <t>NDT Events , a complete Wedding Planner company in Delhi NCR, specializes in wedding decoration and planning. Area Covered: Delhi NCR</t>
  </si>
  <si>
    <t>https://gourmetspice.in/</t>
  </si>
  <si>
    <t>395</t>
  </si>
  <si>
    <t>087005 25901</t>
  </si>
  <si>
    <t>RR Caters</t>
  </si>
  <si>
    <t>rr-caters</t>
  </si>
  <si>
    <t>396</t>
  </si>
  <si>
    <r>
      <rPr>
        <color rgb="FF1155CC"/>
        <u/>
      </rPr>
      <t>099538 23701</t>
    </r>
  </si>
  <si>
    <t>http://g.page/maggo-caterers</t>
  </si>
  <si>
    <t>Swami Event Organiser</t>
  </si>
  <si>
    <t>swami-event-organiser</t>
  </si>
  <si>
    <t>Swami Event Organiser is a catering company serving all over Ghaziabad. He started catering for wedding and other events. With countless clients, ranging from public to private companies, Swami Event Organiser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Italian Thai</t>
  </si>
  <si>
    <t>https://www.instagram.com/swamieventmanagement/</t>
  </si>
  <si>
    <t xml:space="preserve">Madhav1 </t>
  </si>
  <si>
    <t>http://www.siyaevent.com/</t>
  </si>
  <si>
    <t>097111 14258</t>
  </si>
  <si>
    <t>Shubh Aarambh</t>
  </si>
  <si>
    <t>shubh-aarambh</t>
  </si>
  <si>
    <t>Shubh Araambh is a wedding catering service. They provide complete hospitality solutions, by setting new benchmarks through an effective and efficient catering with each event. The company, Shubh Araambh’s success lies in offering scrumptious food items and the pairing of discipline and passion of making people happy through food.</t>
  </si>
  <si>
    <t>Shubh Araambh is a wedding catering service. They provide complete hospitality solutions Shubh Araambh’s success lies in offering scrumptious food items and the pairing of discipline and passion of making people happy through food.</t>
  </si>
  <si>
    <t>North Indian Jain Catering</t>
  </si>
  <si>
    <t>401</t>
  </si>
  <si>
    <t>Adarsh Caterer And Sweets is a team that works enthusiastically to deliver food in a way that delights the eyes and is palatable to the tongue! Adarsh Caterer And Sweets is based in the city of Delhi NCR. They enjoy what they do as a team and ensure that the quality is nothing less than delightful. They work fervently for the comfort and satisfaction of the client. Be sure to give them the privilege of catering on your special day if you have a good feeling about them! They Are known for proving the Old Ghee Preparations. Cuisines Offered: North Indian South Indian Rajasthani Goan Maharashtrian Desserts</t>
  </si>
  <si>
    <t>https://www.facebook.com/p/Neelkanth-Caterers-100063819558476/</t>
  </si>
  <si>
    <t>https://www.instagram.com/adarshcaterer/</t>
  </si>
  <si>
    <t>098153 98875</t>
  </si>
  <si>
    <t>The Great Indian Chaat</t>
  </si>
  <si>
    <t>the-great-indian-chaat</t>
  </si>
  <si>
    <t>The Great Indian Chaat is a catering company serving all over Delhi. They started catering for wedding and other events. With countless clients, ranging from public to private companies, The Great Indian Chaat gained a reputation for elegant presentations and impressive services. Be assured of the fact that the food is prepared &amp; served under hygienic conditions and all rates are inclusive of top-class service, crockery &amp; cutlery. Chaats Offered: North Indian South Indian Chinese Gujarati Rajasthani Maharashtrian</t>
  </si>
  <si>
    <t>https://www.instagram.com/thegreatindianchaat/?hl=en</t>
  </si>
  <si>
    <r>
      <rPr>
        <color rgb="FF1155CC"/>
        <u/>
      </rPr>
      <t>80008 00081</t>
    </r>
  </si>
  <si>
    <t>402</t>
  </si>
  <si>
    <t>2250</t>
  </si>
  <si>
    <t>2750</t>
  </si>
  <si>
    <t>403</t>
  </si>
  <si>
    <t>Kari Catering</t>
  </si>
  <si>
    <t>kari-catering</t>
  </si>
  <si>
    <t>https://www.facebook.com/p/Kari-catering-100066627175995/</t>
  </si>
  <si>
    <t>Pink Shark Caterings is a catering company serving all over Delhi. He started catering for wedding and other events. With countless clients, ranging from public to private companies, Pink Shark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t>
  </si>
  <si>
    <t>Foodlink F&amp;B holdings India ltd.</t>
  </si>
  <si>
    <t>foodlink-f-b-holdings-india-ltd</t>
  </si>
  <si>
    <t>Foodlink F&amp;B holdings India ltd. is a catering company serving all over Delhi. He started catering for wedding and other events. With countless clients, ranging from public to private companies, Foodlink F&amp;B holdings India ltd.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t>
  </si>
  <si>
    <t>404</t>
  </si>
  <si>
    <t>https://www.instagram.com/fruit_fiesta_vadodara/</t>
  </si>
  <si>
    <t>https://www.instagram.com/theluxurycaterers/?hl=en</t>
  </si>
  <si>
    <t>99090 96655</t>
  </si>
  <si>
    <t>BAR DOCTORS</t>
  </si>
  <si>
    <t>bar-doctors</t>
  </si>
  <si>
    <t>A seller in Delhi NCR named BAR DOCTORS gives a scope of culinary administrations for your gigantic Indian wedding. Their first rate administration, cordial representatives, flawless tidiness, and delightful food are the signs of their contributions. They are arranged in the city of Delhi and can give a tasty smorgasbord to you regardless of where you are. Each of your occasions include providing food, and a wedding is no exemption. Truth be told, cooking is one of the principal parts of any festival. To make your wedding and a large number of its connected occasions the most noteworthy feasting encounters for yourself and your visitors, they value being all the supplier of incredible client administrations. To guarantee the best culinary experience for yourself and each of your visitors, they will ensure the nature of the administrations and food that will be given. BAR DOCTORS can serve an enormous number of clients without a moment's delay while ensuring that every one has the best conceivable experience.</t>
  </si>
  <si>
    <t>https://www.facebook.com/bardoctors18/</t>
  </si>
  <si>
    <t>075299 67052</t>
  </si>
  <si>
    <t>Munirka, Delhi NCR</t>
  </si>
  <si>
    <t>Munirka</t>
  </si>
  <si>
    <t>405</t>
  </si>
  <si>
    <t>KTC Events &amp; Hospitality</t>
  </si>
  <si>
    <t>ktc-events-hospitality</t>
  </si>
  <si>
    <t>KTC Events &amp; Hospitality is a catering company serving all over Delhi. He started catering for wedding and other events. With countless clients, ranging from public to private companies, KTC Events &amp; Hospitality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</si>
  <si>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https://ktcevents.co.in/</t>
  </si>
  <si>
    <t>098910 00099</t>
  </si>
  <si>
    <t>Vikaspuri, Delhi NCR</t>
  </si>
  <si>
    <t>Vikaspuri</t>
  </si>
  <si>
    <t>Cilantro Catering are a team that works enthusiastically to deliver food in a way that delights the eyes and is palatable to the tongue! Cilantro Catering are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Maharashtrian</t>
  </si>
  <si>
    <t>https://www.facebook.com/cilantrocatering/</t>
  </si>
  <si>
    <t>098110 59310</t>
  </si>
  <si>
    <t>406</t>
  </si>
  <si>
    <t>https://www.instagram.com/krishnarasoi_bly/</t>
  </si>
  <si>
    <t>GinKhao Thai</t>
  </si>
  <si>
    <t>ginkhao-thai</t>
  </si>
  <si>
    <t>GinKhao Thai Food is a catering company serving all over Delhi. He started catering for wedding and other events. With countless clients, ranging from public to private companies, GinKhao Thai Food gained a reputation for elegant presentations and impressive services. Be assured of the fact that the food is prepared &amp; served under hygienic conditions and all rates are inclusive of top-class service, crockery &amp; cutlery. Cuisines offered: Thai</t>
  </si>
  <si>
    <t>Sampoorn Caterers</t>
  </si>
  <si>
    <t>sampoorn-caterers</t>
  </si>
  <si>
    <t>In need of a caterer who can satiate the hunger pangs of your guests in the most delicious manner? Sampoorn caterers is your go-to option. The expert team promises to deliver lip-smacking food for all your special occasions. Based in Delhi, they have created a niche for themselves in the catering industry. The founder Ms. Gaytri Aima is a passionate cook who loves creating new recipes and her excellent skill has enabled Sampoorn caterers to become the popular choice of town. Ms. Gaytri Aima’s cooking adventure began as a hobby and slowly blossomed into a career choice. She along with her efficient team work with the notion of serving healthy and hygienic. With an invaluable experience the team has forged various successful relationships and has become a popular choice amongst people when it comes to great food.</t>
  </si>
  <si>
    <t>https://www.guptacaterers.in/corporate-catering-services?gad_source=1&amp;gad_campaignid=14926968927&amp;gbraid=0AAAAADAWng7Jk-OqT3lytRzUUJJedoTa0&amp;gclid=CjwKCAjwvNfSBhBiEiwAyaGMCYWr18OhesL017zpq-VRTub31pNl-MQRRcWIkPKY_CnpRCn8nETrHxoCl3UQAvD_BwE</t>
  </si>
  <si>
    <t>407</t>
  </si>
  <si>
    <t>https://www.facebook.com/vinaycaterers/</t>
  </si>
  <si>
    <t>North Indian Soups</t>
  </si>
  <si>
    <t>Ayush</t>
  </si>
  <si>
    <t>Marg Caters is a catering company serving all over Gurgaon. He started catering for wedding and other events. With countless clients, ranging from public to private companies, Marg Caters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t>
  </si>
  <si>
    <t>098209 62228</t>
  </si>
  <si>
    <t>Mohak Caterers</t>
  </si>
  <si>
    <t>mohak-caterers</t>
  </si>
  <si>
    <t>Mohak Caterers is a catering company serving all over Delhi. He started catering for weddings and other events. With countless clients, ranging from public to private companies, Mohak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t>
  </si>
  <si>
    <t>408</t>
  </si>
  <si>
    <t>Arora Food Caterers is a catering company serving all over Delhi. They started catering for wedding and other events. With countless clients, ranging from public to private companies, Arora Food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</si>
  <si>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Hotel RK Residency - Catering is a catering company serving all over Ghaziabad. He started catering for wedding and other events. With countless clients, ranging from public to private companies, Hotel RK Residency -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</si>
  <si>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http://www.hotelrkresidency.in/</t>
  </si>
  <si>
    <t>https://www.instagram.com/singhs_bakers/</t>
  </si>
  <si>
    <t>410</t>
  </si>
  <si>
    <t>Delight Catering</t>
  </si>
  <si>
    <t>delight-catering</t>
  </si>
  <si>
    <t>Make My Moments is a catering brand offering multi cuisine catering to weddings, corporate and rivayte parties. They offer every cuisine from North Indian to South Indian to Rajasthani and many others. They have the workforce and the tools to cater to as many as 10000 people gathering at one event. They are operating from Delhi, India. Contact them today to know more about their latest offers. Cuisines they offer are: North Indian South Indian Chinese Bengali Rajasthani</t>
  </si>
  <si>
    <t>https://www.delightcateringservices.com/contact</t>
  </si>
  <si>
    <t>411</t>
  </si>
  <si>
    <t>The Great Indian Cuisines</t>
  </si>
  <si>
    <t>the-great-indian-cuisines</t>
  </si>
  <si>
    <t>The Great Indian Cuisines is a catering company serving all over Delhi. He started catering for wedding and other events. With countless clients, ranging from public to private companies, The Great Indian Cuisines gained a reputation for elegant presentations and impressive services. Be assured of the fact that the food is prepared &amp; served under hygienic conditions and all rates are inclusive of top-class service, crockery &amp; cutlery. Cuisines offered: North Indian South Indian Chinese Italian Thai Japanese Goan Rajasthani Desserts Bengali</t>
  </si>
  <si>
    <t>https://greatindiancuisine.in/</t>
  </si>
  <si>
    <t>413</t>
  </si>
  <si>
    <t>098111 15117</t>
  </si>
  <si>
    <t>063798 75190</t>
  </si>
  <si>
    <t>Wazirpur, Delhi NCR</t>
  </si>
  <si>
    <t>Wazirpur</t>
  </si>
  <si>
    <t>1999</t>
  </si>
  <si>
    <t>414</t>
  </si>
  <si>
    <t>P &amp; S Catering (Plates &amp; Shisha)</t>
  </si>
  <si>
    <t>p-s-catering-plates-shisha</t>
  </si>
  <si>
    <t>A renowned catering service based in Punjabi Bagh, Delhi, P &amp; S Catering completely justify their name with a profusion of dishes to satisfy every taste palate. Maintaining high-quality standards and exquisitely designed multi-cuisine menu, the chefs prepare food in such a way that it is not only delicious to eat but is also extremely pleasing to the eye. The caterers will make all your special occasions, including the pre- and post-wedding functions, unforgettable for your near and dear ones. As food and beverage is an important part of any wedding function, P &amp; S Catering’s various services, including the scrumptious cuisine, are bound to see your wedding guests asking for more.</t>
  </si>
  <si>
    <t>https://www.facebook.com/thepnscatering/</t>
  </si>
  <si>
    <t>081000 00091</t>
  </si>
  <si>
    <r>
      <rPr>
        <color rgb="FF1155CC"/>
        <u/>
      </rPr>
      <t>098996 86763</t>
    </r>
  </si>
  <si>
    <t>415</t>
  </si>
  <si>
    <t>416</t>
  </si>
  <si>
    <t>417</t>
  </si>
  <si>
    <t>Dishout Catering is a catering company serving all over Noida. He started catering for wedding and other events. With countless clients, ranging from public to private companies, Dishout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</si>
  <si>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Chillato Icecream</t>
  </si>
  <si>
    <t>chillato-icecream</t>
  </si>
  <si>
    <t>Chillato Icecream is a catering company serving all over Delhi NCR. He started catering for wedding and other events. With countless clients, ranging from public to private companies, Chillato Icecream gained a reputation for elegant presentations and impressive services. Be assured of the fact that the food is prepared &amp; served under hygienic conditions and all rates are inclusive of top-class service, crockery &amp; cutlery. Cuisines offered: Ice Cream Stall</t>
  </si>
  <si>
    <t>https://chillatoshop.com/</t>
  </si>
  <si>
    <t>418</t>
  </si>
  <si>
    <t>419</t>
  </si>
  <si>
    <t>TGK Catering Service</t>
  </si>
  <si>
    <t>tgk-catering-service</t>
  </si>
  <si>
    <t>https://www.facebook.com/theroyalcateringservices/</t>
  </si>
  <si>
    <t>TGK Catering Service are a team that works enthusiastically to deliver food in a way that delights the eyes and is palatable to the tongue! TGK Catering Service are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t>
  </si>
  <si>
    <t>094519 17121</t>
  </si>
  <si>
    <t>421</t>
  </si>
  <si>
    <t>Wedding Train</t>
  </si>
  <si>
    <t>wedding-train</t>
  </si>
  <si>
    <t>422</t>
  </si>
  <si>
    <t>Service staff / servers North Indian</t>
  </si>
  <si>
    <t>423</t>
  </si>
  <si>
    <t>AK Event Management</t>
  </si>
  <si>
    <t>ak-event-management</t>
  </si>
  <si>
    <t>Based out of Delhi, AK Event Management is known to be one of the most efficient wedding planning company .They are a team of experts who will be at your service from the day you hire them till you finish celebrating all your functions. They not only a company for weddings but it also organizes other events like- reception, sangeet, mehendi, haldi, cocktail, muhurath and reception. Offering a plethora of services, you can count on AK Event Management team of super talented and experienced members who will make sure that your wedding is exactly how you dreamt of it.They are a one stop shop for services such as : * Wedding Planning Services * Wedding Decoration * Entertainment Planning * Pre- Wedding Functions * Venue Booking * Catering * In-House Decorations * Travel and Accomodations * Logistics * Photography and Cinematography Worked in locations such as: Jhansi Bhopal Udaipur Delhi NCR Farrukhabad Kanpur If you are looking for one such wedding planning company that can help you host your wedding functions, then AK Event Management is the one for you.</t>
  </si>
  <si>
    <t>https://akweddingplanner.website2.me/</t>
  </si>
  <si>
    <t>424</t>
  </si>
  <si>
    <t>425</t>
  </si>
  <si>
    <t>Paan Den India</t>
  </si>
  <si>
    <t>paan-den-india</t>
  </si>
  <si>
    <t>51000</t>
  </si>
  <si>
    <t>Rajmeet Caterers is a catering company serving all over Delhi. He started catering for wedding and other events. With countless clients, ranging from public to private companies, Rajmeet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t>
  </si>
  <si>
    <t>426</t>
  </si>
  <si>
    <t>Tandoori Nights</t>
  </si>
  <si>
    <t>tandoori-nights</t>
  </si>
  <si>
    <t>Tandoori Nights is a catering company serving all over Delhi. He started catering for wedding and other events. With countless clients, ranging from public to private companies, Tandoori Nights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</si>
  <si>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https://www.instagram.com/tandoorinightscatering/</t>
  </si>
  <si>
    <t>427</t>
  </si>
  <si>
    <t>428</t>
  </si>
  <si>
    <t>Subhash Tents,Decorators and Caterers</t>
  </si>
  <si>
    <t>subhash-tents-decorators-and-caterers</t>
  </si>
  <si>
    <t>https://onemillionflavours.com/</t>
  </si>
  <si>
    <t>429</t>
  </si>
  <si>
    <t>FALHARI - A Fruitful Habit</t>
  </si>
  <si>
    <t>falhari-a-fruitful-habit</t>
  </si>
  <si>
    <t>1201</t>
  </si>
  <si>
    <t>430</t>
  </si>
  <si>
    <t>Drool Waffles</t>
  </si>
  <si>
    <t>drool-waffles</t>
  </si>
  <si>
    <t>Droll Waffles provides a wide variety of menu in sweet delights to serve gathering of minimum 50 and maximum 800 person per event. They are one-stop shop for trendiest and yum waffles. So, add a bite of delight on your special occassion with Drool Waffles.</t>
  </si>
  <si>
    <t>https://www.instagram.com/momsnortheastkitchen/?hl=en</t>
  </si>
  <si>
    <t>431</t>
  </si>
  <si>
    <t>Nita Mehta Foods</t>
  </si>
  <si>
    <t>nita-mehta-foods</t>
  </si>
  <si>
    <t>Nita Mehta Foods is a catering company serving all over Delhi. He started catering for wedding and other events. With countless clients, ranging from public to private companies, Nita Mehta Foods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t>
  </si>
  <si>
    <t>https://www.nitamehta.com/</t>
  </si>
  <si>
    <t>076784 93020</t>
  </si>
  <si>
    <t>433</t>
  </si>
  <si>
    <t>http://www.lajwaabcaterers.in/</t>
  </si>
  <si>
    <t>099111 80290</t>
  </si>
  <si>
    <t>At Welcome Caterers, they know that every event requires the best service with ingenuity &amp; creativity. They are a catering and planning company based in Delhi. They deliver the best of authentic, delicious and mouth-watering cuisines. They have very reasonable rates for non-vegetarian menus and would provide any cuisine according to the demands and needs of their clients. Cuisines Offered: North Indian South Indian Chinese Italian Desserts Rajasthani</t>
  </si>
  <si>
    <t>434</t>
  </si>
  <si>
    <t>FALHARI - A fruitful habit is a catering company serving all over Delhi . He started catering for wedding and other events. With countless clients, ranging from public to private companies, FALHARI - A fruitful habit gained a reputation for elegant presentations and impressive services. Be assured of the fact that the food is prepared &amp; served under hygienic conditions and all rates are inclusive of top-class service, crockery &amp; cutlery. Cuisines offered: Chaat &amp; Street Food Only Drinks Only</t>
  </si>
  <si>
    <t>https://www.instagram.com/gofalhari/?hl=en</t>
  </si>
  <si>
    <t>435</t>
  </si>
  <si>
    <t>098103 87325</t>
  </si>
  <si>
    <t>Aggarwal Caterers</t>
  </si>
  <si>
    <t>aggarwal-caterers</t>
  </si>
  <si>
    <t>Aggarwal Caterers is a catering company serving all over Delhi. He started catering for wedding and other events. With countless clients, ranging from public to private companies, Aggarwal Caterers gained a reputation for elegant presentations and impressive services. Be assured of the fact that the food is prepared &amp; served under hygienic conditions and all rates are inclusive of top-class service, crockery &amp; cutlery. Cuisines offered: North Indian South Indian</t>
  </si>
  <si>
    <t>436</t>
  </si>
  <si>
    <t>099531 14492</t>
  </si>
  <si>
    <t>437</t>
  </si>
  <si>
    <t>The Flavours Kitchen &amp; Catering</t>
  </si>
  <si>
    <t>the-flavours-kitchen-catering</t>
  </si>
  <si>
    <t>438</t>
  </si>
  <si>
    <t>SRS Fruit Mart is a Delhi based catering company. They started catering for wedding and other events. With countless clients, ranging from public to private companies, SRS Fruit Mart gained a reputation for elegant presentations and impressive services. Be assured of the fact that the food is prepared &amp; served under hygienic conditions and all rates are inclusive of top-class service, crockery &amp; cutlery. Cuisines offered: Chaat &amp; Food Stalls Cocktails</t>
  </si>
  <si>
    <t>http://www.shivfruitmart.com/</t>
  </si>
  <si>
    <t>NK Caterers</t>
  </si>
  <si>
    <t>nk-caterers</t>
  </si>
  <si>
    <t>NK Caterers is a catering company serving all over Delhi. He started catering for wedding and other events. With countless clients, ranging from public to private companies, NK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</si>
  <si>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439</t>
  </si>
  <si>
    <t>Jassi Tent &amp; Caterers</t>
  </si>
  <si>
    <t>jassi-tent-caterers</t>
  </si>
  <si>
    <t>Jassi Tent &amp; Caterers is a catering company serving all over Delhi. He started catering for wedding and other events. With countless clients, ranging from public to private companies, Jassi Tent &amp; Caterers gained a reputation for elegant presentations and impressive services. Be assured of the fact that the food is prepared &amp; served under hygienic conditions and all rates are inclusive of top-class service, crockery &amp; cutlery. Cuisines offered: North Indian</t>
  </si>
  <si>
    <t>https://www.facebook.com/profile.php?id=61587196625061#</t>
  </si>
  <si>
    <t>070092 76267</t>
  </si>
  <si>
    <t>440</t>
  </si>
  <si>
    <t>https://www.instagram.com/ktcevents_hospitality/?hl=en</t>
  </si>
  <si>
    <t>441</t>
  </si>
  <si>
    <t>Golden Wedding</t>
  </si>
  <si>
    <t>golden-wedding</t>
  </si>
  <si>
    <r>
      <rPr>
        <rFont val="Arial, sans-serif"/>
        <color rgb="FF1155CC"/>
        <sz val="11.0"/>
        <u/>
      </rPr>
      <t>098910 00099</t>
    </r>
  </si>
  <si>
    <t>442</t>
  </si>
  <si>
    <t>Aroma Kitchen is a wedding catering service. They provide complete hospitality solutions Aroma Kitchen’s success lies in offering scrumptious food items and the pairing of discipline and passion of making people happy through food.</t>
  </si>
  <si>
    <t>https://www.instagram.com/dgcaterers/</t>
  </si>
  <si>
    <t>443</t>
  </si>
  <si>
    <t>445</t>
  </si>
  <si>
    <t>Amazing Bite Caterers</t>
  </si>
  <si>
    <t>446</t>
  </si>
  <si>
    <t>amazing-bite-caterers</t>
  </si>
  <si>
    <t>https://www.facebook.com/amazingbitecaterers/</t>
  </si>
  <si>
    <t>099909 00720</t>
  </si>
  <si>
    <t>447</t>
  </si>
  <si>
    <t>Get best quote from Gelato Vinto and book your date! Check their prices and availability. Send enquiry to your selected list of Wedding Catering at WedMeGood and choose the best. Browse for more Wedding Catering in Delhi NCR and more wedding vendors at WedMeGood and plan your wedding hassle free.</t>
  </si>
  <si>
    <t>http://www.gelatovinto.com/</t>
  </si>
  <si>
    <t>011 4662 0050</t>
  </si>
  <si>
    <t>448</t>
  </si>
  <si>
    <t>Chefs Signature</t>
  </si>
  <si>
    <t>chefs-signature</t>
  </si>
  <si>
    <t>When india's most celebrated celebrity chef Sultan ventures into bringing the best quality and variety of food from all over the world, it is nothing less than magical. His supreme culinary knowledge and skills are a result of his experience in the cooking industry for more than 30 years. All the dishes are prepared to perfection and have a special element in them in his venture to make something extra special for his clients.</t>
  </si>
  <si>
    <t>https://www.facebook.com/chefsignatures/</t>
  </si>
  <si>
    <t>Indian French
Arabic</t>
  </si>
  <si>
    <t>https://www.instagram.com/sawariya__caterers/</t>
  </si>
  <si>
    <t>451</t>
  </si>
  <si>
    <t>https://www.instagram.com/dhawan.caterers/</t>
  </si>
  <si>
    <t>452</t>
  </si>
  <si>
    <r>
      <rPr>
        <color rgb="FF1155CC"/>
        <u/>
      </rPr>
      <t>082874 72838</t>
    </r>
  </si>
  <si>
    <t>453</t>
  </si>
  <si>
    <t>Satender Yadav Caters is a catering company serving all over Delhi NCR. He started catering for wedding and other events. With countless clients, ranging from public to private companies, Satender Yadav Caters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t>
  </si>
  <si>
    <t>454</t>
  </si>
  <si>
    <t>Indian Catering House</t>
  </si>
  <si>
    <t>indian-catering-house</t>
  </si>
  <si>
    <t>https://flavourshub.in/</t>
  </si>
  <si>
    <t>455</t>
  </si>
  <si>
    <t>099532 04487</t>
  </si>
  <si>
    <t>Bittoo Chat Wala</t>
  </si>
  <si>
    <t>bittoo-chat-wala</t>
  </si>
  <si>
    <t>Bittoo Chat Wala is a catering company serving all over Delhi NCR. He started catering for wedding and other events. With countless clients, ranging from public to private companies, Bittoo Chat Wala gained a reputation for elegant presentations and impressive services. Be assured of the fact that the food is prepared &amp; served under hygienic conditions and all rates are inclusive of top-class service, crockery &amp; cutlery. Cuisines offered: North Indian South Indian</t>
  </si>
  <si>
    <t>https://bittoochatwala.com/</t>
  </si>
  <si>
    <t>458</t>
  </si>
  <si>
    <t>Apna Caterers &amp; Decorators</t>
  </si>
  <si>
    <t>apna-caterers-decorators</t>
  </si>
  <si>
    <t>097161 46679</t>
  </si>
  <si>
    <t>Ghitorni, Delhi NCR</t>
  </si>
  <si>
    <t>Ghitorni</t>
  </si>
  <si>
    <t>Celebrations Caterers</t>
  </si>
  <si>
    <t>celebrations-caterers</t>
  </si>
  <si>
    <t>459</t>
  </si>
  <si>
    <t>Celebrations Caterers is a Delhi NCR based catering company. It was started by Narender Sharma. He started catering for wedding and other events. With countless clients, ranging from public to private companies, Celebrations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Italian Thai Desserts Bengali Gujarati Rajasthani</t>
  </si>
  <si>
    <t>https://sites.google.com/view/cnccatering/home</t>
  </si>
  <si>
    <t>097737 42345</t>
  </si>
  <si>
    <t>Kari Catering is a catering company serving all over New Delhi. He started catering for wedding and other events. With countless clients, ranging from public to private companies, Kari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</si>
  <si>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https://www.instagram.com/karicatering.co/</t>
  </si>
  <si>
    <t>460</t>
  </si>
  <si>
    <t>Flame n Grills is a catering company serving all over Noida. He started catering for wedding and other events. With countless clients, ranging from public to private companies, Flame n Grills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</si>
  <si>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461</t>
  </si>
  <si>
    <t>https://www.gurukirpacaterers.com/</t>
  </si>
  <si>
    <t>081786 41002</t>
  </si>
  <si>
    <t>462</t>
  </si>
  <si>
    <t>Reet Caterers</t>
  </si>
  <si>
    <t>reet-caterers</t>
  </si>
  <si>
    <t>https://www.boostancatering.com/</t>
  </si>
  <si>
    <t>082180 88072</t>
  </si>
  <si>
    <t>Reet Caterers is a catering company serving all over Delhi NCR. He started catering for wedding and other events. With countless clients, ranging from public to private companies, Reet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t>
  </si>
  <si>
    <r>
      <rPr>
        <rFont val="Arial, sans-serif"/>
        <color rgb="FF1155CC"/>
        <sz val="11.0"/>
        <u/>
      </rPr>
      <t>092505 00769</t>
    </r>
  </si>
  <si>
    <t>463</t>
  </si>
  <si>
    <t>464</t>
  </si>
  <si>
    <t>465</t>
  </si>
  <si>
    <t>074282 92013</t>
  </si>
  <si>
    <r>
      <rPr>
        <rFont val="Arial, sans-serif"/>
        <color rgb="FF1155CC"/>
        <sz val="11.0"/>
        <u/>
      </rPr>
      <t>099711 00955</t>
    </r>
  </si>
  <si>
    <t>466</t>
  </si>
  <si>
    <t>469</t>
  </si>
  <si>
    <t>https://www.pepperplate.com/</t>
  </si>
  <si>
    <t>470</t>
  </si>
  <si>
    <t>495</t>
  </si>
  <si>
    <t>595</t>
  </si>
  <si>
    <t>https://www.swiggy.com/restaurants/burari-84-burari-koramangala-delhi-1298020/dineout?is_retargeting=true&amp;media_source=GoogleReserve&amp;utm_campaign=GoogleMap&amp;utm_source=GoogleReserve</t>
  </si>
  <si>
    <t>471</t>
  </si>
  <si>
    <t>085880 03009</t>
  </si>
  <si>
    <t>472</t>
  </si>
  <si>
    <t>Divine Caterers And wedding Planners</t>
  </si>
  <si>
    <t>divine-caterers-and-wedding-planners</t>
  </si>
  <si>
    <t>Divine Caterers And wedding Planners are a team that works enthusiastically to deliver food in a way that delights the eyes and is palatable to the tongue! Divine Caterers And wedding Planners are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t>
  </si>
  <si>
    <t>https://youtu.be/XGzQCh1A8ps</t>
  </si>
  <si>
    <t>097171 04376</t>
  </si>
  <si>
    <t>Luxury Caterer</t>
  </si>
  <si>
    <t>luxury-caterer</t>
  </si>
  <si>
    <t>Luxury Caterer is a catering company serving all over Delhi. He started catering for wedding and other events. With countless clients, ranging from public to private companies, Luxury Caterer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t>
  </si>
  <si>
    <t>https://catering.masaldani.in/lp/delhi-b2b/mdb2b-b2b-bofu-luxury-catering-company?campaignid=23866269274&amp;adgroupid=196862786379&amp;targetid=kwd-325224562682&amp;interest=&amp;loc=9300836&amp;matchType=p&amp;network=g&amp;deviceType=c&amp;searchTerm=luxury%20catering%20company&amp;adPosition=&amp;source=GoogleAds&amp;gad_source=1&amp;gad_campaignid=23866269274&amp;gbraid=0AAAAA-t1VBgUc8f9KfvQAPtQ8qGH3-S7K&amp;gclid=CjwKCAjwvNfSBhBiEiwAyaGMCQyvi_D-f0HrYe2guSPpPshd8hen7JdAS3JiISjLiORNKrFDZwX88xoCecoQAvD_BwE</t>
  </si>
  <si>
    <t>473</t>
  </si>
  <si>
    <t>474</t>
  </si>
  <si>
    <t>Gold Star Events</t>
  </si>
  <si>
    <t>093118 96611</t>
  </si>
  <si>
    <t>gold-star-events</t>
  </si>
  <si>
    <t>Gold Star Events based in Delhi, is your one-stop shop for all types of wedding planning needs. They specialize in decoration modern, exceptional, creative and designer weddings. And they aim to provide you with a budget-friendly wedding without any compromises on the details. Their efforts are focused on bringing your dream wedding to reality with every detail that you can't think of. Their conceptualization and management skills are exemplary. They can suggest you creative themes and professional advice but they keep it professional and non-intrusive. They love to work as per clients choice and demand as value for money to balance their choice and budget. They guarantee a celebration so sensational that it will never be forgotten by you or your guests. Services. Wedding Decor Party Decor Theme Lightening Stage Decor</t>
  </si>
  <si>
    <t>https://thegoldstarevent.in/</t>
  </si>
  <si>
    <t>Tauji Caterers are a team that works enthusiastically to deliver food in a way that delights the eyes and is palatable to the tongue! Tauji Caterers are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t>
  </si>
  <si>
    <t>https://www.taujicaterers.com/</t>
  </si>
  <si>
    <t>475</t>
  </si>
  <si>
    <t>476</t>
  </si>
  <si>
    <t>Royal Jain Caterers is a catering company serving all over Delhi-NCR. He started catering for wedding and other events. With countless clients, ranging from public to private companies, Royal Jain Caterers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t>
  </si>
  <si>
    <t>https://www.facebook.com/rjcaterers/</t>
  </si>
  <si>
    <t>098914 34318</t>
  </si>
  <si>
    <t>477</t>
  </si>
  <si>
    <t>479</t>
  </si>
  <si>
    <t>Quick Bites like burgers, tacos</t>
  </si>
  <si>
    <t>https://www.swadcaters.com/</t>
  </si>
  <si>
    <t>480</t>
  </si>
  <si>
    <t>098910 97572</t>
  </si>
  <si>
    <t>Rara Kitchen Studio</t>
  </si>
  <si>
    <t>rara-kitchen-studio</t>
  </si>
  <si>
    <t>Rara Kitchen Studio is a catering company serving all over Delhi. He started catering for wedding and other events. With countless clients, ranging from public to private companies, Rara Kitchen Studio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t>
  </si>
  <si>
    <t>https://rarakitchenstudio.com/</t>
  </si>
  <si>
    <t>481</t>
  </si>
  <si>
    <t>099718 13556</t>
  </si>
  <si>
    <t>99993 19657</t>
  </si>
  <si>
    <t>Divine Tadka by Ayush Garg is one of the best wedding caterers in Delhi. They understand client requirements and deliver prominent service, and also cater all across Indore. They provide all types of Jain and veg cuisines starting at a very reasonable per plate price. They can cater to a maximum of 10000 people at weddings and offer the best tastes. Cuisines Offered: North Indian South Indian Italian Desserts Gujarati Rajasthani Maharashtrian</t>
  </si>
  <si>
    <t>482</t>
  </si>
  <si>
    <t>https://linktr.ee/tastemetoday</t>
  </si>
  <si>
    <t>483</t>
  </si>
  <si>
    <t>Dastoor Kitchen</t>
  </si>
  <si>
    <t>dastoor-kitchen</t>
  </si>
  <si>
    <t>https://www.instagram.com/thedastoorkitchen/</t>
  </si>
  <si>
    <t>484</t>
  </si>
  <si>
    <t>The Menu Art</t>
  </si>
  <si>
    <t>the-menu-art</t>
  </si>
  <si>
    <t>485</t>
  </si>
  <si>
    <t>486</t>
  </si>
  <si>
    <t>Shivam's Catering is a Delhi based catering company. It was started by Shivam. He started catering for wedding and other events. With countless clients, ranging from public to private companies, Shivam's Catering gained a reputation for elegant presentations and impressive services. Be assured of the fact that the food is prepared &amp; served under hygienic conditions and all rates are inclusive of top-class service, crockery &amp; cutlery. Cuisines offered: North Indian South Indian Chinese</t>
  </si>
  <si>
    <t>https://shivamcaterersdecor.com/contact-3/</t>
  </si>
  <si>
    <t>487</t>
  </si>
  <si>
    <t>Ramaya Catering</t>
  </si>
  <si>
    <t>ramaya-catering</t>
  </si>
  <si>
    <t>Ramaya is a premium farm house in Chattarpur with the total space of 10.5 acre and located on main Chattarpur road, near chattarpur mandir. RAMAYA offers a Stunning mix of Glamour and Rustic Charm. Distinctly Different wedding farmhouse perfect for weddings and special occasions.</t>
  </si>
  <si>
    <t>http://hariramcaterers.in/</t>
  </si>
  <si>
    <t>488</t>
  </si>
  <si>
    <t>Soul Kitchen Cuisine</t>
  </si>
  <si>
    <t>soul-kitchen-cuisine</t>
  </si>
  <si>
    <t>098490 06391</t>
  </si>
  <si>
    <t>Art of Catering Service</t>
  </si>
  <si>
    <t>art-of-catering-service</t>
  </si>
  <si>
    <t>Sreejee Caterer is a catering company serving all over Delhi. He started catering for wedding and other events. With countless clients, ranging from public to private companies, Sreejee Caterer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Gujarati Rajasthani Maharashtrian Italian</t>
  </si>
  <si>
    <t>instagram.com/shreejeechaatcaterer/</t>
  </si>
  <si>
    <t>492</t>
  </si>
  <si>
    <t>Shree Sai Caterers is known for their range of both vegetarian and non-vegetarian delicacies. They have been catering for private parties and weddings from many years and have a high-profile client base as well. Shree Sai Caterers will first show the sample taste for the clients, only if when then the client like the taste only means then they will serve to the guests. Providing a wide variety of menus, which can be customized according to your budget and demands, they offer their catering services to minimum of 100 people and a maximum of 5000 people at the events. Cuisines Offered: North Indian South Indian Chinese Chinese Desserts</t>
  </si>
  <si>
    <t>493</t>
  </si>
  <si>
    <t>074284 49300</t>
  </si>
  <si>
    <t>Punjabi by Nature</t>
  </si>
  <si>
    <t>punjabi-by-nature</t>
  </si>
  <si>
    <t>https://www.instagram.com/punjabibynatureofficial/?hl=en</t>
  </si>
  <si>
    <t>494</t>
  </si>
  <si>
    <t>Red Chilli Caterers is a wedding catering service. They provide complete hospitality solutions, by setting new benchmarks through an effective and efficient catering with each event. The company’s true and majestic’ success lies in offering scrumptious food items and the pairing of discipline and passion of making people happy through food.</t>
  </si>
  <si>
    <t>https://redchillicaterers.com/</t>
  </si>
  <si>
    <t>Red Chilli Caterers is a wedding catering service. They provide complete hospitality solutions by setting new benchmarks through an effective and efficient catering with each event. The company’s true and majestic’ success lies in offering scrumptious food items and the pairing of discipline and passion of making people happy through food.</t>
  </si>
  <si>
    <t>https://www.facebook.com/AKNNSEventas/</t>
  </si>
  <si>
    <t>496</t>
  </si>
  <si>
    <t>088603 75083</t>
  </si>
  <si>
    <t>Standard package (6-7 starters) 4-5 main course
salad</t>
  </si>
  <si>
    <t>Paan Den is a catering company serving all over Delhi. He started catering for wedding and other events. With countless clients, ranging from public to private companies, Paan Den gained a reputation for elegant presentations and impressive services. Be assured of the fact that the food is prepared &amp; served under hygienic conditions and all rates are inclusive of top-class service, crockery &amp; cutlery. Cuisines offered: Paan Gourmet Paan</t>
  </si>
  <si>
    <t>497</t>
  </si>
  <si>
    <t>Tav Prasad Foods Pvt Ltd</t>
  </si>
  <si>
    <t>tav-prasad-foods-pvt-ltd</t>
  </si>
  <si>
    <t>498</t>
  </si>
  <si>
    <t>Golden Wedding is a catering company serving all over Ghaziabad. He started catering for wedding and other events. With countless clients, ranging from public to private companies, Golden Wedding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t>
  </si>
  <si>
    <t>Apna Caterers &amp; Decorators is an end to end wedding decor brand located in Delhi curating theme based decor. Their decor ideas and designs are definitely a source of inspiration that will surely make your venue look outstanding from every angle. Being in the wedding industry for the past five years the brand totally focusses on superior quality and maximum customer satisfaction. The starting price for indoor decoration starts at Rs 50000 and Rs. 120000 for outdoor decoration. Services Offered: Floral Lighting Draperies</t>
  </si>
  <si>
    <r>
      <rPr>
        <color rgb="FF1155CC"/>
        <u/>
      </rPr>
      <t>083838 99302</t>
    </r>
  </si>
  <si>
    <t>501</t>
  </si>
  <si>
    <t>503</t>
  </si>
  <si>
    <t>44</t>
  </si>
  <si>
    <t>https://www.foodtalescatering.com/</t>
  </si>
  <si>
    <t>099994 41310</t>
  </si>
  <si>
    <t>Vegetarian &amp; Non-Vegetarian Menus</t>
  </si>
  <si>
    <t>Expert chefs specialising in regional and global cuisines</t>
  </si>
  <si>
    <t>504</t>
  </si>
  <si>
    <t>47</t>
  </si>
  <si>
    <t>099530 40434</t>
  </si>
  <si>
    <t>505</t>
  </si>
  <si>
    <t>49</t>
  </si>
  <si>
    <t>North Indian Mexican Continental Lebanese
Mughlai Moroccan Chinese</t>
  </si>
  <si>
    <t>506</t>
  </si>
  <si>
    <t>http://jaincocaterers.online/</t>
  </si>
  <si>
    <t>507</t>
  </si>
  <si>
    <t>https://themalabarcoast.co.in/catalog/21460</t>
  </si>
  <si>
    <t>67</t>
  </si>
  <si>
    <t>099711 00955</t>
  </si>
  <si>
    <t>076692 83334</t>
  </si>
  <si>
    <t>111</t>
  </si>
  <si>
    <t>Salt &amp; Pepper</t>
  </si>
  <si>
    <t>salt-pepper</t>
  </si>
  <si>
    <t>Based in Delhi, Salt &amp; Pepper is an enterprise, which is a complete solution provider for events and hospitality, serving the industry over 2 decades. It endeavors to provide a wide choice of culinary delights to suit every occasion and enhance the fun of every celebration. The enterprise is managed by professionals who have rich experience and proven track record in the hospitality industry along with the requisite exposure to contemporary preferences . The preparation procedures involve stringent quality control in terms of freshness of raw material, methodologies of processing of food items, preparation of delicacies, storage and service.</t>
  </si>
  <si>
    <t>508</t>
  </si>
  <si>
    <t>https://www.saltandpeppers.co.in/</t>
  </si>
  <si>
    <t>096259 52699</t>
  </si>
  <si>
    <t>Indian Asian</t>
  </si>
  <si>
    <t>137</t>
  </si>
  <si>
    <t>The Binge Story</t>
  </si>
  <si>
    <t>the-binge-story</t>
  </si>
  <si>
    <t>The Binge Story is a catering company serving all over Delhi. He started catering for wedding and other events. With countless clients, ranging from public to private companies, The Binge Story gained a reputation for elegant presentations and impressive services. Be assured of the fact that the food is prepared &amp; served under hygienic conditions and all rates are inclusive of top-class service, crockery &amp; cutlery.</t>
  </si>
  <si>
    <t>https://thebingestory.com/</t>
  </si>
  <si>
    <t>093551 22188</t>
  </si>
  <si>
    <t>509</t>
  </si>
  <si>
    <t>https://lss-caterers.grexa.site/</t>
  </si>
  <si>
    <t>088510 60195</t>
  </si>
  <si>
    <t>Asian Cuisine Indian Cuisine Chinese Cuisine
Beverages Desserts</t>
  </si>
  <si>
    <t>143</t>
  </si>
  <si>
    <t>http://www.cotc.in/</t>
  </si>
  <si>
    <t>510</t>
  </si>
  <si>
    <t>144</t>
  </si>
  <si>
    <t>511</t>
  </si>
  <si>
    <t>154</t>
  </si>
  <si>
    <t>http://www.salttcatering.net/</t>
  </si>
  <si>
    <t>093112 10269</t>
  </si>
  <si>
    <t>North Indian Catering for Weddings and Events Hygienic Food Preparation and Service
Inclusive of Top-Class Service, Crockery &amp; Cutlery</t>
  </si>
  <si>
    <t>Catering for Weddings and Events Elegant Presentations Hygienic Food Preparation and Service
Inclusive of Top-Class Service, Crockery &amp; Cutlery</t>
  </si>
  <si>
    <t>512</t>
  </si>
  <si>
    <t>166</t>
  </si>
  <si>
    <t>http://embassycatering.in/</t>
  </si>
  <si>
    <t>098990 04852</t>
  </si>
  <si>
    <t>513</t>
  </si>
  <si>
    <t>174</t>
  </si>
  <si>
    <t>https://theminusculture.com/</t>
  </si>
  <si>
    <t>096256 59459</t>
  </si>
  <si>
    <t>http://www.moetscatering.com/</t>
  </si>
  <si>
    <t>098991 16462</t>
  </si>
  <si>
    <t>194</t>
  </si>
  <si>
    <t>Chaurasiya Ji Paan Palace</t>
  </si>
  <si>
    <t>chaurasiya-ji-paan-palace</t>
  </si>
  <si>
    <t>515</t>
  </si>
  <si>
    <t>More than 20 years ago, Chaurasiya Ji Paan Palace opened its doors and began providing catering and hospitality services. Since then, the business has flourished and become highly efficient. Since it first opened its doors in 2002, this company has established a strong reputation in the Delhi NCR area. In order to make your large celebration even more charming, flavorful, and memorable, Chaurasiya Ji Paan Palace is able to provide you with a wide selection of meals, delectable menus, entertaining drinks, and gorgeous presentations. They are worthy of your total confidence, and they will see to it that you have a wonderful time.</t>
  </si>
  <si>
    <t>http://chaurasiyajipaanpalace.co.in/</t>
  </si>
  <si>
    <t>070112 81951</t>
  </si>
  <si>
    <t>231</t>
  </si>
  <si>
    <t>https://instagram.com/sknandafnb?igshid=NTc4MTIwNjQ2YQ==</t>
  </si>
  <si>
    <t>516</t>
  </si>
  <si>
    <t>239</t>
  </si>
  <si>
    <t>http://www.satkarcaterers.com/</t>
  </si>
  <si>
    <t>098991 11198</t>
  </si>
  <si>
    <t>517</t>
  </si>
  <si>
    <t>316</t>
  </si>
  <si>
    <t>088006 64465</t>
  </si>
  <si>
    <t>518</t>
  </si>
  <si>
    <t>370</t>
  </si>
  <si>
    <t>http://punjabibynature.in/</t>
  </si>
  <si>
    <t>091579 11579</t>
  </si>
  <si>
    <t>519</t>
  </si>
  <si>
    <t>095607 26745</t>
  </si>
  <si>
    <t>412</t>
  </si>
  <si>
    <t>092686 66633</t>
  </si>
  <si>
    <t>520</t>
  </si>
  <si>
    <t>602</t>
  </si>
  <si>
    <t>http://www.unitedchaathouse.com/</t>
  </si>
  <si>
    <t>521</t>
  </si>
  <si>
    <t>645</t>
  </si>
  <si>
    <t>http://desibrunch.co/</t>
  </si>
  <si>
    <t>099997 71305</t>
  </si>
  <si>
    <t>522</t>
  </si>
  <si>
    <t>092505 00769</t>
  </si>
  <si>
    <t>523</t>
  </si>
  <si>
    <t>524</t>
  </si>
  <si>
    <t>525</t>
  </si>
  <si>
    <t>528</t>
  </si>
  <si>
    <t>529</t>
  </si>
  <si>
    <t>530</t>
  </si>
  <si>
    <t>531</t>
  </si>
  <si>
    <t>532</t>
  </si>
  <si>
    <t>https://www.luxuriacrockery.com/</t>
  </si>
  <si>
    <t>073039 09886</t>
  </si>
  <si>
    <t>533</t>
  </si>
  <si>
    <t>Delight Tent &amp; Caterer</t>
  </si>
  <si>
    <t>delight-tent-caterer</t>
  </si>
  <si>
    <t>575</t>
  </si>
  <si>
    <t>534</t>
  </si>
  <si>
    <t>Wedding days are special occasions as they create the best stories with your partner that you can cherish for a lifetime. But for hosting a dream wedding it is important to choose a location that is suitable for you as well as your relatives. Choosing a wedding venue seems like a hustle task. The theme of your wedding will be directly influenced by the venue you’ve chosen so it is a must that the venue goes with your style and also with the new trend. And from the unexpected to the flat-out jaw-dropping, this unique place; Welcomhotel By ITC Hotels, Dwarka, New Delhi are guaranteed to make your wedding unforgettable. With an experience of many years and based out of Delhi NCR the venue provides halls for your various events with spacious accommodation.</t>
  </si>
  <si>
    <t>535</t>
  </si>
  <si>
    <t>536</t>
  </si>
  <si>
    <t>538</t>
  </si>
  <si>
    <t>541</t>
  </si>
  <si>
    <t>542</t>
  </si>
  <si>
    <t>543</t>
  </si>
  <si>
    <t>544</t>
  </si>
  <si>
    <t>545</t>
  </si>
  <si>
    <t>546</t>
  </si>
  <si>
    <t>547</t>
  </si>
  <si>
    <t>548</t>
  </si>
  <si>
    <t>549</t>
  </si>
  <si>
    <t>551</t>
  </si>
  <si>
    <t>552</t>
  </si>
  <si>
    <t>https://www.zomato.com/ncr/fat-guys-kitchen-malviya-nagar-new-delhi</t>
  </si>
  <si>
    <t>098119 26307</t>
  </si>
  <si>
    <t>553</t>
  </si>
  <si>
    <t>554</t>
  </si>
  <si>
    <t>Swapan Caterers</t>
  </si>
  <si>
    <t>swapan-caterers</t>
  </si>
  <si>
    <t>555</t>
  </si>
  <si>
    <t>556</t>
  </si>
  <si>
    <t>North Indian Appetizer
Fruit salad</t>
  </si>
  <si>
    <t>557</t>
  </si>
  <si>
    <t>http://www.ankitmulticatering.com/</t>
  </si>
  <si>
    <t>083830 95404</t>
  </si>
  <si>
    <t>558</t>
  </si>
  <si>
    <t>559</t>
  </si>
  <si>
    <t>560</t>
  </si>
  <si>
    <t>563</t>
  </si>
  <si>
    <t>Goluji Foods is a Delhi based catering company. It was started by Golu. He started catering for wedding and other events. With countless clients, ranging from public to private companies, Goluji Foods gained a reputation for elegant presentations and impressive services. Be assured of the fact that the food is prepared &amp; served under hygienic conditions and all rates are inclusive of top-class service, crockery &amp; cutlery. Cuisines offered: North Indian South Indian Italian Desserts</t>
  </si>
  <si>
    <t>http://www.goluji.com/</t>
  </si>
  <si>
    <t>098183 34729</t>
  </si>
  <si>
    <t>564</t>
  </si>
  <si>
    <t>565</t>
  </si>
  <si>
    <t>566</t>
  </si>
  <si>
    <t>567</t>
  </si>
  <si>
    <t>568</t>
  </si>
  <si>
    <t>099515 25704</t>
  </si>
  <si>
    <t>569</t>
  </si>
  <si>
    <t>570</t>
  </si>
  <si>
    <t>571</t>
  </si>
  <si>
    <t>572</t>
  </si>
  <si>
    <t>http://www.harisonscaterers.com/</t>
  </si>
  <si>
    <t>098110 35325</t>
  </si>
  <si>
    <t>2700</t>
  </si>
  <si>
    <t>574</t>
  </si>
  <si>
    <t>https://www.kashmirana.com/menu</t>
  </si>
  <si>
    <t>085953 99049</t>
  </si>
  <si>
    <t>576</t>
  </si>
  <si>
    <t>577</t>
  </si>
  <si>
    <t>578</t>
  </si>
  <si>
    <t>Paan Wedding Suppy</t>
  </si>
  <si>
    <t>paan-wedding-suppy</t>
  </si>
  <si>
    <t>579</t>
  </si>
  <si>
    <t>580</t>
  </si>
  <si>
    <t>Shubharambh Caterers and Event Planners</t>
  </si>
  <si>
    <t>shubharambh-caterers-and-event-planners</t>
  </si>
  <si>
    <t>Shubharambh Caterers is a team that works enthusiastically to deliver food in a way that delights the eyes and is palatable to the tongue! Shubharambh Caterers is based in the city of New Delhi. They enjoy what they do as a team and ensure that the quality is nothing less than delightful. They work fervently for the comfort and satisfaction of the client. Be sure to give them the privilege of catering on your special day if you have a good feeling about them! Cuisines Offered: North Indian South Indian Chinese Desserts Bengali Gujarati Rajasthani Goan Maharashtria</t>
  </si>
  <si>
    <t>https://www.facebook.com/shubharambhcaterers/about/</t>
  </si>
  <si>
    <t>581</t>
  </si>
  <si>
    <t>582</t>
  </si>
  <si>
    <t>583</t>
  </si>
  <si>
    <t>078274 89011</t>
  </si>
  <si>
    <t>585</t>
  </si>
  <si>
    <t>098101 13862</t>
  </si>
  <si>
    <t>Lajwaab Culinary Art is catering services company specialising in wedding catering. They are based in Preet Vihar New Delhi. They have become a well-known name in the hospitality industry. While quality is their trademark
excellence in service and experience that is invaluable is what holds them apart from others. The believe that the once in a lifetime wedding party deserves an individual magic touch which they offer with excellence and love. Their expert catering consultant works closely with their clients in planning the special event handling all the details to ensure that they will be in the ideal setting for the wedding.</t>
  </si>
  <si>
    <t>586</t>
  </si>
  <si>
    <t>092893 88020</t>
  </si>
  <si>
    <t>Sai Catering Service is a catering organization serving all over Delhi.</t>
  </si>
  <si>
    <t>587</t>
  </si>
  <si>
    <t>https://culinaryaffaire.com/</t>
  </si>
  <si>
    <t>588</t>
  </si>
  <si>
    <t xml:space="preserve">Shelly Catering Services is a catering company serving all over Delhi. He started catering for wedding and other events. With countless clients, ranging from public to private companies, Shelly Catering Services gained a reputation for elegant presentations and impressive services. Be assured of the fact that the food is prepared &amp; served under hygienic conditions and all rates are inclusive of top-class service, crockery &amp; cutlery. Cuisines offered: North Indian South Indian Chinese Desserts Bengali
</t>
  </si>
  <si>
    <t>https://shelly-catering-services.grexa.site/</t>
  </si>
  <si>
    <t>097119 24726</t>
  </si>
  <si>
    <t>590</t>
  </si>
  <si>
    <t>PurpleBerry Catering is a Gourmet catering services based in Delhi NCR marked by sensational food creative ideas and professional staff cued for tastefully unique events. Whatever the venue is they have a menu to match your style. Their inspiring catering set-ups and displays are sure to be the centrepiece of any event. Lavish buffet spreads live cooking stations specialised culinary concepts to global gastronomic fare their winning team of chefs servers and managers will add distinct notes of spectacular flavours to your special day. The food is prepared under extremely hygienic conditions and is as pure as home-made.</t>
  </si>
  <si>
    <t>591</t>
  </si>
  <si>
    <t>592</t>
  </si>
  <si>
    <t>593</t>
  </si>
  <si>
    <t>6500</t>
  </si>
  <si>
    <t>594</t>
  </si>
  <si>
    <t>596</t>
  </si>
  <si>
    <t>https://foodlinkcatering.co/</t>
  </si>
  <si>
    <t>598</t>
  </si>
  <si>
    <t>Savora Culinary</t>
  </si>
  <si>
    <t>savora-culinary</t>
  </si>
  <si>
    <t>Gk 1, Delhi NCR</t>
  </si>
  <si>
    <t>Gk 1</t>
  </si>
  <si>
    <t>601</t>
  </si>
  <si>
    <t>Satwik Caterers</t>
  </si>
  <si>
    <t>satwik-caterers</t>
  </si>
  <si>
    <t>603</t>
  </si>
  <si>
    <t>604</t>
  </si>
  <si>
    <t>605</t>
  </si>
  <si>
    <t>https://www.instagram.com/house_of_rakabdar/?hl=en</t>
  </si>
  <si>
    <t>078383 75644</t>
  </si>
  <si>
    <t>606</t>
  </si>
  <si>
    <t>http://www.dalsamarkand.com/</t>
  </si>
  <si>
    <t>098118 22774</t>
  </si>
  <si>
    <t>607</t>
  </si>
  <si>
    <t>608</t>
  </si>
  <si>
    <t>610</t>
  </si>
  <si>
    <t>611</t>
  </si>
  <si>
    <t>https://dishout-catering.localo.site/?utm_source=google_profile&amp;utm_campaign=localo&amp;utm_medium=mainlink</t>
  </si>
  <si>
    <t>097166 90690</t>
  </si>
  <si>
    <t>612</t>
  </si>
  <si>
    <t>613</t>
  </si>
  <si>
    <t>615</t>
  </si>
  <si>
    <t>616</t>
  </si>
  <si>
    <t>617</t>
  </si>
  <si>
    <t>011 4013 7368</t>
  </si>
  <si>
    <t>618</t>
  </si>
  <si>
    <t>http://thegreatindianchaat.com/</t>
  </si>
  <si>
    <t>080008 00081</t>
  </si>
  <si>
    <t>619</t>
  </si>
  <si>
    <t>620</t>
  </si>
  <si>
    <t>622</t>
  </si>
  <si>
    <t>623</t>
  </si>
  <si>
    <t>011 2876 5138</t>
  </si>
  <si>
    <t>624</t>
  </si>
  <si>
    <t>625</t>
  </si>
  <si>
    <t>626</t>
  </si>
  <si>
    <t>627</t>
  </si>
  <si>
    <t>628</t>
  </si>
  <si>
    <t>649</t>
  </si>
  <si>
    <t>Aaugritaa Caterers is a venture based in wedding catering services. The team is expert in offering their hospitality services to their patrons with an experience of over 7+ years and have successfully delivered 500+ catering services and wedding events during the same. The company specializes in wedding catering corporate events
high tea catering and food consulting services. They also extend their services by providing a range of cooking courses by their expert chefs and also cater to all your kitchen solutions.They also pave your path by looking up a space for your store to its by product successfully. Aaugritaa Caterers makes sure that you receive the delicacies from different cuisines of the highest quality considering hygiene and customer satisfaction.</t>
  </si>
  <si>
    <t>629</t>
  </si>
  <si>
    <t>630</t>
  </si>
  <si>
    <t>FNV Caterers</t>
  </si>
  <si>
    <t>fnv-caterers</t>
  </si>
  <si>
    <t>631</t>
  </si>
  <si>
    <t>087458 38446</t>
  </si>
  <si>
    <t>632</t>
  </si>
  <si>
    <t>JW Kitchens</t>
  </si>
  <si>
    <t>634</t>
  </si>
  <si>
    <t>070423 26706</t>
  </si>
  <si>
    <t>635</t>
  </si>
  <si>
    <t>Knight Gourmet is a Delhi NCR based catering company. It was started by Manvir. He started catering for wedding and other events. With countless clients, ranging from public to private companies, Knight Gourmet gained a reputation for elegant presentations and impressive services and also Panel of Delhi Gymkhana and Delhi Golf Club. Be assured of the fact that the food is prepared &amp; served under hygienic conditions and all rates are inclusive of top-class service, crockery &amp; cutlery. Cuisines offered: North Indian South Indian Chinese Desserts Italian Rajasthani Gujarati</t>
  </si>
  <si>
    <t>http://www.knightgourmet.in/</t>
  </si>
  <si>
    <t>099997 77462</t>
  </si>
  <si>
    <t>636</t>
  </si>
  <si>
    <t>637</t>
  </si>
  <si>
    <t>638</t>
  </si>
  <si>
    <t>3150</t>
  </si>
  <si>
    <t>639</t>
  </si>
  <si>
    <t>640</t>
  </si>
  <si>
    <t>Sre Decor And Caterers</t>
  </si>
  <si>
    <t>sre-decor-and-caterers</t>
  </si>
  <si>
    <t>Sre Decor And Caterers is a wedding catering service located in Delhi. Their specialty is providing high-quality, customized food services for special events, such as weddings and receptions. The company offers a variety of menus to suit different preferences, with an emphasis on authenticity and flavor. All of their dishes are made using fresh, locally sourced ingredients, and they use traditional Indian cooking methods to ensure that each dish is made to perfection. The team at Sre Decor And Caterers is passionate about creating unforgettable experiences for guests. They understand the importance of special events and work hard to ensure that their food looks amazing and tastes even better. Sre Decor And Caterers also works closely with their clients to understand their needs and preferences, so they can customize their services to meet the client’s individual needs. With an experienced and passionate staff, excellent customer service and a commitment to excellence, Sre Decor And Caterers is the perfect choice for all of your wedding catering needs.</t>
  </si>
  <si>
    <t>098996 59913</t>
  </si>
  <si>
    <t>641</t>
  </si>
  <si>
    <t>642</t>
  </si>
  <si>
    <t>643</t>
  </si>
  <si>
    <t>Kishan Lal Caterers</t>
  </si>
  <si>
    <t>kishan-lal-caterers</t>
  </si>
  <si>
    <t>646</t>
  </si>
  <si>
    <t>099532 73374</t>
  </si>
  <si>
    <t>647</t>
  </si>
  <si>
    <t>648</t>
  </si>
  <si>
    <t>098115 45130</t>
  </si>
  <si>
    <t>651</t>
  </si>
  <si>
    <t>North Indian Mexican Street Food</t>
  </si>
  <si>
    <t>652</t>
  </si>
  <si>
    <t>653</t>
  </si>
  <si>
    <t>654</t>
  </si>
  <si>
    <t>655</t>
  </si>
  <si>
    <t>657</t>
  </si>
  <si>
    <t>Indian Indian street food</t>
  </si>
  <si>
    <t>658</t>
  </si>
  <si>
    <t>659</t>
  </si>
  <si>
    <t>660</t>
  </si>
  <si>
    <t>Catering Lastmiles Solution</t>
  </si>
  <si>
    <t>catering-lastmiles-solution</t>
  </si>
  <si>
    <t>LastMile Solutions within the Delhi NCR region are one among the premier catering services during this area with a capacity to serve 5000 guests. They are also event managers and have carved a distinct segment for themselves within the area of event management and catering services. Making your special moment an unforgettable celebration. We in the city provide personalized and innovative wedding services in Gurgaon, Noida, Delhi.</t>
  </si>
  <si>
    <t>661</t>
  </si>
  <si>
    <t>LemonGrass is a wedding catering service. They provide complete hospitality solutions, by setting new benchmarks through an effective and efficient catering with each event. This amazingly talented and efficient wedding catering company’s success lies in offering scrumptious food items and the pairing of discipline and passion of making people happy through food.</t>
  </si>
  <si>
    <t>662</t>
  </si>
  <si>
    <t>663</t>
  </si>
  <si>
    <t>Dixit Caterers and Event Management Services is based in Shahdara, Delhi NCR.</t>
  </si>
  <si>
    <t>664</t>
  </si>
  <si>
    <t>086973 05792</t>
  </si>
  <si>
    <t>665</t>
  </si>
  <si>
    <t>666</t>
  </si>
  <si>
    <t>667</t>
  </si>
  <si>
    <t>Avsar</t>
  </si>
  <si>
    <t>avsar</t>
  </si>
  <si>
    <t>669</t>
  </si>
  <si>
    <t>670</t>
  </si>
  <si>
    <t>671</t>
  </si>
  <si>
    <t>672</t>
  </si>
  <si>
    <t>673</t>
  </si>
  <si>
    <t>674</t>
  </si>
  <si>
    <t>Bhuvnashwar Singh Caterers</t>
  </si>
  <si>
    <t>bhuvnashwar-singh-caterers</t>
  </si>
  <si>
    <t>675</t>
  </si>
  <si>
    <t>676</t>
  </si>
  <si>
    <t>677</t>
  </si>
  <si>
    <t>678</t>
  </si>
  <si>
    <t>011 4141 4162</t>
  </si>
</sst>
</file>

<file path=xl/styles.xml><?xml version="1.0" encoding="utf-8"?>
<styleSheet xmlns="http://schemas.openxmlformats.org/spreadsheetml/2006/main" xmlns:x14ac="http://schemas.microsoft.com/office/spreadsheetml/2009/9/ac" xmlns:mc="http://schemas.openxmlformats.org/markup-compatibility/2006">
  <fonts count="70">
    <font>
      <sz val="11.0"/>
      <color theme="1"/>
      <name val="Calibri"/>
      <scheme val="minor"/>
    </font>
    <font>
      <b/>
      <sz val="11.0"/>
      <color theme="1"/>
      <name val="Calibri"/>
    </font>
    <font>
      <b/>
      <sz val="12.0"/>
      <color theme="1"/>
      <name val="Calibri"/>
    </font>
    <font>
      <sz val="11.0"/>
      <color theme="1"/>
      <name val="Calibri"/>
    </font>
    <font>
      <color theme="1"/>
      <name val="Calibri"/>
      <scheme val="minor"/>
    </font>
    <font>
      <u/>
      <color rgb="FF0000FF"/>
    </font>
    <font>
      <u/>
      <color rgb="FF0000FF"/>
    </font>
    <font>
      <u/>
      <sz val="11.0"/>
      <color rgb="FF0000FF"/>
      <name val="Calibri"/>
    </font>
    <font>
      <u/>
      <sz val="11.0"/>
      <color rgb="FF0000FF"/>
      <name val="Calibri"/>
    </font>
    <font>
      <u/>
      <sz val="11.0"/>
      <color rgb="FF0000FF"/>
      <name val="Calibri"/>
    </font>
    <font>
      <u/>
      <sz val="11.0"/>
      <color rgb="FF0000FF"/>
      <name val="Calibri"/>
    </font>
    <font>
      <u/>
      <color rgb="FF0000FF"/>
    </font>
    <font>
      <u/>
      <color rgb="FF0000FF"/>
    </font>
    <font>
      <u/>
      <sz val="11.0"/>
      <color rgb="FF0000FF"/>
      <name val="Calibri"/>
    </font>
    <font>
      <u/>
      <sz val="11.0"/>
      <color rgb="FF0000FF"/>
      <name val="Calibri"/>
    </font>
    <font>
      <sz val="11.0"/>
      <color rgb="FF000000"/>
      <name val="Calibri"/>
    </font>
    <font>
      <sz val="11.0"/>
      <color rgb="FF4A4A4A"/>
      <name val="Proxima-nova"/>
    </font>
    <font>
      <u/>
      <sz val="11.0"/>
      <color theme="10"/>
      <name val="Calibri"/>
    </font>
    <font>
      <u/>
      <sz val="11.0"/>
      <color rgb="FF0000FF"/>
      <name val="Calibri"/>
    </font>
    <font>
      <sz val="11.0"/>
      <color rgb="FF4A4A4A"/>
      <name val="Arial"/>
    </font>
    <font>
      <sz val="12.0"/>
      <color rgb="FF0A0A0A"/>
      <name val="&quot;Google Sans&quot;"/>
    </font>
    <font>
      <sz val="11.0"/>
      <color theme="1"/>
      <name val="Arial"/>
    </font>
    <font>
      <color rgb="FFE72E77"/>
      <name val="Arial"/>
    </font>
    <font>
      <u/>
      <sz val="11.0"/>
      <color rgb="FF0000FF"/>
      <name val="Calibri"/>
    </font>
    <font>
      <color rgb="FF000000"/>
      <name val="Arial"/>
    </font>
    <font>
      <color rgb="FFE72E77"/>
      <name val="Proxima-nova"/>
    </font>
    <font>
      <sz val="11.0"/>
      <color rgb="FF4A4A4A"/>
      <name val="WedmegoodFont"/>
    </font>
    <font>
      <u/>
      <sz val="11.0"/>
      <color rgb="FF0000FF"/>
      <name val="Arial"/>
    </font>
    <font>
      <sz val="12.0"/>
      <color rgb="FFF6352F"/>
      <name val="&quot;Open Sans&quot;"/>
    </font>
    <font>
      <sz val="12.0"/>
      <color rgb="FF333333"/>
      <name val="&quot;Open Sans&quot;"/>
    </font>
    <font>
      <sz val="11.0"/>
      <color theme="1"/>
      <name val="Proxima-nova"/>
    </font>
    <font>
      <u/>
      <color rgb="FF0000FF"/>
    </font>
    <font>
      <sz val="11.0"/>
      <color rgb="FFFFFFFF"/>
      <name val="Avenir-lt-w01_35-light1475496"/>
    </font>
    <font>
      <sz val="11.0"/>
      <color rgb="FF050505"/>
      <name val="&quot;Segoe UI Historic&quot;"/>
    </font>
    <font>
      <u/>
      <sz val="11.0"/>
      <color rgb="FFE8E8E8"/>
      <name val="Arial"/>
    </font>
    <font>
      <u/>
      <sz val="11.0"/>
      <color rgb="FF0000FF"/>
      <name val="Calibri"/>
    </font>
    <font>
      <sz val="11.0"/>
      <color rgb="FF080809"/>
      <name val="&quot;Segoe UI Historic&quot;"/>
    </font>
    <font>
      <sz val="11.0"/>
      <color rgb="FFF5F5F5"/>
      <name val="-apple-system"/>
    </font>
    <font>
      <sz val="12.0"/>
      <color rgb="FF757575"/>
      <name val="&quot;Josefin Sans&quot;"/>
    </font>
    <font>
      <u/>
      <sz val="11.0"/>
      <color theme="10"/>
      <name val="Calibri"/>
    </font>
    <font>
      <sz val="12.0"/>
      <color rgb="FFFFFFFF"/>
      <name val="Urbanist"/>
    </font>
    <font>
      <sz val="9.0"/>
      <color rgb="FF999999"/>
      <name val="&quot;Open Sans&quot;"/>
    </font>
    <font>
      <sz val="11.0"/>
      <color rgb="FFBFBFBF"/>
      <name val="Arial"/>
    </font>
    <font>
      <sz val="12.0"/>
      <color rgb="FF212529"/>
      <name val="ProximaNova"/>
    </font>
    <font>
      <color rgb="FF080809"/>
      <name val="Inherit"/>
    </font>
    <font>
      <sz val="11.0"/>
      <color rgb="FF9E9E9E"/>
      <name val="Arial"/>
    </font>
    <font>
      <u/>
      <sz val="11.0"/>
      <color rgb="FFE8E8E8"/>
      <name val="Arial"/>
    </font>
    <font>
      <sz val="11.0"/>
      <color rgb="FFE8E8E8"/>
      <name val="Arial"/>
    </font>
    <font>
      <sz val="11.0"/>
      <color rgb="FFF5F5F5"/>
      <name val="Arial"/>
    </font>
    <font>
      <u/>
      <sz val="11.0"/>
      <color rgb="FF0064D1"/>
      <name val="&quot;Segoe UI Historic&quot;"/>
    </font>
    <font>
      <u/>
      <sz val="11.0"/>
      <color rgb="FF080809"/>
      <name val="&quot;Segoe UI Historic&quot;"/>
    </font>
    <font>
      <color rgb="FF434343"/>
      <name val="Open_sansregular"/>
    </font>
    <font>
      <sz val="11.0"/>
      <color rgb="FF707070"/>
      <name val="Montserrat"/>
    </font>
    <font>
      <color rgb="FF050505"/>
      <name val="Inherit"/>
    </font>
    <font>
      <sz val="12.0"/>
      <color rgb="FF111010"/>
      <name val="Poppins"/>
    </font>
    <font>
      <sz val="14.0"/>
      <color rgb="FF6B6B6B"/>
      <name val="&quot;Josefin Sans&quot;"/>
    </font>
    <font>
      <sz val="12.0"/>
      <color rgb="FFF1F1F1"/>
      <name val="Lato"/>
    </font>
    <font>
      <color rgb="FF000000"/>
      <name val="Calibri"/>
      <scheme val="minor"/>
    </font>
    <font>
      <u/>
      <color rgb="FF000000"/>
    </font>
    <font>
      <sz val="11.0"/>
      <color rgb="FF878787"/>
      <name val="Cabin"/>
    </font>
    <font>
      <sz val="12.0"/>
      <color rgb="FFFFFFFF"/>
      <name val="Lato"/>
    </font>
    <font>
      <u/>
      <color rgb="FF0000FF"/>
    </font>
    <font>
      <sz val="11.0"/>
      <color rgb="FFFFFFFF"/>
      <name val="Lato"/>
    </font>
    <font>
      <sz val="11.0"/>
      <color rgb="FF080809"/>
      <name val="Arial"/>
    </font>
    <font>
      <color rgb="FF1F1F1F"/>
      <name val="Calibri"/>
      <scheme val="minor"/>
    </font>
    <font>
      <sz val="12.0"/>
      <color rgb="FF7A7A7A"/>
      <name val="Roboto"/>
    </font>
    <font>
      <sz val="12.0"/>
      <color rgb="FFE6E8F0"/>
      <name val="&quot;Google Sans&quot;"/>
    </font>
    <font>
      <u/>
      <sz val="11.0"/>
      <color rgb="FF0000FF"/>
      <name val="Calibri"/>
    </font>
    <font>
      <sz val="11.0"/>
      <color rgb="FF6C6C6C"/>
      <name val="Arial"/>
    </font>
    <font>
      <u/>
      <sz val="11.0"/>
      <color rgb="FF1F1F1F"/>
      <name val="Arial"/>
    </font>
  </fonts>
  <fills count="15">
    <fill>
      <patternFill patternType="none"/>
    </fill>
    <fill>
      <patternFill patternType="lightGray"/>
    </fill>
    <fill>
      <patternFill patternType="solid">
        <fgColor rgb="FFB7E1CD"/>
        <bgColor rgb="FFB7E1CD"/>
      </patternFill>
    </fill>
    <fill>
      <patternFill patternType="solid">
        <fgColor rgb="FFFFFFFF"/>
        <bgColor rgb="FFFFFFFF"/>
      </patternFill>
    </fill>
    <fill>
      <patternFill patternType="solid">
        <fgColor rgb="FFFFE599"/>
        <bgColor rgb="FFFFE599"/>
      </patternFill>
    </fill>
    <fill>
      <patternFill patternType="solid">
        <fgColor theme="0"/>
        <bgColor theme="0"/>
      </patternFill>
    </fill>
    <fill>
      <patternFill patternType="solid">
        <fgColor rgb="FFFFF2CC"/>
        <bgColor rgb="FFFFF2CC"/>
      </patternFill>
    </fill>
    <fill>
      <patternFill patternType="solid">
        <fgColor rgb="FF22242A"/>
        <bgColor rgb="FF22242A"/>
      </patternFill>
    </fill>
    <fill>
      <patternFill patternType="solid">
        <fgColor rgb="FF0C1014"/>
        <bgColor rgb="FF0C1014"/>
      </patternFill>
    </fill>
    <fill>
      <patternFill patternType="solid">
        <fgColor rgb="FF2C2C2C"/>
        <bgColor rgb="FF2C2C2C"/>
      </patternFill>
    </fill>
    <fill>
      <patternFill patternType="solid">
        <fgColor rgb="FFF8F8F8"/>
        <bgColor rgb="FFF8F8F8"/>
      </patternFill>
    </fill>
    <fill>
      <patternFill patternType="solid">
        <fgColor rgb="FFE0E0E0"/>
        <bgColor rgb="FFE0E0E0"/>
      </patternFill>
    </fill>
    <fill>
      <patternFill patternType="solid">
        <fgColor rgb="FF446084"/>
        <bgColor rgb="FF446084"/>
      </patternFill>
    </fill>
    <fill>
      <patternFill patternType="solid">
        <fgColor rgb="FFF6F6F8"/>
        <bgColor rgb="FFF6F6F8"/>
      </patternFill>
    </fill>
    <fill>
      <patternFill patternType="solid">
        <fgColor rgb="FFE8E8E8"/>
        <bgColor rgb="FFE8E8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0" fillId="0" fontId="1" numFmtId="0" xfId="0" applyAlignment="1" applyFont="1">
      <alignment horizontal="center" shrinkToFit="0" vertical="top" wrapText="0"/>
    </xf>
    <xf borderId="0" fillId="0" fontId="1" numFmtId="0" xfId="0" applyAlignment="1" applyFont="1">
      <alignment horizontal="center" readingOrder="0" shrinkToFit="0" vertical="top" wrapText="0"/>
    </xf>
    <xf borderId="0" fillId="0" fontId="2" numFmtId="0" xfId="0" applyAlignment="1" applyFont="1">
      <alignment horizontal="center" shrinkToFit="0" vertical="top" wrapText="0"/>
    </xf>
    <xf borderId="0" fillId="0" fontId="3" numFmtId="0" xfId="0" applyAlignment="1" applyFont="1">
      <alignment vertical="top"/>
    </xf>
    <xf borderId="0" fillId="0" fontId="1" numFmtId="0" xfId="0" applyAlignment="1" applyFont="1">
      <alignment horizontal="center" shrinkToFit="0" vertical="top" wrapText="0"/>
    </xf>
    <xf borderId="0" fillId="2" fontId="1" numFmtId="0" xfId="0" applyAlignment="1" applyFill="1" applyFont="1">
      <alignment horizontal="center" readingOrder="0" shrinkToFit="0" vertical="top" wrapText="0"/>
    </xf>
    <xf borderId="0" fillId="3" fontId="1" numFmtId="0" xfId="0" applyAlignment="1" applyFill="1" applyFont="1">
      <alignment horizontal="center" shrinkToFit="0" vertical="top" wrapText="0"/>
    </xf>
    <xf borderId="0" fillId="0" fontId="3" numFmtId="0" xfId="0" applyAlignment="1" applyFont="1">
      <alignment shrinkToFit="0" vertical="top" wrapText="0"/>
    </xf>
    <xf borderId="0" fillId="0" fontId="3" numFmtId="0" xfId="0" applyAlignment="1" applyFont="1">
      <alignment readingOrder="0" vertical="top"/>
    </xf>
    <xf borderId="1" fillId="0" fontId="1" numFmtId="0" xfId="0" applyAlignment="1" applyBorder="1" applyFont="1">
      <alignment horizontal="center" shrinkToFit="0" vertical="top" wrapText="0"/>
    </xf>
    <xf borderId="1" fillId="4" fontId="1" numFmtId="0" xfId="0" applyAlignment="1" applyBorder="1" applyFill="1" applyFont="1">
      <alignment horizontal="center" shrinkToFit="0" vertical="top" wrapText="0"/>
    </xf>
    <xf borderId="0" fillId="0" fontId="3" numFmtId="0" xfId="0" applyAlignment="1" applyFont="1">
      <alignment readingOrder="0" shrinkToFit="0" vertical="top" wrapText="0"/>
    </xf>
    <xf borderId="0" fillId="5" fontId="3" numFmtId="0" xfId="0" applyAlignment="1" applyFill="1" applyFont="1">
      <alignment readingOrder="0" shrinkToFit="0" vertical="top" wrapText="0"/>
    </xf>
    <xf borderId="1" fillId="0" fontId="1" numFmtId="0" xfId="0" applyAlignment="1" applyBorder="1" applyFont="1">
      <alignment horizontal="center" shrinkToFit="0" vertical="top" wrapText="0"/>
    </xf>
    <xf borderId="0" fillId="6" fontId="4" numFmtId="0" xfId="0" applyAlignment="1" applyFill="1" applyFont="1">
      <alignment shrinkToFit="0" wrapText="0"/>
    </xf>
    <xf borderId="0" fillId="6" fontId="4" numFmtId="0" xfId="0" applyAlignment="1" applyFont="1">
      <alignment readingOrder="0" shrinkToFit="0" wrapText="0"/>
    </xf>
    <xf borderId="1" fillId="5" fontId="1" numFmtId="0" xfId="0" applyAlignment="1" applyBorder="1" applyFont="1">
      <alignment horizontal="center" shrinkToFit="0" vertical="top" wrapText="0"/>
    </xf>
    <xf borderId="0" fillId="6" fontId="5" numFmtId="0" xfId="0" applyAlignment="1" applyFont="1">
      <alignment readingOrder="0" shrinkToFit="0" wrapText="0"/>
    </xf>
    <xf borderId="0" fillId="0" fontId="3" numFmtId="0" xfId="0" applyAlignment="1" applyFont="1">
      <alignment horizontal="right" shrinkToFit="0" vertical="bottom" wrapText="0"/>
    </xf>
    <xf borderId="0" fillId="0" fontId="3" numFmtId="0" xfId="0" applyAlignment="1" applyFont="1">
      <alignment shrinkToFit="0" vertical="bottom" wrapText="0"/>
    </xf>
    <xf borderId="0" fillId="6" fontId="3" numFmtId="0" xfId="0" applyAlignment="1" applyFont="1">
      <alignment readingOrder="0" shrinkToFit="0" vertical="bottom" wrapText="0"/>
    </xf>
    <xf borderId="0" fillId="0" fontId="4" numFmtId="0" xfId="0" applyAlignment="1" applyFont="1">
      <alignment shrinkToFit="0" wrapText="0"/>
    </xf>
    <xf borderId="0" fillId="0" fontId="3" numFmtId="0" xfId="0" applyAlignment="1" applyFont="1">
      <alignment readingOrder="0" vertical="bottom"/>
    </xf>
    <xf borderId="0" fillId="0" fontId="4" numFmtId="0" xfId="0" applyAlignment="1" applyFont="1">
      <alignment readingOrder="0" shrinkToFit="0" wrapText="0"/>
    </xf>
    <xf borderId="0" fillId="0" fontId="3" numFmtId="0" xfId="0" applyAlignment="1" applyFont="1">
      <alignment vertical="bottom"/>
    </xf>
    <xf borderId="0" fillId="0" fontId="3" numFmtId="0" xfId="0" applyAlignment="1" applyFont="1">
      <alignment horizontal="right" readingOrder="0" shrinkToFit="0" vertical="bottom" wrapText="0"/>
    </xf>
    <xf borderId="0" fillId="0" fontId="6" numFmtId="0" xfId="0" applyAlignment="1" applyFont="1">
      <alignment readingOrder="0" shrinkToFit="0" wrapText="0"/>
    </xf>
    <xf borderId="0" fillId="5" fontId="3" numFmtId="0" xfId="0" applyAlignment="1" applyFont="1">
      <alignment shrinkToFit="0" vertical="bottom" wrapText="0"/>
    </xf>
    <xf borderId="0" fillId="0" fontId="3" numFmtId="0" xfId="0" applyAlignment="1" applyFont="1">
      <alignment readingOrder="0" shrinkToFit="0" vertical="bottom" wrapText="0"/>
    </xf>
    <xf borderId="0" fillId="0" fontId="7" numFmtId="0" xfId="0" applyAlignment="1" applyFont="1">
      <alignment readingOrder="0" vertical="bottom"/>
    </xf>
    <xf borderId="0" fillId="6" fontId="3" numFmtId="0" xfId="0" applyAlignment="1" applyFont="1">
      <alignment horizontal="right" shrinkToFit="0" vertical="bottom" wrapText="0"/>
    </xf>
    <xf borderId="0" fillId="6" fontId="3" numFmtId="0" xfId="0" applyAlignment="1" applyFont="1">
      <alignment shrinkToFit="0" vertical="bottom" wrapText="0"/>
    </xf>
    <xf borderId="0" fillId="6" fontId="3" numFmtId="0" xfId="0" applyAlignment="1" applyFont="1">
      <alignment readingOrder="0" shrinkToFit="0" vertical="bottom" wrapText="0"/>
    </xf>
    <xf borderId="0" fillId="6" fontId="3" numFmtId="0" xfId="0" applyAlignment="1" applyFont="1">
      <alignment horizontal="right" readingOrder="0" shrinkToFit="0" vertical="bottom" wrapText="0"/>
    </xf>
    <xf borderId="0" fillId="6" fontId="8" numFmtId="0" xfId="0" applyAlignment="1" applyFont="1">
      <alignment readingOrder="0" shrinkToFit="0" vertical="bottom" wrapText="0"/>
    </xf>
    <xf borderId="0" fillId="0" fontId="4" numFmtId="0" xfId="0" applyAlignment="1" applyFont="1">
      <alignment readingOrder="0" shrinkToFit="0" wrapText="0"/>
    </xf>
    <xf borderId="0" fillId="6" fontId="9" numFmtId="0" xfId="0" applyAlignment="1" applyFont="1">
      <alignment readingOrder="0" vertical="bottom"/>
    </xf>
    <xf borderId="0" fillId="6" fontId="3" numFmtId="0" xfId="0" applyAlignment="1" applyFont="1">
      <alignment readingOrder="0" vertical="bottom"/>
    </xf>
    <xf borderId="0" fillId="6" fontId="3" numFmtId="0" xfId="0" applyAlignment="1" applyFont="1">
      <alignment vertical="bottom"/>
    </xf>
    <xf borderId="0" fillId="6" fontId="10" numFmtId="0" xfId="0" applyAlignment="1" applyFont="1">
      <alignment shrinkToFit="0" vertical="bottom" wrapText="0"/>
    </xf>
    <xf borderId="0" fillId="6" fontId="11" numFmtId="0" xfId="0" applyAlignment="1" applyFont="1">
      <alignment readingOrder="0" shrinkToFit="0" wrapText="0"/>
    </xf>
    <xf borderId="0" fillId="0" fontId="12" numFmtId="0" xfId="0" applyAlignment="1" applyFont="1">
      <alignment readingOrder="0" shrinkToFit="0" wrapText="0"/>
    </xf>
    <xf borderId="0" fillId="6" fontId="3" numFmtId="0" xfId="0" applyAlignment="1" applyFont="1">
      <alignment readingOrder="0" vertical="bottom"/>
    </xf>
    <xf borderId="0" fillId="0" fontId="3" numFmtId="0" xfId="0" applyAlignment="1" applyFont="1">
      <alignment readingOrder="0" shrinkToFit="0" vertical="bottom" wrapText="0"/>
    </xf>
    <xf borderId="0" fillId="0" fontId="13" numFmtId="0" xfId="0" applyAlignment="1" applyFont="1">
      <alignment shrinkToFit="0" vertical="bottom" wrapText="0"/>
    </xf>
    <xf borderId="0" fillId="0" fontId="14" numFmtId="0" xfId="0" applyAlignment="1" applyFont="1">
      <alignment readingOrder="0" vertical="bottom"/>
    </xf>
    <xf borderId="0" fillId="6" fontId="15" numFmtId="0" xfId="0" applyAlignment="1" applyFont="1">
      <alignment readingOrder="0" vertical="bottom"/>
    </xf>
    <xf borderId="0" fillId="6" fontId="16" numFmtId="0" xfId="0" applyAlignment="1" applyFont="1">
      <alignment readingOrder="0"/>
    </xf>
    <xf borderId="0" fillId="6" fontId="17" numFmtId="0" xfId="0" applyAlignment="1" applyFont="1">
      <alignment shrinkToFit="0" wrapText="0"/>
    </xf>
    <xf borderId="0" fillId="6" fontId="4" numFmtId="0" xfId="0" applyAlignment="1" applyFont="1">
      <alignment readingOrder="0" shrinkToFit="0" wrapText="0"/>
    </xf>
    <xf borderId="0" fillId="0" fontId="18" numFmtId="0" xfId="0" applyAlignment="1" applyFont="1">
      <alignment readingOrder="0" shrinkToFit="0" vertical="bottom" wrapText="0"/>
    </xf>
    <xf borderId="0" fillId="6" fontId="19" numFmtId="0" xfId="0" applyAlignment="1" applyFont="1">
      <alignment readingOrder="0"/>
    </xf>
    <xf borderId="0" fillId="3" fontId="16" numFmtId="0" xfId="0" applyAlignment="1" applyFont="1">
      <alignment readingOrder="0"/>
    </xf>
    <xf borderId="0" fillId="0" fontId="4" numFmtId="0" xfId="0" applyAlignment="1" applyFont="1">
      <alignment readingOrder="0"/>
    </xf>
    <xf borderId="0" fillId="3" fontId="16" numFmtId="0" xfId="0" applyAlignment="1" applyFont="1">
      <alignment horizontal="center"/>
    </xf>
    <xf borderId="0" fillId="3" fontId="20" numFmtId="0" xfId="0" applyAlignment="1" applyFont="1">
      <alignment readingOrder="0"/>
    </xf>
    <xf borderId="0" fillId="3" fontId="16" numFmtId="0" xfId="0" applyAlignment="1" applyFont="1">
      <alignment horizontal="center" readingOrder="0"/>
    </xf>
    <xf borderId="0" fillId="3" fontId="16" numFmtId="0" xfId="0" applyAlignment="1" applyFont="1">
      <alignment horizontal="center"/>
    </xf>
    <xf borderId="0" fillId="3" fontId="21" numFmtId="0" xfId="0" applyAlignment="1" applyFont="1">
      <alignment readingOrder="0" vertical="top"/>
    </xf>
    <xf borderId="0" fillId="0" fontId="22" numFmtId="0" xfId="0" applyAlignment="1" applyFont="1">
      <alignment horizontal="center" readingOrder="0"/>
    </xf>
    <xf borderId="0" fillId="0" fontId="4" numFmtId="0" xfId="0" applyAlignment="1" applyFont="1">
      <alignment readingOrder="0" shrinkToFit="0" vertical="top" wrapText="0"/>
    </xf>
    <xf borderId="0" fillId="6" fontId="23" numFmtId="0" xfId="0" applyAlignment="1" applyFont="1">
      <alignment readingOrder="0" shrinkToFit="0" vertical="bottom" wrapText="0"/>
    </xf>
    <xf borderId="0" fillId="0" fontId="24" numFmtId="0" xfId="0" applyAlignment="1" applyFont="1">
      <alignment horizontal="center" readingOrder="0"/>
    </xf>
    <xf borderId="0" fillId="3" fontId="19" numFmtId="0" xfId="0" applyAlignment="1" applyFont="1">
      <alignment readingOrder="0"/>
    </xf>
    <xf borderId="0" fillId="0" fontId="25" numFmtId="0" xfId="0" applyAlignment="1" applyFont="1">
      <alignment horizontal="center"/>
    </xf>
    <xf borderId="0" fillId="3" fontId="26" numFmtId="0" xfId="0" applyAlignment="1" applyFont="1">
      <alignment readingOrder="0"/>
    </xf>
    <xf borderId="0" fillId="3" fontId="27" numFmtId="0" xfId="0" applyAlignment="1" applyFont="1">
      <alignment readingOrder="0" vertical="top"/>
    </xf>
    <xf borderId="0" fillId="3" fontId="28" numFmtId="0" xfId="0" applyAlignment="1" applyFont="1">
      <alignment readingOrder="0"/>
    </xf>
    <xf borderId="0" fillId="3" fontId="29" numFmtId="0" xfId="0" applyAlignment="1" applyFont="1">
      <alignment horizontal="right" readingOrder="0"/>
    </xf>
    <xf borderId="0" fillId="3" fontId="30" numFmtId="0" xfId="0" applyAlignment="1" applyFont="1">
      <alignment readingOrder="0"/>
    </xf>
    <xf borderId="0" fillId="0" fontId="31" numFmtId="0" xfId="0" applyAlignment="1" applyFont="1">
      <alignment readingOrder="0"/>
    </xf>
    <xf borderId="0" fillId="0" fontId="32" numFmtId="0" xfId="0" applyAlignment="1" applyFont="1">
      <alignment horizontal="center" readingOrder="0"/>
    </xf>
    <xf borderId="0" fillId="6" fontId="4" numFmtId="0" xfId="0" applyAlignment="1" applyFont="1">
      <alignment readingOrder="0" shrinkToFit="0" vertical="top" wrapText="0"/>
    </xf>
    <xf borderId="0" fillId="3" fontId="19" numFmtId="0" xfId="0" applyAlignment="1" applyFont="1">
      <alignment horizontal="center" readingOrder="0"/>
    </xf>
    <xf borderId="0" fillId="3" fontId="33" numFmtId="0" xfId="0" applyAlignment="1" applyFont="1">
      <alignment readingOrder="0"/>
    </xf>
    <xf borderId="0" fillId="7" fontId="34" numFmtId="0" xfId="0" applyAlignment="1" applyFill="1" applyFont="1">
      <alignment readingOrder="0"/>
    </xf>
    <xf borderId="0" fillId="3" fontId="30" numFmtId="0" xfId="0" applyAlignment="1" applyFont="1">
      <alignment vertical="top"/>
    </xf>
    <xf borderId="0" fillId="0" fontId="1" numFmtId="0" xfId="0" applyAlignment="1" applyFont="1">
      <alignment shrinkToFit="0" vertical="bottom" wrapText="0"/>
    </xf>
    <xf borderId="0" fillId="0" fontId="1" numFmtId="0" xfId="0" applyAlignment="1" applyFont="1">
      <alignment readingOrder="0" shrinkToFit="0" vertical="bottom" wrapText="0"/>
    </xf>
    <xf borderId="0" fillId="0" fontId="35" numFmtId="0" xfId="0" applyAlignment="1" applyFont="1">
      <alignment readingOrder="0" shrinkToFit="0" vertical="bottom" wrapText="0"/>
    </xf>
    <xf borderId="0" fillId="3" fontId="36" numFmtId="0" xfId="0" applyAlignment="1" applyFont="1">
      <alignment readingOrder="0"/>
    </xf>
    <xf borderId="0" fillId="8" fontId="37" numFmtId="0" xfId="0" applyAlignment="1" applyFill="1" applyFont="1">
      <alignment readingOrder="0"/>
    </xf>
    <xf borderId="0" fillId="6" fontId="16" numFmtId="0" xfId="0" applyAlignment="1" applyFont="1">
      <alignment horizontal="center"/>
    </xf>
    <xf borderId="0" fillId="3" fontId="30" numFmtId="0" xfId="0" applyAlignment="1" applyFont="1">
      <alignment readingOrder="0" vertical="top"/>
    </xf>
    <xf borderId="0" fillId="3" fontId="38" numFmtId="0" xfId="0" applyAlignment="1" applyFont="1">
      <alignment horizontal="center" readingOrder="0"/>
    </xf>
    <xf borderId="0" fillId="6" fontId="22" numFmtId="0" xfId="0" applyAlignment="1" applyFont="1">
      <alignment horizontal="center" readingOrder="0"/>
    </xf>
    <xf borderId="0" fillId="6" fontId="19" numFmtId="0" xfId="0" applyAlignment="1" applyFont="1">
      <alignment horizontal="center" readingOrder="0"/>
    </xf>
    <xf borderId="0" fillId="0" fontId="39" numFmtId="0" xfId="0" applyAlignment="1" applyFont="1">
      <alignment shrinkToFit="0" wrapText="0"/>
    </xf>
    <xf borderId="0" fillId="6" fontId="21" numFmtId="0" xfId="0" applyAlignment="1" applyFont="1">
      <alignment readingOrder="0" vertical="top"/>
    </xf>
    <xf borderId="0" fillId="9" fontId="40" numFmtId="0" xfId="0" applyAlignment="1" applyFill="1" applyFont="1">
      <alignment horizontal="center" readingOrder="0"/>
    </xf>
    <xf borderId="0" fillId="3" fontId="41" numFmtId="0" xfId="0" applyAlignment="1" applyFont="1">
      <alignment readingOrder="0"/>
    </xf>
    <xf borderId="0" fillId="7" fontId="42" numFmtId="0" xfId="0" applyAlignment="1" applyFont="1">
      <alignment readingOrder="0"/>
    </xf>
    <xf borderId="0" fillId="3" fontId="43" numFmtId="0" xfId="0" applyAlignment="1" applyFont="1">
      <alignment readingOrder="0"/>
    </xf>
    <xf borderId="0" fillId="3" fontId="44" numFmtId="0" xfId="0" applyAlignment="1" applyFont="1">
      <alignment readingOrder="0" shrinkToFit="0" wrapText="1"/>
    </xf>
    <xf borderId="0" fillId="7" fontId="45" numFmtId="0" xfId="0" applyAlignment="1" applyFont="1">
      <alignment readingOrder="0"/>
    </xf>
    <xf borderId="0" fillId="7" fontId="46" numFmtId="0" xfId="0" applyAlignment="1" applyFont="1">
      <alignment readingOrder="0"/>
    </xf>
    <xf borderId="0" fillId="7" fontId="47" numFmtId="0" xfId="0" applyAlignment="1" applyFont="1">
      <alignment readingOrder="0"/>
    </xf>
    <xf borderId="0" fillId="8" fontId="48" numFmtId="0" xfId="0" applyAlignment="1" applyFont="1">
      <alignment readingOrder="0"/>
    </xf>
    <xf borderId="0" fillId="3" fontId="49" numFmtId="0" xfId="0" applyAlignment="1" applyFont="1">
      <alignment readingOrder="0"/>
    </xf>
    <xf borderId="0" fillId="3" fontId="50" numFmtId="0" xfId="0" applyAlignment="1" applyFont="1">
      <alignment readingOrder="0"/>
    </xf>
    <xf borderId="0" fillId="7" fontId="45" numFmtId="0" xfId="0" applyAlignment="1" applyFont="1">
      <alignment readingOrder="0" shrinkToFit="0" wrapText="0"/>
    </xf>
    <xf borderId="0" fillId="3" fontId="51" numFmtId="0" xfId="0" applyAlignment="1" applyFont="1">
      <alignment horizontal="left" readingOrder="0"/>
    </xf>
    <xf borderId="0" fillId="6" fontId="30" numFmtId="0" xfId="0" applyAlignment="1" applyFont="1">
      <alignment readingOrder="0"/>
    </xf>
    <xf borderId="0" fillId="10" fontId="52" numFmtId="0" xfId="0" applyAlignment="1" applyFill="1" applyFont="1">
      <alignment horizontal="left" readingOrder="0"/>
    </xf>
    <xf borderId="0" fillId="3" fontId="53" numFmtId="0" xfId="0" applyAlignment="1" applyFont="1">
      <alignment readingOrder="0" shrinkToFit="0" wrapText="1"/>
    </xf>
    <xf borderId="0" fillId="11" fontId="54" numFmtId="0" xfId="0" applyAlignment="1" applyFill="1" applyFont="1">
      <alignment horizontal="center" readingOrder="0"/>
    </xf>
    <xf borderId="0" fillId="6" fontId="30" numFmtId="0" xfId="0" applyAlignment="1" applyFont="1">
      <alignment readingOrder="0" vertical="top"/>
    </xf>
    <xf borderId="0" fillId="3" fontId="55" numFmtId="0" xfId="0" applyAlignment="1" applyFont="1">
      <alignment readingOrder="0"/>
    </xf>
    <xf borderId="0" fillId="6" fontId="21" numFmtId="0" xfId="0" applyAlignment="1" applyFont="1">
      <alignment readingOrder="0"/>
    </xf>
    <xf borderId="0" fillId="12" fontId="56" numFmtId="0" xfId="0" applyAlignment="1" applyFill="1" applyFont="1">
      <alignment readingOrder="0"/>
    </xf>
    <xf borderId="0" fillId="0" fontId="57" numFmtId="0" xfId="0" applyAlignment="1" applyFont="1">
      <alignment shrinkToFit="0" wrapText="0"/>
    </xf>
    <xf borderId="0" fillId="0" fontId="58" numFmtId="0" xfId="0" applyAlignment="1" applyFont="1">
      <alignment readingOrder="0" shrinkToFit="0" wrapText="0"/>
    </xf>
    <xf borderId="0" fillId="13" fontId="59" numFmtId="0" xfId="0" applyFill="1" applyFont="1"/>
    <xf borderId="0" fillId="3" fontId="33" numFmtId="0" xfId="0" applyAlignment="1" applyFont="1">
      <alignment horizontal="center" readingOrder="0"/>
    </xf>
    <xf borderId="0" fillId="0" fontId="21" numFmtId="0" xfId="0" applyAlignment="1" applyFont="1">
      <alignment readingOrder="0"/>
    </xf>
    <xf borderId="0" fillId="0" fontId="60" numFmtId="0" xfId="0" applyAlignment="1" applyFont="1">
      <alignment horizontal="left" readingOrder="0"/>
    </xf>
    <xf borderId="0" fillId="7" fontId="42" numFmtId="0" xfId="0" applyAlignment="1" applyFont="1">
      <alignment readingOrder="0"/>
    </xf>
    <xf borderId="0" fillId="0" fontId="4" numFmtId="0" xfId="0" applyFont="1"/>
    <xf borderId="0" fillId="0" fontId="4" numFmtId="0" xfId="0" applyAlignment="1" applyFont="1">
      <alignment shrinkToFit="0" vertical="top" wrapText="0"/>
    </xf>
    <xf borderId="0" fillId="0" fontId="61" numFmtId="0" xfId="0" applyAlignment="1" applyFont="1">
      <alignment readingOrder="0" shrinkToFit="0" vertical="top" wrapText="0"/>
    </xf>
    <xf borderId="0" fillId="3" fontId="62" numFmtId="0" xfId="0" applyAlignment="1" applyFont="1">
      <alignment horizontal="center" readingOrder="0"/>
    </xf>
    <xf borderId="0" fillId="3" fontId="63" numFmtId="0" xfId="0" applyAlignment="1" applyFont="1">
      <alignment readingOrder="0"/>
    </xf>
    <xf borderId="0" fillId="0" fontId="64" numFmtId="0" xfId="0" applyAlignment="1" applyFont="1">
      <alignment readingOrder="0" shrinkToFit="0" wrapText="0"/>
    </xf>
    <xf borderId="0" fillId="14" fontId="65" numFmtId="0" xfId="0" applyAlignment="1" applyFill="1" applyFont="1">
      <alignment horizontal="left"/>
    </xf>
    <xf borderId="0" fillId="7" fontId="66" numFmtId="0" xfId="0" applyAlignment="1" applyFont="1">
      <alignment readingOrder="0"/>
    </xf>
    <xf borderId="0" fillId="0" fontId="67" numFmtId="0" xfId="0" applyAlignment="1" applyFont="1">
      <alignment shrinkToFit="0" vertical="bottom" wrapText="0"/>
    </xf>
    <xf borderId="0" fillId="3" fontId="68" numFmtId="0" xfId="0" applyAlignment="1" applyFont="1">
      <alignment readingOrder="0"/>
    </xf>
    <xf borderId="0" fillId="3" fontId="68" numFmtId="0" xfId="0" applyFont="1"/>
    <xf borderId="0" fillId="3" fontId="69" numFmtId="0" xfId="0" applyAlignment="1" applyFont="1">
      <alignment readingOrder="0"/>
    </xf>
    <xf borderId="0" fillId="3" fontId="4" numFmtId="0" xfId="0" applyAlignment="1" applyFont="1">
      <alignment shrinkToFit="0" wrapText="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instagram.com/fnbbyamitdua/?hl=en" TargetMode="External"/><Relationship Id="rId194" Type="http://schemas.openxmlformats.org/officeDocument/2006/relationships/hyperlink" Target="https://www.facebook.com/Delicocktailhouse786/" TargetMode="External"/><Relationship Id="rId193" Type="http://schemas.openxmlformats.org/officeDocument/2006/relationships/hyperlink" Target="https://www.facebook.com/jaiswalcaterersanddecoreter/" TargetMode="External"/><Relationship Id="rId192" Type="http://schemas.openxmlformats.org/officeDocument/2006/relationships/hyperlink" Target="http://www.ahmedmughlai.com/" TargetMode="External"/><Relationship Id="rId191" Type="http://schemas.openxmlformats.org/officeDocument/2006/relationships/hyperlink" Target="http://kuremalskulfi.com/" TargetMode="External"/><Relationship Id="rId187" Type="http://schemas.openxmlformats.org/officeDocument/2006/relationships/hyperlink" Target="https://www.instagram.com/sbb_caters84/" TargetMode="External"/><Relationship Id="rId186" Type="http://schemas.openxmlformats.org/officeDocument/2006/relationships/hyperlink" Target="https://www.instagram.com/parampara_catering/" TargetMode="External"/><Relationship Id="rId185" Type="http://schemas.openxmlformats.org/officeDocument/2006/relationships/hyperlink" Target="https://www.facebook.com/FOODMANTRAA.GURGAON/" TargetMode="External"/><Relationship Id="rId184" Type="http://schemas.openxmlformats.org/officeDocument/2006/relationships/hyperlink" Target="http://www.eliteindiacorp.in/" TargetMode="External"/><Relationship Id="rId189" Type="http://schemas.openxmlformats.org/officeDocument/2006/relationships/hyperlink" Target="https://www.facebook.com/NeoroyalCatering/" TargetMode="External"/><Relationship Id="rId188" Type="http://schemas.openxmlformats.org/officeDocument/2006/relationships/hyperlink" Target="https://mpsss.in/" TargetMode="External"/><Relationship Id="rId183" Type="http://schemas.openxmlformats.org/officeDocument/2006/relationships/hyperlink" Target="https://www.facebook.com/themintleaf/" TargetMode="External"/><Relationship Id="rId182" Type="http://schemas.openxmlformats.org/officeDocument/2006/relationships/hyperlink" Target="https://www.instagram.com/caterersgurukirpa/" TargetMode="External"/><Relationship Id="rId181" Type="http://schemas.openxmlformats.org/officeDocument/2006/relationships/hyperlink" Target="https://www.facebook.com/shakilmd1234/" TargetMode="External"/><Relationship Id="rId180" Type="http://schemas.openxmlformats.org/officeDocument/2006/relationships/hyperlink" Target="https://www.facebook.com/bathlatent/" TargetMode="External"/><Relationship Id="rId176" Type="http://schemas.openxmlformats.org/officeDocument/2006/relationships/hyperlink" Target="https://www.instagram.com/a3acaterer/" TargetMode="External"/><Relationship Id="rId297" Type="http://schemas.openxmlformats.org/officeDocument/2006/relationships/hyperlink" Target="https://www.instagram.com/gourmerservices/?hl=en" TargetMode="External"/><Relationship Id="rId175" Type="http://schemas.openxmlformats.org/officeDocument/2006/relationships/hyperlink" Target="https://artofmasala.com/" TargetMode="External"/><Relationship Id="rId296" Type="http://schemas.openxmlformats.org/officeDocument/2006/relationships/hyperlink" Target="https://www.instagram.com/thechaataffair/?hl=en" TargetMode="External"/><Relationship Id="rId174" Type="http://schemas.openxmlformats.org/officeDocument/2006/relationships/hyperlink" Target="https://www.instagram.com/khemahalwai/" TargetMode="External"/><Relationship Id="rId295" Type="http://schemas.openxmlformats.org/officeDocument/2006/relationships/hyperlink" Target="https://www.facebook.com/eventscuisine/" TargetMode="External"/><Relationship Id="rId173" Type="http://schemas.openxmlformats.org/officeDocument/2006/relationships/hyperlink" Target="https://thefamoushalwai.com/" TargetMode="External"/><Relationship Id="rId294" Type="http://schemas.openxmlformats.org/officeDocument/2006/relationships/hyperlink" Target="https://www.facebook.com/cafewoodwill/" TargetMode="External"/><Relationship Id="rId179" Type="http://schemas.openxmlformats.org/officeDocument/2006/relationships/hyperlink" Target="https://www.google.com/search?q=Rajan+Caterers+%26+Decorators&amp;rlz=1C1VDKB_enIN1074IN1074&amp;oq=Rajan+Caterers+%26+Decorators&amp;gs_lcrp=EgZjaHJvbWUyBggAEEUYOTIGCAEQIxgnMgcIAhAAGO8FMgcIAxAAGO8FMgoIBBAAGIAEGKIEMgcIBRAAGO8FMgcIBhAAGO8F0gEHOTkxajBqN6gCALACAA&amp;sourceid=chrome&amp;source=chrome.ob&amp;ie=UTF-8" TargetMode="External"/><Relationship Id="rId178" Type="http://schemas.openxmlformats.org/officeDocument/2006/relationships/hyperlink" Target="https://www.therajancaterers.com/contact-us" TargetMode="External"/><Relationship Id="rId299" Type="http://schemas.openxmlformats.org/officeDocument/2006/relationships/hyperlink" Target="https://www.facebook.com/p/Malhotra-Tent-House-Caterers-decorator-100063564261517/" TargetMode="External"/><Relationship Id="rId177" Type="http://schemas.openxmlformats.org/officeDocument/2006/relationships/hyperlink" Target="https://www.facebook.com/theroyalpalacevasundhra/" TargetMode="External"/><Relationship Id="rId298" Type="http://schemas.openxmlformats.org/officeDocument/2006/relationships/hyperlink" Target="https://www.artcraft.co.in/?srsltid=AfmBOooDPmM-617URKIXp05mN7Q_tY6avycVO_DhE6I_Np1WpUwEjn3Z" TargetMode="External"/><Relationship Id="rId198" Type="http://schemas.openxmlformats.org/officeDocument/2006/relationships/hyperlink" Target="https://www.instagram.com/theseasonscatering/?hl=en" TargetMode="External"/><Relationship Id="rId197" Type="http://schemas.openxmlformats.org/officeDocument/2006/relationships/hyperlink" Target="https://www.instagram.com/thetasteaffair/?hl=en" TargetMode="External"/><Relationship Id="rId196" Type="http://schemas.openxmlformats.org/officeDocument/2006/relationships/hyperlink" Target="https://www.instagram.com/royalflavors_noida/" TargetMode="External"/><Relationship Id="rId195" Type="http://schemas.openxmlformats.org/officeDocument/2006/relationships/hyperlink" Target="https://www.instagram.com/gourmetgrub_official/?hl=en" TargetMode="External"/><Relationship Id="rId199" Type="http://schemas.openxmlformats.org/officeDocument/2006/relationships/hyperlink" Target="https://www.google.com/search?q=Seasons+Catering+Services&amp;rlz=1C1VDKB_enIN1074IN1074&amp;oq=Seasons+Catering+Services&amp;gs_lcrp=EgZjaHJvbWUyBggAEEUYOTINCAEQLhivARjHARiABDIICAIQABgWGB4yCAgDEAAYFhgeMggIBBAAGBYYHjIICAUQABgWGB4yCAgGEAAYFhgeMggIBxAAGBYYHjIICAgQABgWGB7SAQgzNDE2ajBqN6gCCLACAfEFqRQATMwKBrA&amp;sourceid=chrome&amp;source=chrome.ob&amp;ie=UTF-8" TargetMode="External"/><Relationship Id="rId150" Type="http://schemas.openxmlformats.org/officeDocument/2006/relationships/hyperlink" Target="https://www.instagram.com/lachiigurgaon/" TargetMode="External"/><Relationship Id="rId271" Type="http://schemas.openxmlformats.org/officeDocument/2006/relationships/hyperlink" Target="https://www.instagram.com/wadhwa_caterers_85/" TargetMode="External"/><Relationship Id="rId392" Type="http://schemas.openxmlformats.org/officeDocument/2006/relationships/hyperlink" Target="https://www.google.com/search?q=The+Great+Indian+Chaat&amp;rlz=1C1VDKB_enIN1074IN1074&amp;oq=The+Great+Indian+Chaat&amp;gs_lcrp=EgZjaHJvbWUyBggAEEUYOTIGCAEQIxgnMhYIAhAuGK8BGMcBGJECGIAEGIoFGI4FMggIAxAAGBYYHjIHCAQQABjvBTIKCAUQABiiBBiJBTIHCAYQABjvBTIHCAcQABjvBdIBBzczNGowajeoAgiwAgHxBdzS0U9WTO8H&amp;sourceid=chrome&amp;source=chrome.ob&amp;ie=UTF-8" TargetMode="External"/><Relationship Id="rId270" Type="http://schemas.openxmlformats.org/officeDocument/2006/relationships/hyperlink" Target="https://www.instagram.com/khan_caterers_/" TargetMode="External"/><Relationship Id="rId391" Type="http://schemas.openxmlformats.org/officeDocument/2006/relationships/hyperlink" Target="https://www.instagram.com/thegreatindianchaat/?hl=en" TargetMode="External"/><Relationship Id="rId390" Type="http://schemas.openxmlformats.org/officeDocument/2006/relationships/hyperlink" Target="https://www.instagram.com/adarshcaterer/" TargetMode="External"/><Relationship Id="rId1" Type="http://schemas.openxmlformats.org/officeDocument/2006/relationships/hyperlink" Target="https://www.facebook.com/KnifeArts/" TargetMode="External"/><Relationship Id="rId2" Type="http://schemas.openxmlformats.org/officeDocument/2006/relationships/hyperlink" Target="https://www.theatara.com/atara-catering/atara-catering.html" TargetMode="External"/><Relationship Id="rId3" Type="http://schemas.openxmlformats.org/officeDocument/2006/relationships/hyperlink" Target="https://www.diva-italian.com/caterings.php" TargetMode="External"/><Relationship Id="rId149" Type="http://schemas.openxmlformats.org/officeDocument/2006/relationships/hyperlink" Target="https://aristocrat.co.in/" TargetMode="External"/><Relationship Id="rId4" Type="http://schemas.openxmlformats.org/officeDocument/2006/relationships/hyperlink" Target="https://shaguncaterers.com/" TargetMode="External"/><Relationship Id="rId148" Type="http://schemas.openxmlformats.org/officeDocument/2006/relationships/hyperlink" Target="https://www.facebook.com/supremekitchen.in/" TargetMode="External"/><Relationship Id="rId269" Type="http://schemas.openxmlformats.org/officeDocument/2006/relationships/hyperlink" Target="https://www.instagram.com/explore/tags/9811987831/" TargetMode="External"/><Relationship Id="rId9" Type="http://schemas.openxmlformats.org/officeDocument/2006/relationships/hyperlink" Target="https://chatpatastories.com/" TargetMode="External"/><Relationship Id="rId143" Type="http://schemas.openxmlformats.org/officeDocument/2006/relationships/hyperlink" Target="https://neoroyalcatering.wordpress.com/" TargetMode="External"/><Relationship Id="rId264" Type="http://schemas.openxmlformats.org/officeDocument/2006/relationships/hyperlink" Target="https://www.facebook.com/tlckitchencatering/" TargetMode="External"/><Relationship Id="rId385" Type="http://schemas.openxmlformats.org/officeDocument/2006/relationships/hyperlink" Target="https://bhatiacaterers.in/" TargetMode="External"/><Relationship Id="rId142" Type="http://schemas.openxmlformats.org/officeDocument/2006/relationships/hyperlink" Target="https://www.instagram.com/shree_shyam_ji_caterer/" TargetMode="External"/><Relationship Id="rId263" Type="http://schemas.openxmlformats.org/officeDocument/2006/relationships/hyperlink" Target="https://www.instagram.com/sai_catering_service_56/?hl=en" TargetMode="External"/><Relationship Id="rId384" Type="http://schemas.openxmlformats.org/officeDocument/2006/relationships/hyperlink" Target="https://www.facebook.com/ceterers/" TargetMode="External"/><Relationship Id="rId141" Type="http://schemas.openxmlformats.org/officeDocument/2006/relationships/hyperlink" Target="https://www.facebook.com/goldenplatez/" TargetMode="External"/><Relationship Id="rId262" Type="http://schemas.openxmlformats.org/officeDocument/2006/relationships/hyperlink" Target="https://www.facebook.com/theterracesatdelhi/" TargetMode="External"/><Relationship Id="rId383" Type="http://schemas.openxmlformats.org/officeDocument/2006/relationships/hyperlink" Target="https://www.instagram.com/delhi_party_kitchen/" TargetMode="External"/><Relationship Id="rId140" Type="http://schemas.openxmlformats.org/officeDocument/2006/relationships/hyperlink" Target="https://www.facebook.com/Noida/" TargetMode="External"/><Relationship Id="rId261" Type="http://schemas.openxmlformats.org/officeDocument/2006/relationships/hyperlink" Target="https://swadisht-caterers.netlify.app/" TargetMode="External"/><Relationship Id="rId382" Type="http://schemas.openxmlformats.org/officeDocument/2006/relationships/hyperlink" Target="https://shreebalajicaterers.co.in/" TargetMode="External"/><Relationship Id="rId5" Type="http://schemas.openxmlformats.org/officeDocument/2006/relationships/hyperlink" Target="https://bigbellykitchen.com/" TargetMode="External"/><Relationship Id="rId147" Type="http://schemas.openxmlformats.org/officeDocument/2006/relationships/hyperlink" Target="https://www.google.com/search?q=Aaugritaa+Caterers&amp;rlz=1C1VDKB_enIN1074IN1074&amp;oq=Aaugritaa+Caterers&amp;gs_lcrp=EgZjaHJvbWUyBggAEEUYOTIHCAEQABjvBTIHCAIQABjvBTIKCAMQABiABBiiBNIBBzgwMmowajeoAgiwAgHxBX9hbEFGljh2&amp;sourceid=chrome&amp;source=chrome.ob&amp;ie=UTF-8" TargetMode="External"/><Relationship Id="rId268" Type="http://schemas.openxmlformats.org/officeDocument/2006/relationships/hyperlink" Target="https://www.instagram.com/deluxefinecatering/" TargetMode="External"/><Relationship Id="rId389" Type="http://schemas.openxmlformats.org/officeDocument/2006/relationships/hyperlink" Target="https://www.instagram.com/swamieventmanagement/" TargetMode="External"/><Relationship Id="rId6" Type="http://schemas.openxmlformats.org/officeDocument/2006/relationships/hyperlink" Target="https://chetancateringsandevents.com/" TargetMode="External"/><Relationship Id="rId146" Type="http://schemas.openxmlformats.org/officeDocument/2006/relationships/hyperlink" Target="https://www.instagram.com/aaugritaa/" TargetMode="External"/><Relationship Id="rId267" Type="http://schemas.openxmlformats.org/officeDocument/2006/relationships/hyperlink" Target="https://www.instagram.com/celebratewithbaraat/" TargetMode="External"/><Relationship Id="rId388" Type="http://schemas.openxmlformats.org/officeDocument/2006/relationships/hyperlink" Target="https://www.google.com/search?q=RR+Caters&amp;rlz=1C1VDKB_enIN1074IN1074&amp;oq=RR+Caters&amp;gs_lcrp=EgZjaHJvbWUyBggAEEUYOTINCAEQABiGAxiABBiKBTINCAIQABiGAxiABBiKBdIBCDIwMDlqMGo3qAIIsAIB8QX_xZdIB3wZyfEF_8WXSAd8Gck&amp;sourceid=chrome&amp;source=chrome.ob&amp;ie=UTF-8" TargetMode="External"/><Relationship Id="rId7" Type="http://schemas.openxmlformats.org/officeDocument/2006/relationships/hyperlink" Target="https://www.shreeramcaterers.site/" TargetMode="External"/><Relationship Id="rId145" Type="http://schemas.openxmlformats.org/officeDocument/2006/relationships/hyperlink" Target="https://www.google.com/search?q=chawla+caterers+%26+tent+house+gurgaon&amp;sca_esv=20b4b65056ec4911&amp;rlz=1C1VDKB_enIN1074IN1074&amp;sxsrf=APpeQnuI65W9SU-Sau38h1ef8AugSIXu9A%3A1783936366387&amp;ei=brVUauKKF8WZ4-EPyLWh2AY&amp;oq=Chawla+Caterers+%26+Tent+House+gur&amp;gs_lp=Egxnd3Mtd2l6LXNlcnAiIENoYXdsYSBDYXRlcmVycyAmIFRlbnQgSG91c2UgZ3VyKgIIATIFECEYoAEyBRAhGKABMgUQIRigATIFECEYoAEyBRAhGKABSL1fULIFWMENcAF4AJABAJgBugGgAdoGqgEDMC41uAEByAEA-AEBmAIFoAL1BcICCRAAGAgYHhiwA8ICCBAAGO8FGLADwgILEAAYgAQYogQYsAPCAgYQABgWGB7CAgUQABjvBZgDAIgGAZAGBZIHBTEuMy4xoAenErIHBTAuMy4xuAfsBcIHAzItNcgHGIAIAQ&amp;sclient=gws-wiz-serp" TargetMode="External"/><Relationship Id="rId266" Type="http://schemas.openxmlformats.org/officeDocument/2006/relationships/hyperlink" Target="https://www.instagram.com/essemmgroup/?hl=en" TargetMode="External"/><Relationship Id="rId387" Type="http://schemas.openxmlformats.org/officeDocument/2006/relationships/hyperlink" Target="https://www.instagram.com/rrcaterersevents/" TargetMode="External"/><Relationship Id="rId8" Type="http://schemas.openxmlformats.org/officeDocument/2006/relationships/hyperlink" Target="https://thekamathcaterers.in/" TargetMode="External"/><Relationship Id="rId144" Type="http://schemas.openxmlformats.org/officeDocument/2006/relationships/hyperlink" Target="https://www.instagram.com/chawlacatererspvt.ltd/" TargetMode="External"/><Relationship Id="rId265" Type="http://schemas.openxmlformats.org/officeDocument/2006/relationships/hyperlink" Target="https://www.google.com/search?q=TLC+Kitchen+Catering&amp;rlz=1C1VDKB_enIN1074IN1074&amp;oq=TLC+Kitchen+Catering&amp;gs_lcrp=EgZjaHJvbWUyBggAEEUYOTIGCAEQIxgnMgoIAhAAGIAEGKIEMgcIAxAAGO8FMgcIBBAAGO8FMgcIBRAAGO8F0gEHNjc0ajBqN6gCCLACAfEFvEIX_ZsfLuQ&amp;sourceid=chrome&amp;source=chrome.ob&amp;ie=UTF-8" TargetMode="External"/><Relationship Id="rId386" Type="http://schemas.openxmlformats.org/officeDocument/2006/relationships/hyperlink" Target="https://gourmetspice.in/" TargetMode="External"/><Relationship Id="rId260" Type="http://schemas.openxmlformats.org/officeDocument/2006/relationships/hyperlink" Target="https://leisure-events.co.uk/" TargetMode="External"/><Relationship Id="rId381" Type="http://schemas.openxmlformats.org/officeDocument/2006/relationships/hyperlink" Target="https://www.instagram.com/velvetvapourhookah/" TargetMode="External"/><Relationship Id="rId380" Type="http://schemas.openxmlformats.org/officeDocument/2006/relationships/hyperlink" Target="https://www.facebook.com/unitedchaathouse/" TargetMode="External"/><Relationship Id="rId139" Type="http://schemas.openxmlformats.org/officeDocument/2006/relationships/hyperlink" Target="https://www.facebook.com/OneFineMeal/" TargetMode="External"/><Relationship Id="rId138" Type="http://schemas.openxmlformats.org/officeDocument/2006/relationships/hyperlink" Target="https://www.instagram.com/raj_tent_catterers_decorators?igsh=OThseGFmMzRwYTRj" TargetMode="External"/><Relationship Id="rId259" Type="http://schemas.openxmlformats.org/officeDocument/2006/relationships/hyperlink" Target="https://www.nathusweets.com/" TargetMode="External"/><Relationship Id="rId137" Type="http://schemas.openxmlformats.org/officeDocument/2006/relationships/hyperlink" Target="https://www.facebook.com/xocateringbydesign.in/" TargetMode="External"/><Relationship Id="rId258" Type="http://schemas.openxmlformats.org/officeDocument/2006/relationships/hyperlink" Target="https://www.facebook.com/B2Banquets/" TargetMode="External"/><Relationship Id="rId379" Type="http://schemas.openxmlformats.org/officeDocument/2006/relationships/hyperlink" Target="https://www.facebook.com/7spices.in/" TargetMode="External"/><Relationship Id="rId132" Type="http://schemas.openxmlformats.org/officeDocument/2006/relationships/hyperlink" Target="https://www.instagram.com/narang_catering/" TargetMode="External"/><Relationship Id="rId253" Type="http://schemas.openxmlformats.org/officeDocument/2006/relationships/hyperlink" Target="https://www.google.com/search?q=Your%27s+Choice+Cater%27s&amp;rlz=1C1VDKB_enIN1074IN1074&amp;oq=Your%27s+Choice+Cater%27s&amp;gs_lcrp=EgZjaHJvbWUyBggAEEUYOTIICAEQABgWGB4yCAgCEAAYFhgeMggIAxAAGBYYHjIICAQQABgWGB4yCAgFEAAYFhgeMggIBhAAGBYYHjIICAcQABgWGB4yCAgIEAAYFhgeMggICRAAGBYYHtIBBzY5MWowajeoAgiwAgHxBR877yT5Iyea8QUfO-8k-SMnmg&amp;sourceid=chrome&amp;source=chrome.ob&amp;ie=UTF-8" TargetMode="External"/><Relationship Id="rId374" Type="http://schemas.openxmlformats.org/officeDocument/2006/relationships/hyperlink" Target="https://www.instagram.com/gopalcook_and_catering_service/?hl=en" TargetMode="External"/><Relationship Id="rId131" Type="http://schemas.openxmlformats.org/officeDocument/2006/relationships/hyperlink" Target="https://www.facebook.com/p/Shelly-Catering-Services-100089637473944/" TargetMode="External"/><Relationship Id="rId252" Type="http://schemas.openxmlformats.org/officeDocument/2006/relationships/hyperlink" Target="https://chefbychoice.com/" TargetMode="External"/><Relationship Id="rId373" Type="http://schemas.openxmlformats.org/officeDocument/2006/relationships/hyperlink" Target="https://www.instagram.com/boostancatering.co/" TargetMode="External"/><Relationship Id="rId130" Type="http://schemas.openxmlformats.org/officeDocument/2006/relationships/hyperlink" Target="https://www.facebook.com/rameshcaterers/" TargetMode="External"/><Relationship Id="rId251" Type="http://schemas.openxmlformats.org/officeDocument/2006/relationships/hyperlink" Target="https://www.facebook.com/cateringskitchen/?locale=bg_BG" TargetMode="External"/><Relationship Id="rId372" Type="http://schemas.openxmlformats.org/officeDocument/2006/relationships/hyperlink" Target="https://www.google.com/search?q=Delhicacy&amp;rlz=1C1VDKB_enIN1074IN1074&amp;oq=Delhicacy&amp;gs_lcrp=EgZjaHJvbWUyBggAEEUYOTIGCAEQIxgnMg0IAhAAGJECGIAEGIoFMgcIAxAAGIAEMgcIBBAAGIAEMgcIBRAAGIAEMgcIBhAAGIAEMgcIBxAAGIAEMgcICBAAGIAEMgcICRAAGIAE0gEHNzc3ajBqN6gCCLACAfEFFPCGsf3tLvTxBRTwhrH97S70&amp;sourceid=chrome&amp;source=chrome.ob&amp;ie=UTF-8" TargetMode="External"/><Relationship Id="rId250" Type="http://schemas.openxmlformats.org/officeDocument/2006/relationships/hyperlink" Target="https://www.instagram.com/satrangeechaat/" TargetMode="External"/><Relationship Id="rId371" Type="http://schemas.openxmlformats.org/officeDocument/2006/relationships/hyperlink" Target="https://www.instagram.com/thechaatwalk/?hl=en" TargetMode="External"/><Relationship Id="rId136" Type="http://schemas.openxmlformats.org/officeDocument/2006/relationships/hyperlink" Target="http://www.gourmetspice.in/" TargetMode="External"/><Relationship Id="rId257" Type="http://schemas.openxmlformats.org/officeDocument/2006/relationships/hyperlink" Target="https://www.facebook.com/profile.php?id=100054511777796&amp;locale=fy_NL" TargetMode="External"/><Relationship Id="rId378" Type="http://schemas.openxmlformats.org/officeDocument/2006/relationships/hyperlink" Target="https://www.instagram.com/am2am_caterer/" TargetMode="External"/><Relationship Id="rId135" Type="http://schemas.openxmlformats.org/officeDocument/2006/relationships/hyperlink" Target="https://www.facebook.com/foodtheory/" TargetMode="External"/><Relationship Id="rId256" Type="http://schemas.openxmlformats.org/officeDocument/2006/relationships/hyperlink" Target="https://www.google.com/search?q=Jaika+Outdoor+Caterer+rohini+delhi&amp;sca_esv=482091865ee10a72&amp;rlz=1C1VDKB_enIN1074IN1074&amp;sxsrf=APpeQnvIazUVZpQl8iTHj73Nb9TJt1FZDw%3A1784011171621&amp;ei=o9lVaujAJYKc4-EPjd3nyA8&amp;ved=0ahUKEwionqPBx9GVAxUCzjgGHY3uGfkQ4dUDCBA&amp;uact=5&amp;oq=Jaika+Outdoor+Caterer+rohini+delhi&amp;gs_lp=Egxnd3Mtd2l6LXNlcnAiIkphaWthIE91dGRvb3IgQ2F0ZXJlciByb2hpbmkgZGVsaGkyBxAhGAoYoAFIlz1QrAJYnjZwAXgAkAEAmAHEAaABhxKqAQQwLjE0uAEDyAEA-AEBmAINoAKHEMICBxAjGLADGCfCAggQABjvBRiwA8ICCxAAGIAEGKIEGLADwgIEECMYJ8ICBRAAGO8FwgIIEAAYgAQYogTCAgUQIRigAZgDAIgGAZAGBZIHBjEuMTEuMaAH7SayBwYwLjExLjG4B4AQwgcGMC4xMS4yyAcegAgB&amp;sclient=gws-wiz-serp" TargetMode="External"/><Relationship Id="rId377" Type="http://schemas.openxmlformats.org/officeDocument/2006/relationships/hyperlink" Target="https://www.instagram.com/aone_caterers_/?hl=en" TargetMode="External"/><Relationship Id="rId134" Type="http://schemas.openxmlformats.org/officeDocument/2006/relationships/hyperlink" Target="https://www.facebook.com/p/Kays-Catering-Services-100054401804866/" TargetMode="External"/><Relationship Id="rId255" Type="http://schemas.openxmlformats.org/officeDocument/2006/relationships/hyperlink" Target="https://kuldeeptenthouse.wordpress.com/" TargetMode="External"/><Relationship Id="rId376" Type="http://schemas.openxmlformats.org/officeDocument/2006/relationships/hyperlink" Target="https://www.facebook.com/Knightgourmet/" TargetMode="External"/><Relationship Id="rId133" Type="http://schemas.openxmlformats.org/officeDocument/2006/relationships/hyperlink" Target="https://www.facebook.com/fatguykitchen/?locale=fi_FI" TargetMode="External"/><Relationship Id="rId254" Type="http://schemas.openxmlformats.org/officeDocument/2006/relationships/hyperlink" Target="https://www.instagram.com/ganesh_caterers/" TargetMode="External"/><Relationship Id="rId375" Type="http://schemas.openxmlformats.org/officeDocument/2006/relationships/hyperlink" Target="https://www.instagram.com/welcomhotel.newdelhi_dwarka/?hl=en" TargetMode="External"/><Relationship Id="rId172" Type="http://schemas.openxmlformats.org/officeDocument/2006/relationships/hyperlink" Target="https://www.roopjicaterers.com/home.php" TargetMode="External"/><Relationship Id="rId293" Type="http://schemas.openxmlformats.org/officeDocument/2006/relationships/hyperlink" Target="https://www.instagram.com/culinaryaffaire/?hl=en" TargetMode="External"/><Relationship Id="rId171" Type="http://schemas.openxmlformats.org/officeDocument/2006/relationships/hyperlink" Target="https://www.google.com/search?q=Bikanervala+Gurgaon+Leisure+Valley+Sector+29%2C+Gurgaon&amp;sca_esv=55c2a383725cf7d8&amp;rlz=1C1VDKB_enIN1074IN1074&amp;sxsrf=APpeQns2ovCqUwEWSy_IQ6mTEte2Pdkg6g%3A1783940581425&amp;ei=5cVUao3LGYmOnesPg5-XwAQ&amp;biw=1536&amp;bih=730&amp;ved=0ahUKEwjN0Z_FwM-VAxUJR2cHHYPPBUgQ4dUDCBA&amp;uact=5&amp;oq=Bikanervala+Gurgaon+Leisure+Valley+Sector+29%2C+Gurgaon&amp;gs_lp=Egxnd3Mtd2l6LXNlcnAiNUJpa2FuZXJ2YWxhIEd1cmdhb24gTGVpc3VyZSBWYWxsZXkgU2VjdG9yIDI5LCBHdXJnYW9uMggQABiJBRiiBDIFEAAY7wUyBRAAGO8FMgUQABjvBUiIEVDGBFj6CXABeAGQAQCYAYoCoAGCBKoBAzItMrgBA8gBAPgBAfgBApgCA6ACsgTCAgoQABhHGNYEGLADwgINEAAYgAQYigUYQxiwA8ICFxAuGNgCGLgGGNoGGNwGGMgDGLAD2AEBwgIXEC4Y3AYYuAYY2gYY2AIYyAMYsAPYAQHCAg4QLhiABBjHARivARiOBcICExAuGIAEGIoFGEMYxwEYrwEYjgXCAgoQABiABBgUGIcCwgIFEAAYgATCAgoQABiABBiKBRhDwgIdEC4YgAQYxwEYrwEYjgUYlwUY3AQY3gQY4ATYAQGYAwCIBgGQBhS6BgYIARABGBmSBwUxLjAuMqAHzh2yBwMyLTK4B6EEwgcHMi0xLjEuMcgHKIAIAQ&amp;sclient=gws-wiz-serp" TargetMode="External"/><Relationship Id="rId292" Type="http://schemas.openxmlformats.org/officeDocument/2006/relationships/hyperlink" Target="https://www.facebook.com/KhatirdariCateringService/?locale=is_IS&amp;_rdr" TargetMode="External"/><Relationship Id="rId170" Type="http://schemas.openxmlformats.org/officeDocument/2006/relationships/hyperlink" Target="https://order.bikanervala.com/order/bikanervala-sector-29-gurgaon" TargetMode="External"/><Relationship Id="rId291" Type="http://schemas.openxmlformats.org/officeDocument/2006/relationships/hyperlink" Target="https://www.facebook.com/foodvillecatering/" TargetMode="External"/><Relationship Id="rId290" Type="http://schemas.openxmlformats.org/officeDocument/2006/relationships/hyperlink" Target="https://raascatering.com/" TargetMode="External"/><Relationship Id="rId165" Type="http://schemas.openxmlformats.org/officeDocument/2006/relationships/hyperlink" Target="https://www.facebook.com/DilliDelights/" TargetMode="External"/><Relationship Id="rId286" Type="http://schemas.openxmlformats.org/officeDocument/2006/relationships/hyperlink" Target="https://www.facebook.com/dhamaalgully/" TargetMode="External"/><Relationship Id="rId164" Type="http://schemas.openxmlformats.org/officeDocument/2006/relationships/hyperlink" Target="https://www.google.com/search?q=The+House+Party+by+Savar&amp;rlz=1C1VDKB_enIN1074IN1074&amp;oq=The+House+Party+by+Savar&amp;gs_lcrp=EgZjaHJvbWUyBggAEEUYOTIHCAEQABiABDIHCAIQABiABDIHCAMQABiABDIHCAQQABiABDIHCAUQABiABDIHCAYQABiABDIICAcQABgWGB4yCAgIEAAYFhgeMggICRAAGBYYHtIBBzc3M2owajeoAgiwAgHxBQA8K316-rZU8QUAPCt9evq2VA&amp;sourceid=chrome&amp;source=chrome.ob&amp;ie=UTF-8" TargetMode="External"/><Relationship Id="rId285" Type="http://schemas.openxmlformats.org/officeDocument/2006/relationships/hyperlink" Target="https://kashyapcatering.com/" TargetMode="External"/><Relationship Id="rId163" Type="http://schemas.openxmlformats.org/officeDocument/2006/relationships/hyperlink" Target="https://www.instagram.com/thehousepartybysavar/?hl=en" TargetMode="External"/><Relationship Id="rId284" Type="http://schemas.openxmlformats.org/officeDocument/2006/relationships/hyperlink" Target="https://www.facebook.com/profile.php?id=100068513259397&amp;sk=about&amp;locale=sq_AL" TargetMode="External"/><Relationship Id="rId162" Type="http://schemas.openxmlformats.org/officeDocument/2006/relationships/hyperlink" Target="https://www.instagram.com/delhikitchendelhi/" TargetMode="External"/><Relationship Id="rId283" Type="http://schemas.openxmlformats.org/officeDocument/2006/relationships/hyperlink" Target="https://www.instagram.com/sosushi.in/?hl=en" TargetMode="External"/><Relationship Id="rId169" Type="http://schemas.openxmlformats.org/officeDocument/2006/relationships/hyperlink" Target="https://www.facebook.com/deliciosa.newleaf/" TargetMode="External"/><Relationship Id="rId168" Type="http://schemas.openxmlformats.org/officeDocument/2006/relationships/hyperlink" Target="https://www.instagram.com/kashmirana_flavours_of_valley/?hl=en" TargetMode="External"/><Relationship Id="rId289" Type="http://schemas.openxmlformats.org/officeDocument/2006/relationships/hyperlink" Target="https://www.facebook.com/aonecaterersandhospitality/" TargetMode="External"/><Relationship Id="rId167" Type="http://schemas.openxmlformats.org/officeDocument/2006/relationships/hyperlink" Target="https://www.instagram.com/theclovecatering_official/" TargetMode="External"/><Relationship Id="rId288" Type="http://schemas.openxmlformats.org/officeDocument/2006/relationships/hyperlink" Target="https://www.facebook.com/aonecaterersandhospitality/" TargetMode="External"/><Relationship Id="rId166" Type="http://schemas.openxmlformats.org/officeDocument/2006/relationships/hyperlink" Target="https://www.instagram.com/theclovecatering_official/" TargetMode="External"/><Relationship Id="rId287" Type="http://schemas.openxmlformats.org/officeDocument/2006/relationships/hyperlink" Target="https://www.facebook.com/srijicaters/" TargetMode="External"/><Relationship Id="rId161" Type="http://schemas.openxmlformats.org/officeDocument/2006/relationships/hyperlink" Target="https://www.facebook.com/p/Tawa-Tadka-100063637667763/" TargetMode="External"/><Relationship Id="rId282" Type="http://schemas.openxmlformats.org/officeDocument/2006/relationships/hyperlink" Target="https://www.siyaevent.com/contact.html" TargetMode="External"/><Relationship Id="rId160" Type="http://schemas.openxmlformats.org/officeDocument/2006/relationships/hyperlink" Target="https://www.facebook.com/CheffedForYou/" TargetMode="External"/><Relationship Id="rId281" Type="http://schemas.openxmlformats.org/officeDocument/2006/relationships/hyperlink" Target="https://www.northerncuisineuiuc.com/" TargetMode="External"/><Relationship Id="rId280" Type="http://schemas.openxmlformats.org/officeDocument/2006/relationships/hyperlink" Target="https://casperhospitality.com/" TargetMode="External"/><Relationship Id="rId159" Type="http://schemas.openxmlformats.org/officeDocument/2006/relationships/hyperlink" Target="https://houseofwok.in/" TargetMode="External"/><Relationship Id="rId154" Type="http://schemas.openxmlformats.org/officeDocument/2006/relationships/hyperlink" Target="http://capsplus.ca/" TargetMode="External"/><Relationship Id="rId275" Type="http://schemas.openxmlformats.org/officeDocument/2006/relationships/hyperlink" Target="https://www.facebook.com/HeeraCatering/" TargetMode="External"/><Relationship Id="rId396" Type="http://schemas.openxmlformats.org/officeDocument/2006/relationships/hyperlink" Target="https://www.facebook.com/Noida/" TargetMode="External"/><Relationship Id="rId153" Type="http://schemas.openxmlformats.org/officeDocument/2006/relationships/hyperlink" Target="https://www.mughalnama.com/" TargetMode="External"/><Relationship Id="rId274" Type="http://schemas.openxmlformats.org/officeDocument/2006/relationships/hyperlink" Target="https://www.instagram.com/sugandhcaterers/" TargetMode="External"/><Relationship Id="rId395" Type="http://schemas.openxmlformats.org/officeDocument/2006/relationships/hyperlink" Target="https://www.facebook.com/cilantrocatering/" TargetMode="External"/><Relationship Id="rId152" Type="http://schemas.openxmlformats.org/officeDocument/2006/relationships/hyperlink" Target="https://socialoffline.in/restaurant/hauz-khas-social/" TargetMode="External"/><Relationship Id="rId273" Type="http://schemas.openxmlformats.org/officeDocument/2006/relationships/hyperlink" Target="https://www.facebook.com/somethingsaucy/" TargetMode="External"/><Relationship Id="rId394" Type="http://schemas.openxmlformats.org/officeDocument/2006/relationships/hyperlink" Target="https://www.facebook.com/bardoctors18/" TargetMode="External"/><Relationship Id="rId151" Type="http://schemas.openxmlformats.org/officeDocument/2006/relationships/hyperlink" Target="https://www.facebook.com/MithasExclusiveCateringService/" TargetMode="External"/><Relationship Id="rId272" Type="http://schemas.openxmlformats.org/officeDocument/2006/relationships/hyperlink" Target="https://www.google.com/search?q=Wadhwa+Food+Cateres&amp;rlz=1C1VDKB_enIN1074IN1074&amp;oq=Wadhwa+Food+Cateres&amp;gs_lcrp=EgZjaHJvbWUyBggAEEUYOTIGCAEQIRgVMgcIAhAhGJIDMgcIAxAhGJIDMgcIBBAhGJIDMgcIBRAhGJIDMgcIBhAhGJIDMgcIBxAhGJID0gEHMzY3ajBqN6gCCLACAfEFYDGzrBGdC3g&amp;sourceid=chrome&amp;source=chrome.ob&amp;ie=UTF-8" TargetMode="External"/><Relationship Id="rId393" Type="http://schemas.openxmlformats.org/officeDocument/2006/relationships/hyperlink" Target="https://www.instagram.com/theluxurycaterers/?hl=en" TargetMode="External"/><Relationship Id="rId158" Type="http://schemas.openxmlformats.org/officeDocument/2006/relationships/hyperlink" Target="https://www.facebook.com/AmigoHospitality/" TargetMode="External"/><Relationship Id="rId279" Type="http://schemas.openxmlformats.org/officeDocument/2006/relationships/hyperlink" Target="https://www.google.com/search?q=Purpleberry+Catering&amp;rlz=1C1VDKB_enIN1074IN1074&amp;oq=Purpleberry+Catering&amp;gs_lcrp=EgZjaHJvbWUyBggAEEUYOTIQCAEQLhivARjHARiABBiOBTIICAIQABgWGB4yCAgDEAAYFhgeMggIBBAAGBYYHjIICAUQABgWGB4yCAgGEAAYFhgeMgYIBxBFGDzSAQc4NzNqMGo3qAIIsAIB8QW7fHNDwBMGSvEFu3xzQ8ATBko&amp;sourceid=chrome&amp;source=chrome.ob&amp;ie=UTF-8" TargetMode="External"/><Relationship Id="rId157" Type="http://schemas.openxmlformats.org/officeDocument/2006/relationships/hyperlink" Target="https://www.elevencourse.com/?utm_source=ig&amp;utm_medium=social&amp;utm_content=link_in_bio&amp;fbclid=PAZXh0bgNhZW0CMTEAc3J0YwZhcHBfaWQPOTM2NjE5NzQzMzkyNDU5AAGnVsism1s8jBIt1VwBknmf_HvHiP8NiHjVD-m_EsGLgYMMZ81abF-82XY_xw4_aem_KUn4TvbrLuuBqdeTPkKaQA" TargetMode="External"/><Relationship Id="rId278" Type="http://schemas.openxmlformats.org/officeDocument/2006/relationships/hyperlink" Target="https://www.instagram.com/purpleberry_pb/?hl=en" TargetMode="External"/><Relationship Id="rId399" Type="http://schemas.openxmlformats.org/officeDocument/2006/relationships/hyperlink" Target="https://www.delightcateringservices.com/contact" TargetMode="External"/><Relationship Id="rId156" Type="http://schemas.openxmlformats.org/officeDocument/2006/relationships/hyperlink" Target="https://partymaker.in/" TargetMode="External"/><Relationship Id="rId277" Type="http://schemas.openxmlformats.org/officeDocument/2006/relationships/hyperlink" Target="https://www.facebook.com/NiranjanPoojaCaterersEvents/" TargetMode="External"/><Relationship Id="rId398" Type="http://schemas.openxmlformats.org/officeDocument/2006/relationships/hyperlink" Target="https://www.instagram.com/singhs_bakers/" TargetMode="External"/><Relationship Id="rId155" Type="http://schemas.openxmlformats.org/officeDocument/2006/relationships/hyperlink" Target="https://www.zaubacorp.com/NEELKANTH-CATERERS-PRIVATE-LIMITED-U15490DL2009PTC187157" TargetMode="External"/><Relationship Id="rId276" Type="http://schemas.openxmlformats.org/officeDocument/2006/relationships/hyperlink" Target="https://www.facebook.com/Eggjactly/" TargetMode="External"/><Relationship Id="rId397" Type="http://schemas.openxmlformats.org/officeDocument/2006/relationships/hyperlink" Target="https://www.guptacaterers.in/corporate-catering-services?gad_source=1&amp;gad_campaignid=14926968927&amp;gbraid=0AAAAADAWng7Jk-OqT3lytRzUUJJedoTa0&amp;gclid=CjwKCAjwvNfSBhBiEiwAyaGMCYWr18OhesL017zpq-VRTub31pNl-MQRRcWIkPKY_CnpRCn8nETrHxoCl3UQAvD_BwE" TargetMode="External"/><Relationship Id="rId40" Type="http://schemas.openxmlformats.org/officeDocument/2006/relationships/hyperlink" Target="http://shreeagarwalcaterers.com/" TargetMode="External"/><Relationship Id="rId42" Type="http://schemas.openxmlformats.org/officeDocument/2006/relationships/hyperlink" Target="https://www.cateringvala.in/" TargetMode="External"/><Relationship Id="rId41" Type="http://schemas.openxmlformats.org/officeDocument/2006/relationships/hyperlink" Target="https://creativecuisinesinc.com/" TargetMode="External"/><Relationship Id="rId44" Type="http://schemas.openxmlformats.org/officeDocument/2006/relationships/hyperlink" Target="http://www.chefom.com/" TargetMode="External"/><Relationship Id="rId43" Type="http://schemas.openxmlformats.org/officeDocument/2006/relationships/hyperlink" Target="https://dellidelicacies.com/" TargetMode="External"/><Relationship Id="rId46" Type="http://schemas.openxmlformats.org/officeDocument/2006/relationships/hyperlink" Target="https://www.shreeramcaterers.site/" TargetMode="External"/><Relationship Id="rId45" Type="http://schemas.openxmlformats.org/officeDocument/2006/relationships/hyperlink" Target="https://virtuosocatering.com/" TargetMode="External"/><Relationship Id="rId48" Type="http://schemas.openxmlformats.org/officeDocument/2006/relationships/hyperlink" Target="http://karachicaterers.com/" TargetMode="External"/><Relationship Id="rId47" Type="http://schemas.openxmlformats.org/officeDocument/2006/relationships/hyperlink" Target="https://www.premierpalate.in/" TargetMode="External"/><Relationship Id="rId49" Type="http://schemas.openxmlformats.org/officeDocument/2006/relationships/hyperlink" Target="https://balajicaterers.in/" TargetMode="External"/><Relationship Id="rId31" Type="http://schemas.openxmlformats.org/officeDocument/2006/relationships/hyperlink" Target="http://veggie.co.in/" TargetMode="External"/><Relationship Id="rId30" Type="http://schemas.openxmlformats.org/officeDocument/2006/relationships/hyperlink" Target="https://www.instagram.com/jmcdelicacy/" TargetMode="External"/><Relationship Id="rId33" Type="http://schemas.openxmlformats.org/officeDocument/2006/relationships/hyperlink" Target="https://www.fusionflavours.ca/?srsltid=AfmBOoomqOTV1PQIrOY1EyKJ4tZCEayImre3Oxk92Ix14F5BZDHg2TrJ" TargetMode="External"/><Relationship Id="rId32" Type="http://schemas.openxmlformats.org/officeDocument/2006/relationships/hyperlink" Target="https://cherishhospitality.com/" TargetMode="External"/><Relationship Id="rId35" Type="http://schemas.openxmlformats.org/officeDocument/2006/relationships/hyperlink" Target="https://www.instagram.com/kaliramchaatcreations/" TargetMode="External"/><Relationship Id="rId34" Type="http://schemas.openxmlformats.org/officeDocument/2006/relationships/hyperlink" Target="https://www.fusionstreet.co.in/" TargetMode="External"/><Relationship Id="rId37" Type="http://schemas.openxmlformats.org/officeDocument/2006/relationships/hyperlink" Target="https://masala-art.com/catering" TargetMode="External"/><Relationship Id="rId36" Type="http://schemas.openxmlformats.org/officeDocument/2006/relationships/hyperlink" Target="https://nehasprouts.com/" TargetMode="External"/><Relationship Id="rId39" Type="http://schemas.openxmlformats.org/officeDocument/2006/relationships/hyperlink" Target="https://www.cuisineo.co/" TargetMode="External"/><Relationship Id="rId38" Type="http://schemas.openxmlformats.org/officeDocument/2006/relationships/hyperlink" Target="https://sartaj.co.in/" TargetMode="External"/><Relationship Id="rId20" Type="http://schemas.openxmlformats.org/officeDocument/2006/relationships/hyperlink" Target="https://thefoodaffairs.com/" TargetMode="External"/><Relationship Id="rId22" Type="http://schemas.openxmlformats.org/officeDocument/2006/relationships/hyperlink" Target="https://www.thebasilkitchen.in/basil/welcome?fbclid=IwY2xjawSN8OoBHSoS_0lGR6TKyEsDk2yyM3xi2tLfb4a6i6R70oER5zjJ1Rx-fWL8dppWZw" TargetMode="External"/><Relationship Id="rId21" Type="http://schemas.openxmlformats.org/officeDocument/2006/relationships/hyperlink" Target="https://www.shervanihotels.com/nehru-place-new-delhi/" TargetMode="External"/><Relationship Id="rId24" Type="http://schemas.openxmlformats.org/officeDocument/2006/relationships/hyperlink" Target="https://www.facebook.com/Kanakbychefsanjeev/" TargetMode="External"/><Relationship Id="rId23" Type="http://schemas.openxmlformats.org/officeDocument/2006/relationships/hyperlink" Target="https://theyumyumtree.in/" TargetMode="External"/><Relationship Id="rId409" Type="http://schemas.openxmlformats.org/officeDocument/2006/relationships/hyperlink" Target="https://www.facebook.com/p/Welcome-Caterers-100068299807355/" TargetMode="External"/><Relationship Id="rId404" Type="http://schemas.openxmlformats.org/officeDocument/2006/relationships/hyperlink" Target="https://www.facebook.com/thepnscatering/" TargetMode="External"/><Relationship Id="rId403" Type="http://schemas.openxmlformats.org/officeDocument/2006/relationships/hyperlink" Target="https://chillatoshop.com/" TargetMode="External"/><Relationship Id="rId402" Type="http://schemas.openxmlformats.org/officeDocument/2006/relationships/hyperlink" Target="https://www.google.com/search?q=Kelsey+Pakwan&amp;sca_esv=482091865ee10a72&amp;biw=1280&amp;bih=665&amp;sxsrf=APpeQnvcuWdmkKtGSukJf1qAsrFG9KZ-Qw%3A1784013577802&amp;ei=CeNVao69MM-J4-EPy6DwmAc&amp;ved=0ahUKEwjO5dC80NGVAxXPxDgGHUsQHHMQ4dUDCBA&amp;uact=5&amp;oq=Kelsey+Pakwan&amp;gs_lp=Egxnd3Mtd2l6LXNlcnAiDUtlbHNleSBQYWt3YW4yBhAAGBYYHjICECYyBRAAGO8FMggQABiABBiiBDIFEAAY7wVIhQ1QyQdYyQdwAXgAkAEAmAGlAqABpQKqAQMyLTG4AQPIAQD4AQH4AQKYAgKgArsCqAIUwgIHECMY6gIYJ8ICEBAAGAMYjwEY6gIYtALYAQHCAhAQLhgDGI8BGOoCGLQC2AEBmAMO8QV3-7oZFi_IrroGBggBEAEYCpIHBTEuMy0xoAeiArIHAzMtMbgHrQLCBwUyLTEuMcgHEYAIAQ&amp;sclient=gws-wiz-serp" TargetMode="External"/><Relationship Id="rId401" Type="http://schemas.openxmlformats.org/officeDocument/2006/relationships/hyperlink" Target="http://www.foodiezdelight.in/" TargetMode="External"/><Relationship Id="rId408" Type="http://schemas.openxmlformats.org/officeDocument/2006/relationships/hyperlink" Target="https://www.instagram.com/momsnortheastkitchen/?hl=en" TargetMode="External"/><Relationship Id="rId407" Type="http://schemas.openxmlformats.org/officeDocument/2006/relationships/hyperlink" Target="https://onemillionflavours.com/" TargetMode="External"/><Relationship Id="rId406" Type="http://schemas.openxmlformats.org/officeDocument/2006/relationships/hyperlink" Target="https://www.instagram.com/tandoorinightscatering/" TargetMode="External"/><Relationship Id="rId405" Type="http://schemas.openxmlformats.org/officeDocument/2006/relationships/hyperlink" Target="https://akweddingplanner.website2.me/" TargetMode="External"/><Relationship Id="rId26" Type="http://schemas.openxmlformats.org/officeDocument/2006/relationships/hyperlink" Target="https://instagram.com/garammasala_flavoursofindia" TargetMode="External"/><Relationship Id="rId25" Type="http://schemas.openxmlformats.org/officeDocument/2006/relationships/hyperlink" Target="https://www.elevencourse.com/" TargetMode="External"/><Relationship Id="rId28" Type="http://schemas.openxmlformats.org/officeDocument/2006/relationships/hyperlink" Target="http://www.uttamcaterers.in/" TargetMode="External"/><Relationship Id="rId27" Type="http://schemas.openxmlformats.org/officeDocument/2006/relationships/hyperlink" Target="http://thaikitchen.in/" TargetMode="External"/><Relationship Id="rId400" Type="http://schemas.openxmlformats.org/officeDocument/2006/relationships/hyperlink" Target="https://greatindiancuisine.in/" TargetMode="External"/><Relationship Id="rId29" Type="http://schemas.openxmlformats.org/officeDocument/2006/relationships/hyperlink" Target="https://juicecult.in/" TargetMode="External"/><Relationship Id="rId11" Type="http://schemas.openxmlformats.org/officeDocument/2006/relationships/hyperlink" Target="https://foodtalescatering.com/" TargetMode="External"/><Relationship Id="rId10" Type="http://schemas.openxmlformats.org/officeDocument/2006/relationships/hyperlink" Target="https://enaskitchen.com/" TargetMode="External"/><Relationship Id="rId13" Type="http://schemas.openxmlformats.org/officeDocument/2006/relationships/hyperlink" Target="http://www.unmess.in/" TargetMode="External"/><Relationship Id="rId12" Type="http://schemas.openxmlformats.org/officeDocument/2006/relationships/hyperlink" Target="https://hariramcaterers.in/" TargetMode="External"/><Relationship Id="rId15" Type="http://schemas.openxmlformats.org/officeDocument/2006/relationships/hyperlink" Target="https://preet-caterers.grexa.site/" TargetMode="External"/><Relationship Id="rId14" Type="http://schemas.openxmlformats.org/officeDocument/2006/relationships/hyperlink" Target="https://www.jaincocaterers.online/" TargetMode="External"/><Relationship Id="rId17" Type="http://schemas.openxmlformats.org/officeDocument/2006/relationships/hyperlink" Target="https://theroyalimperialfeast.com/" TargetMode="External"/><Relationship Id="rId16" Type="http://schemas.openxmlformats.org/officeDocument/2006/relationships/hyperlink" Target="https://www.tkac.in/" TargetMode="External"/><Relationship Id="rId19" Type="http://schemas.openxmlformats.org/officeDocument/2006/relationships/hyperlink" Target="https://www.thesalthousecaterers.in/" TargetMode="External"/><Relationship Id="rId18" Type="http://schemas.openxmlformats.org/officeDocument/2006/relationships/hyperlink" Target="https://www.foodfiesta.in/" TargetMode="External"/><Relationship Id="rId84" Type="http://schemas.openxmlformats.org/officeDocument/2006/relationships/hyperlink" Target="https://feastoryfoods.com/" TargetMode="External"/><Relationship Id="rId83" Type="http://schemas.openxmlformats.org/officeDocument/2006/relationships/hyperlink" Target="https://www.facebook.com/mamtacaters.in/" TargetMode="External"/><Relationship Id="rId86" Type="http://schemas.openxmlformats.org/officeDocument/2006/relationships/hyperlink" Target="https://www.crossborderkitchens.com/" TargetMode="External"/><Relationship Id="rId85" Type="http://schemas.openxmlformats.org/officeDocument/2006/relationships/hyperlink" Target="https://www.google.com/search?q=Feastly+Catering+Services&amp;rlz=1C1VDKB_enIN1074IN1074&amp;oq=Feastly+Catering+Services&amp;gs_lcrp=EgZjaHJvbWUyBggAEEUYOTIHCAEQIRiSAzIHCAIQIRiSAzIHCAMQIRiSAzIHCAQQIRiSAzIHCAUQIRiSAzIHCAYQIRiSAzIHCAcQIRiPAjIHCAgQIRiPAtIBCDE0NzlqMGo3qAIIsAIB8QUd8XDN4zX_hQ&amp;sourceid=chrome&amp;source=chrome.ob&amp;ie=UTF-8" TargetMode="External"/><Relationship Id="rId88" Type="http://schemas.openxmlformats.org/officeDocument/2006/relationships/hyperlink" Target="https://www.sulekha.com/s-square-hospitality-ashok-vihar-delhi-contact-address" TargetMode="External"/><Relationship Id="rId87" Type="http://schemas.openxmlformats.org/officeDocument/2006/relationships/hyperlink" Target="https://www.google.com/search?q=cross+border+kitchens&amp;rlz=1C1VDKB_enIN1074IN1074&amp;oq=Cross+Border+Kitchens&amp;gs_lcrp=EgZjaHJvbWUqCggAEAAY4wIYgAQyCggAEAAY4wIYgAQyEAgBEC4YrwEYxwEYgAQYjgUyBwgCEAAYgAQyCAgDEAAYFhgeMggIBBAAGBYYHjINCAUQABiGAxiABBiKBTIHCAYQABjvBdIBBzY2MGowajeoAgiwAgHxBRi8W8knQqlC8QUYvFvJJ0KpQg&amp;sourceid=chrome&amp;source=chrome.ob&amp;ie=UTF-8" TargetMode="External"/><Relationship Id="rId89" Type="http://schemas.openxmlformats.org/officeDocument/2006/relationships/hyperlink" Target="https://www.facebook.com/forksnspoon/" TargetMode="External"/><Relationship Id="rId80" Type="http://schemas.openxmlformats.org/officeDocument/2006/relationships/hyperlink" Target="http://www.urbandesifoodsolutions.com/" TargetMode="External"/><Relationship Id="rId82" Type="http://schemas.openxmlformats.org/officeDocument/2006/relationships/hyperlink" Target="https://www.google.com/search?q=Gourmet+Aura+pvt+ltd&amp;rlz=1C1VDKB_enIN1074IN1074&amp;oq=Gourmet+Aura+pvt+ltd&amp;gs_lcrp=EgZjaHJvbWUyBggAEEUYOTIICAEQABgWGB4yCAgCEAAYFhgeMggIAxAAGBYYHjIHCAQQABjvBTIKCAUQABiABBiiBDIHCAYQABjvBTIHCAcQABjvBdIBBzcyMmowajeoAgiwAgHxBQXK6iPHYdXR8QUFyuojx2HV0Q&amp;sourceid=chrome&amp;source=chrome.ob&amp;ie=UTF-8" TargetMode="External"/><Relationship Id="rId81" Type="http://schemas.openxmlformats.org/officeDocument/2006/relationships/hyperlink" Target="https://www.instagram.com/gourmetauraind/?hl=en" TargetMode="External"/><Relationship Id="rId73" Type="http://schemas.openxmlformats.org/officeDocument/2006/relationships/hyperlink" Target="https://www.facebook.com/CatererDelhiNCR/" TargetMode="External"/><Relationship Id="rId72" Type="http://schemas.openxmlformats.org/officeDocument/2006/relationships/hyperlink" Target="http://www.speedychefcatering.in/" TargetMode="External"/><Relationship Id="rId75" Type="http://schemas.openxmlformats.org/officeDocument/2006/relationships/hyperlink" Target="https://foxnutcatering.in/" TargetMode="External"/><Relationship Id="rId74" Type="http://schemas.openxmlformats.org/officeDocument/2006/relationships/hyperlink" Target="https://krasha.in/" TargetMode="External"/><Relationship Id="rId77" Type="http://schemas.openxmlformats.org/officeDocument/2006/relationships/hyperlink" Target="https://www.google.com/search?q=Vishesh+Caterers+%26+Decorators&amp;rlz=1C1VDKB_enIN1074IN1074&amp;oq=Vishesh+Caterers+%26+Decorators&amp;gs_lcrp=EgZjaHJvbWUyBggAEEUYOTIICAEQABgWGB4yDQgCEAAYhgMYgAQYigUyDQgDEAAYhgMYgAQYigUyBwgEEAAY7wUyCggFEAAYgAQYogTSAQc5MzJqMGo3qAIIsAIB8QXhFuN5uoBVPA&amp;sourceid=chrome&amp;source=chrome.ob&amp;ie=UTF-8" TargetMode="External"/><Relationship Id="rId76" Type="http://schemas.openxmlformats.org/officeDocument/2006/relationships/hyperlink" Target="https://www.instagram.com/visheshcaterersdecorators/?hl=en" TargetMode="External"/><Relationship Id="rId79" Type="http://schemas.openxmlformats.org/officeDocument/2006/relationships/hyperlink" Target="https://www.facebook.com/theindiancateringcompany/" TargetMode="External"/><Relationship Id="rId78" Type="http://schemas.openxmlformats.org/officeDocument/2006/relationships/hyperlink" Target="https://www.facebook.com/rkeventplanner/" TargetMode="External"/><Relationship Id="rId71" Type="http://schemas.openxmlformats.org/officeDocument/2006/relationships/hyperlink" Target="https://www.salttcatering.net/" TargetMode="External"/><Relationship Id="rId70" Type="http://schemas.openxmlformats.org/officeDocument/2006/relationships/hyperlink" Target="https://www.salttcatering.net/" TargetMode="External"/><Relationship Id="rId62" Type="http://schemas.openxmlformats.org/officeDocument/2006/relationships/hyperlink" Target="https://www.tkac.in/" TargetMode="External"/><Relationship Id="rId61" Type="http://schemas.openxmlformats.org/officeDocument/2006/relationships/hyperlink" Target="http://paprikakitchen.co.in/" TargetMode="External"/><Relationship Id="rId64" Type="http://schemas.openxmlformats.org/officeDocument/2006/relationships/hyperlink" Target="https://www.instagram.com/dev_caterers01/" TargetMode="External"/><Relationship Id="rId63" Type="http://schemas.openxmlformats.org/officeDocument/2006/relationships/hyperlink" Target="https://www.cateringcrew.catering/" TargetMode="External"/><Relationship Id="rId66" Type="http://schemas.openxmlformats.org/officeDocument/2006/relationships/hyperlink" Target="https://www.google.com/search?q=Sj+Caterers&amp;oq=Sj+Caterers&amp;gs_lcrp=EgZjaHJvbWUyBggAEEUYOTINCAEQLhivARjHARiABDIICAIQABgWGB4yCAgDEAAYFhgeMggIBBAAGBYYHjIICAUQABgWGB4yCAgGEAAYFhgeMgoIBxAAGAoYFhgeMggICBAAGBYYHtIBBzI0MGowajSoAgCwAgE&amp;sourceid=chrome&amp;ie=UTF-8" TargetMode="External"/><Relationship Id="rId65" Type="http://schemas.openxmlformats.org/officeDocument/2006/relationships/hyperlink" Target="https://sjcaterers.in/" TargetMode="External"/><Relationship Id="rId68" Type="http://schemas.openxmlformats.org/officeDocument/2006/relationships/hyperlink" Target="https://mukeshcaterers.co.in/" TargetMode="External"/><Relationship Id="rId67" Type="http://schemas.openxmlformats.org/officeDocument/2006/relationships/hyperlink" Target="https://www.sscaterers.co//" TargetMode="External"/><Relationship Id="rId60" Type="http://schemas.openxmlformats.org/officeDocument/2006/relationships/hyperlink" Target="https://supperclubcaterings.com/" TargetMode="External"/><Relationship Id="rId69" Type="http://schemas.openxmlformats.org/officeDocument/2006/relationships/hyperlink" Target="https://natrajcaterers.com/" TargetMode="External"/><Relationship Id="rId51" Type="http://schemas.openxmlformats.org/officeDocument/2006/relationships/hyperlink" Target="https://spiceroute.org.in/" TargetMode="External"/><Relationship Id="rId50" Type="http://schemas.openxmlformats.org/officeDocument/2006/relationships/hyperlink" Target="https://www.foodminar.com/" TargetMode="External"/><Relationship Id="rId53" Type="http://schemas.openxmlformats.org/officeDocument/2006/relationships/hyperlink" Target="https://www.guptacaterers.in/" TargetMode="External"/><Relationship Id="rId52" Type="http://schemas.openxmlformats.org/officeDocument/2006/relationships/hyperlink" Target="https://www.annapurnacateringservice.in/" TargetMode="External"/><Relationship Id="rId55" Type="http://schemas.openxmlformats.org/officeDocument/2006/relationships/hyperlink" Target="https://harisonscaterers.com/" TargetMode="External"/><Relationship Id="rId54" Type="http://schemas.openxmlformats.org/officeDocument/2006/relationships/hyperlink" Target="https://www.alwareventsplanner.in/" TargetMode="External"/><Relationship Id="rId57" Type="http://schemas.openxmlformats.org/officeDocument/2006/relationships/hyperlink" Target="https://www.punjabcaterers.net/" TargetMode="External"/><Relationship Id="rId56" Type="http://schemas.openxmlformats.org/officeDocument/2006/relationships/hyperlink" Target="https://sangamcateringservice.com/" TargetMode="External"/><Relationship Id="rId59" Type="http://schemas.openxmlformats.org/officeDocument/2006/relationships/hyperlink" Target="https://caara.com/" TargetMode="External"/><Relationship Id="rId58" Type="http://schemas.openxmlformats.org/officeDocument/2006/relationships/hyperlink" Target="https://wa.me/917291833910" TargetMode="External"/><Relationship Id="rId107" Type="http://schemas.openxmlformats.org/officeDocument/2006/relationships/hyperlink" Target="https://www.instagram.com/nathusweetsind/?hl=en" TargetMode="External"/><Relationship Id="rId228" Type="http://schemas.openxmlformats.org/officeDocument/2006/relationships/hyperlink" Target="https://www.instagram.com/katraaneelkitchens/" TargetMode="External"/><Relationship Id="rId349" Type="http://schemas.openxmlformats.org/officeDocument/2006/relationships/hyperlink" Target="https://www.srsequipments.com/" TargetMode="External"/><Relationship Id="rId106" Type="http://schemas.openxmlformats.org/officeDocument/2006/relationships/hyperlink" Target="https://www.facebook.com/moets.clubclass/" TargetMode="External"/><Relationship Id="rId227" Type="http://schemas.openxmlformats.org/officeDocument/2006/relationships/hyperlink" Target="https://www.google.com/search?q=Milan+Tent+House+faridabad&amp;sca_esv=6d40e3dfe8dbdd08&amp;rlz=1C1VDKB_enIN1074IN1074&amp;sxsrf=APpeQntkRFR4mugVpBbuBPpkL126pCPuQQ%3A1784008761047&amp;ei=OdBVasbJAsWaseMP9s_RwA0&amp;ved=0ahUKEwiGyunDvtGVAxVFTWwGHfZnFNgQ4dUDCBA&amp;uact=5&amp;oq=Milan+Tent+House+faridabad&amp;gs_lp=Egxnd3Mtd2l6LXNlcnAiGk1pbGFuIFRlbnQgSG91c2UgZmFyaWRhYmFkMgIQJjIFEAAY7wUyBRAAGO8FMggQABiABBiiBDIIEAAYgAQYogRIkENQqQNY9D1wAXgAkAEAmAG4AaAB9QyqAQQwLjExuAEDyAEA-AEBmAILoAL9C8ICBxAjGLADGCfCAg0QABiABBgUGIcCGLADwgIJEAAYBxgeGLADwgIIEAAYgAQYsAPCAgcQABgeGLADwgIEECMYJ8ICBRAAGIAEwgILEC4YgAQYxwEYrwHCAg4QLhiABBjHARivARiOBcICBhAAGBYYHpgDAIgGAZAGCZIHBDEuMTCgB6c7sgcEMC4xMLgH9gvCBwUwLjguM8gHIoAIAQ&amp;sclient=gws-wiz-serp" TargetMode="External"/><Relationship Id="rId348" Type="http://schemas.openxmlformats.org/officeDocument/2006/relationships/hyperlink" Target="https://www.google.com/search?q=Farro+Experiences&amp;rlz=1C1VDKB_enIN1074IN1074&amp;oq=Farro+Experiences&amp;gs_lcrp=EgZjaHJvbWUyBggAEEUYOTIGCAEQIxgnMggIAhAAGBYYHjINCAMQABiGAxiABBiKBTINCAQQABiGAxiABBiKBTINCAUQABiGAxiABBiKBTINCAYQABiGAxiABBiKBTINCAcQABiGAxiABBiKBTIKCAgQABiABBiiBDIKCAkQABiABBiiBNIBBzM1MWowajeoAgiwAgHxBdm2wiUdozQw&amp;sourceid=chrome&amp;source=chrome.ob&amp;ie=UTF-8" TargetMode="External"/><Relationship Id="rId105" Type="http://schemas.openxmlformats.org/officeDocument/2006/relationships/hyperlink" Target="https://www.facebook.com/foodarthospitality/" TargetMode="External"/><Relationship Id="rId226" Type="http://schemas.openxmlformats.org/officeDocument/2006/relationships/hyperlink" Target="https://www.facebook.com/p/Milan-Tent-House-100064707892829/" TargetMode="External"/><Relationship Id="rId347" Type="http://schemas.openxmlformats.org/officeDocument/2006/relationships/hyperlink" Target="https://www.instagram.com/farroexperiences/?hl=en" TargetMode="External"/><Relationship Id="rId104" Type="http://schemas.openxmlformats.org/officeDocument/2006/relationships/hyperlink" Target="https://www.facebook.com/sidhcaterersandtenthouse/" TargetMode="External"/><Relationship Id="rId225" Type="http://schemas.openxmlformats.org/officeDocument/2006/relationships/hyperlink" Target="https://www.facebook.com/p/MS-caterers-100064056519165/" TargetMode="External"/><Relationship Id="rId346" Type="http://schemas.openxmlformats.org/officeDocument/2006/relationships/hyperlink" Target="https://www.lajwaab.com/" TargetMode="External"/><Relationship Id="rId109" Type="http://schemas.openxmlformats.org/officeDocument/2006/relationships/hyperlink" Target="https://www.google.com/search?q=Dark+Rose+Caterers+%26+Events&amp;rlz=1C1VDKB_enIN1074IN1074&amp;oq=Dark+Rose+Caterers+%26+Events&amp;gs_lcrp=EgZjaHJvbWUyBggAEEUYOTIICAEQABgWGB4yCAgCEAAYFhgeMgcIAxAAGO8FMgcIBBAAGO8FMgcIBRAAGO8FMgcIBhAAGO8F0gEHNzQxajBqN6gCCLACAfEF-c8ee2MVId7xBfnPHntjFSHe&amp;sourceid=chrome&amp;source=chrome.ob&amp;ie=UTF-8" TargetMode="External"/><Relationship Id="rId108" Type="http://schemas.openxmlformats.org/officeDocument/2006/relationships/hyperlink" Target="https://www.instagram.com/dark_rose_caterers_and_events_/" TargetMode="External"/><Relationship Id="rId229" Type="http://schemas.openxmlformats.org/officeDocument/2006/relationships/hyperlink" Target="https://www.instagram.com/theweddingcompanyofficial/?hl=en" TargetMode="External"/><Relationship Id="rId220" Type="http://schemas.openxmlformats.org/officeDocument/2006/relationships/hyperlink" Target="https://www.instagram.com/viar_caterers/" TargetMode="External"/><Relationship Id="rId341" Type="http://schemas.openxmlformats.org/officeDocument/2006/relationships/hyperlink" Target="https://www.google.com/search?q=The+Halwais&amp;rlz=1C1VDKB_enIN1074IN1074&amp;oq=The+Halwais&amp;gs_lcrp=EgZjaHJvbWUyBggAEEUYOTIHCAEQIRifBTIHCAIQIRifBTIHCAMQIRifBTIHCAQQIRifBTIHCAUQIRifBTIHCAYQIRifBTIHCAcQIRifBTIHCAgQIRifBTIHCAkQIRifBdIBBzU4M2owajeoAgiwAgHxBS0JlFR4qCUT8QUtCZRUeKglEw&amp;sourceid=chrome&amp;source=chrome.ob&amp;ie=UTF-8" TargetMode="External"/><Relationship Id="rId340" Type="http://schemas.openxmlformats.org/officeDocument/2006/relationships/hyperlink" Target="https://www.instagram.com/thehalwaicompany/" TargetMode="External"/><Relationship Id="rId103" Type="http://schemas.openxmlformats.org/officeDocument/2006/relationships/hyperlink" Target="https://www.facebook.com/ganpatichaatwaladelhi/" TargetMode="External"/><Relationship Id="rId224" Type="http://schemas.openxmlformats.org/officeDocument/2006/relationships/hyperlink" Target="https://www.google.com/search?q=The+Samarkand+south+ex+delhi+ncr&amp;sca_esv=6d40e3dfe8dbdd08&amp;rlz=1C1VDKB_enIN1074IN1074&amp;sxsrf=APpeQnvv_h4TZTr5CM3Yf3UyNDgh3xYuoA%3A1784008483887&amp;ei=I89VaqrjNayYseMPq_SC2AM&amp;biw=767&amp;bih=695&amp;ved=0ahUKEwjqgNW_vdGVAxUsTGwGHSu6ADsQ4dUDCBA&amp;uact=5&amp;oq=The+Samarkand+south+ex+delhi+ncr&amp;gs_lp=Egxnd3Mtd2l6LXNlcnAiIFRoZSBTYW1hcmthbmQgc291dGggZXggZGVsaGkgbmNyMgUQIRigAUjrXFDsCFiCWnABeAGQAQCYAf4BoAHCHKoBBjAuMTUuNLgBA8gBAPgBAZgCFKACzx3CAgcQIxiwAxgnwgIKEAAYRxjWBBiwA8ICBBAjGCfCAgUQABiABMICBhAAGBYYHsICCxAAGIAEGIoFGIYDwgIFEAAY7wXCAggQABiABBiiBMICBRAhGJ8FwgIEECEYFZgDAIgGAZAGCZIHBjEuOC4xMaAH4jSyBwYwLjguMTG4B8EdwgcIMC4xMi41LjPIB1OACAE&amp;sclient=gws-wiz-serp" TargetMode="External"/><Relationship Id="rId345" Type="http://schemas.openxmlformats.org/officeDocument/2006/relationships/hyperlink" Target="https://www.instagram.com/turkishscoopsindia/" TargetMode="External"/><Relationship Id="rId102" Type="http://schemas.openxmlformats.org/officeDocument/2006/relationships/hyperlink" Target="https://www.google.com/search?q=Sushi+Haus&amp;rlz=1C1VDKB_enIN1074IN1074&amp;oq=Sushi+Haus&amp;gs_lcrp=EgZjaHJvbWUyBggAEEUYOTILCAEQABgKGAsYgAQyCwgCEC4YChgLGIAEMgsIAxAAGAoYCxiABDILCAQQABgKGAsYgAQyCwgFEAAYChgLGIAEMgsIBhAAGAoYCxiABDIRCAcQLhgKGAsYrwEYxwEYgAQyEQgIEC4YChgLGK8BGMcBGIAEMgwICRAAGBQYhwIYgATSAQc3NjFqMGo3qAIIsAIB8QUs9SD8BQyvHQ&amp;sourceid=chrome&amp;source=chrome.ob&amp;ie=UTF-8" TargetMode="External"/><Relationship Id="rId223" Type="http://schemas.openxmlformats.org/officeDocument/2006/relationships/hyperlink" Target="https://dalsamarkand.in/" TargetMode="External"/><Relationship Id="rId344" Type="http://schemas.openxmlformats.org/officeDocument/2006/relationships/hyperlink" Target="https://www.facebook.com/globaldesicatering/" TargetMode="External"/><Relationship Id="rId101" Type="http://schemas.openxmlformats.org/officeDocument/2006/relationships/hyperlink" Target="https://hausdelivery.in/" TargetMode="External"/><Relationship Id="rId222" Type="http://schemas.openxmlformats.org/officeDocument/2006/relationships/hyperlink" Target="https://www.google.com/search?q=Krips+Caterers&amp;rlz=1C1VDKB_enIN1074IN1074&amp;oq=Krips+Caterers&amp;gs_lcrp=EgZjaHJvbWUyBggAEEUYOTIGCAEQIxgnMg0IAhAAGIYDGIAEGIoFMg0IAxAAGIYDGIAEGIoFMg0IBBAAGIYDGIAEGIoFMgcIBRAAGO8FMgcIBhAAGO8FMgcIBxAAGO8F0gEHOTk2ajBqN6gCCLACAfEFfECOv9VhccI&amp;sourceid=chrome&amp;source=chrome.ob&amp;ie=UTF-8" TargetMode="External"/><Relationship Id="rId343" Type="http://schemas.openxmlformats.org/officeDocument/2006/relationships/hyperlink" Target="https://www.facebook.com/spicegardenModinagar/" TargetMode="External"/><Relationship Id="rId100" Type="http://schemas.openxmlformats.org/officeDocument/2006/relationships/hyperlink" Target="https://www.facebook.com/thekasturirestaurant" TargetMode="External"/><Relationship Id="rId221" Type="http://schemas.openxmlformats.org/officeDocument/2006/relationships/hyperlink" Target="https://www.instagram.com/kripscaterersanddecor/" TargetMode="External"/><Relationship Id="rId342" Type="http://schemas.openxmlformats.org/officeDocument/2006/relationships/hyperlink" Target="https://www.facebook.com/hellofoodiess/" TargetMode="External"/><Relationship Id="rId217" Type="http://schemas.openxmlformats.org/officeDocument/2006/relationships/hyperlink" Target="https://www.instagram.com/luxuriacrockery/" TargetMode="External"/><Relationship Id="rId338" Type="http://schemas.openxmlformats.org/officeDocument/2006/relationships/hyperlink" Target="https://www.instagram.com/aggarwaldelhitentcaterer/" TargetMode="External"/><Relationship Id="rId216" Type="http://schemas.openxmlformats.org/officeDocument/2006/relationships/hyperlink" Target="https://www.instagram.com/royalswanbanquet/" TargetMode="External"/><Relationship Id="rId337" Type="http://schemas.openxmlformats.org/officeDocument/2006/relationships/hyperlink" Target="https://www.instagram.com/dream_caterers_zahid/?hl=en" TargetMode="External"/><Relationship Id="rId215" Type="http://schemas.openxmlformats.org/officeDocument/2006/relationships/hyperlink" Target="https://www.instagram.com/ishwarcaterers/" TargetMode="External"/><Relationship Id="rId336" Type="http://schemas.openxmlformats.org/officeDocument/2006/relationships/hyperlink" Target="https://www.google.com/search?q=Innovative+Hospitality+Services&amp;sca_esv=482091865ee10a72&amp;rlz=1C1VDKB_enIN1074IN1074&amp;sxsrf=APpeQntwoUflT5TgoAyMzV5TxH_yLTjzWw%3A1784015776779&amp;ei=oOtVaqf6LvqOseMP14Da4Qs&amp;ved=0ahUKEwinypfV2NGVAxV6R2wGHVeANrwQ4dUDCBA&amp;uact=5&amp;oq=Innovative+Hospitality+Services&amp;gs_lp=Egxnd3Mtd2l6LXNlcnAiH0lubm92YXRpdmUgSG9zcGl0YWxpdHkgU2VydmljZXMyBhAAGBYYHjIGEAAYFhgeMgYQABgWGB4yBhAAGBYYHjILEAAYgAQYigUYhgMyBRAAGO8FMgUQABjvBTIFEAAY7wUyBRAAGO8FSNkTUPEIWMwQcAJ4AJABAJgByAGgAcQCqgEFMC4xLjG4AQPIAQD4AQH4AQKYAgOgAtgBqAIKwgIHECMYsAMYJ8ICChAAGEcY1gQYsAPCAgcQIxjqAhgnmAMF8QVWlqsDK1WnA4gGAZAGCJIHBTIuMC4xoAfcC7IHAzItMbgHzQHCBwMyLTPIBwyACAE&amp;sclient=gws-wiz-serp" TargetMode="External"/><Relationship Id="rId214" Type="http://schemas.openxmlformats.org/officeDocument/2006/relationships/hyperlink" Target="https://www.facebook.com/xpertservices2013/" TargetMode="External"/><Relationship Id="rId335" Type="http://schemas.openxmlformats.org/officeDocument/2006/relationships/hyperlink" Target="https://innovatedhospitalityservices.com/" TargetMode="External"/><Relationship Id="rId219" Type="http://schemas.openxmlformats.org/officeDocument/2006/relationships/hyperlink" Target="https://www.facebook.com/umarestarauntandcaterers/" TargetMode="External"/><Relationship Id="rId218" Type="http://schemas.openxmlformats.org/officeDocument/2006/relationships/hyperlink" Target="https://www.facebook.com/babusinghcaterers/" TargetMode="External"/><Relationship Id="rId339" Type="http://schemas.openxmlformats.org/officeDocument/2006/relationships/hyperlink" Target="https://www.instagram.com/gopalcook_and_catering_service/?hl=en" TargetMode="External"/><Relationship Id="rId330" Type="http://schemas.openxmlformats.org/officeDocument/2006/relationships/hyperlink" Target="https://www.facebook.com/incrediblecateringservices/" TargetMode="External"/><Relationship Id="rId451" Type="http://schemas.openxmlformats.org/officeDocument/2006/relationships/drawing" Target="../drawings/drawing1.xml"/><Relationship Id="rId450" Type="http://schemas.openxmlformats.org/officeDocument/2006/relationships/hyperlink" Target="https://www.google.com/search?q=Pankaj+Wedding+Planners-+Caterers&amp;sca_esv=c9ce5070ea22d1f0&amp;biw=1536&amp;bih=776&amp;sxsrf=APpeQnt29KloY3jQeOfpMly85CIIZXo2aw%3A1784017359560&amp;ei=z_FVapXYIeygseMPkNaGkAc&amp;ved=0ahUKEwjV-_TH3tGVAxVsUGwGHRCrAXIQ4dUDCBA&amp;uact=5&amp;oq=Pankaj+Wedding+Planners-+Caterers&amp;gs_lp=Egxnd3Mtd2l6LXNlcnAiIVBhbmthaiBXZWRkaW5nIFBsYW5uZXJzLSBDYXRlcmVyc0iGAVAAWABwAHgBkAEAmAEAoAEAqgEAuAEDyAEA-AEC-AEBmAIAoAIAmAMAkgcAoAcAsgcAuAcAwgcAyAcAgAgB&amp;sclient=gws-wiz-serp" TargetMode="External"/><Relationship Id="rId213" Type="http://schemas.openxmlformats.org/officeDocument/2006/relationships/hyperlink" Target="https://www.instagram.com/ministryoftasteofficial/" TargetMode="External"/><Relationship Id="rId334" Type="http://schemas.openxmlformats.org/officeDocument/2006/relationships/hyperlink" Target="https://www.google.com/search?q=Saubhagyam+Caterers&amp;rlz=1C1VDKB_enIN1074IN1074&amp;oq=Saubhagyam+Caterers&amp;gs_lcrp=EgZjaHJvbWUyBggAEEUYOTIGCAEQIxgnMggIAhAAGBYYHjIHCAMQABjvBTIHCAQQABjvBTIKCAUQABiABBiiBNIBBzcwNmowajeoAgiwAgHxBVpmYgsj_24n&amp;sourceid=chrome&amp;source=chrome.ob&amp;ie=UTF-8" TargetMode="External"/><Relationship Id="rId212" Type="http://schemas.openxmlformats.org/officeDocument/2006/relationships/hyperlink" Target="https://www.facebook.com/p/The-Rancho-Jai-Gaurmet-Services-100063738800433/" TargetMode="External"/><Relationship Id="rId333" Type="http://schemas.openxmlformats.org/officeDocument/2006/relationships/hyperlink" Target="https://www.instagram.com/saubhagya_caterers/?hl=en" TargetMode="External"/><Relationship Id="rId211" Type="http://schemas.openxmlformats.org/officeDocument/2006/relationships/hyperlink" Target="https://www.facebook.com/soulinaire/" TargetMode="External"/><Relationship Id="rId332" Type="http://schemas.openxmlformats.org/officeDocument/2006/relationships/hyperlink" Target="https://www.facebook.com/thegoldencirclebrewery/" TargetMode="External"/><Relationship Id="rId210" Type="http://schemas.openxmlformats.org/officeDocument/2006/relationships/hyperlink" Target="https://www.facebook.com/catererspawan/" TargetMode="External"/><Relationship Id="rId331" Type="http://schemas.openxmlformats.org/officeDocument/2006/relationships/hyperlink" Target="https://www.instagram.com/concurocateringservices/" TargetMode="External"/><Relationship Id="rId370" Type="http://schemas.openxmlformats.org/officeDocument/2006/relationships/hyperlink" Target="https://www.google.com/search?q=Beyond+Cuisine&amp;rlz=1C1VDKB_enIN1074IN1074&amp;oq=Beyond+Cuisine&amp;gs_lcrp=EgZjaHJvbWUyBggAEEUYOTIGCAEQIxgnMggIAhAAGBYYHjIICAMQABgWGB4yCAgEEAAYFhgeMggIBRAAGBYYHjIICAYQABgWGB4yCAgHEAAYFhgeMggICBAAGBYYHjINCAkQABiGAxiABBiKBdIBBzcwM2owajeoAgiwAgHxBW2ZL4UAx5Co&amp;sourceid=chrome&amp;source=chrome.ob&amp;ie=UTF-8" TargetMode="External"/><Relationship Id="rId129" Type="http://schemas.openxmlformats.org/officeDocument/2006/relationships/hyperlink" Target="https://www.facebook.com/SKNandaCatering/" TargetMode="External"/><Relationship Id="rId128" Type="http://schemas.openxmlformats.org/officeDocument/2006/relationships/hyperlink" Target="https://www.facebook.com/kawatratent/" TargetMode="External"/><Relationship Id="rId249" Type="http://schemas.openxmlformats.org/officeDocument/2006/relationships/hyperlink" Target="https://www.facebook.com/danachogaofficial/" TargetMode="External"/><Relationship Id="rId127" Type="http://schemas.openxmlformats.org/officeDocument/2006/relationships/hyperlink" Target="https://www.facebook.com/kwalitycateringofficial/" TargetMode="External"/><Relationship Id="rId248" Type="http://schemas.openxmlformats.org/officeDocument/2006/relationships/hyperlink" Target="https://www.facebook.com/redchillicaterersindelhi/" TargetMode="External"/><Relationship Id="rId369" Type="http://schemas.openxmlformats.org/officeDocument/2006/relationships/hyperlink" Target="https://www.instagram.com/cuisinesandbeyond_india/" TargetMode="External"/><Relationship Id="rId126" Type="http://schemas.openxmlformats.org/officeDocument/2006/relationships/hyperlink" Target="https://www.instagram.com/bangbangmomos/" TargetMode="External"/><Relationship Id="rId247" Type="http://schemas.openxmlformats.org/officeDocument/2006/relationships/hyperlink" Target="http://www.beliramdegchiwala.com/" TargetMode="External"/><Relationship Id="rId368" Type="http://schemas.openxmlformats.org/officeDocument/2006/relationships/hyperlink" Target="https://www.google.com/search?q=Himalaya+Caterers&amp;sca_esv=c9ce5070ea22d1f0&amp;rlz=1C1VDKB_enIN1074IN1074&amp;sxsrf=APpeQntpk4_mOTzVDxCsOjX-qTKrqWY59Q%3A1784017106336&amp;ei=0vBVapCQFPCNseMPiuTysAw&amp;ved=0ahUKEwiQwZXP3dGVAxXwRmwGHQqyHMYQ4dUDCBA&amp;uact=5&amp;oq=Himalaya+Caterers&amp;gs_lp=Egxnd3Mtd2l6LXNlcnAiEUhpbWFsYXlhIENhdGVyZXJzMgQQIxgnMgQQIxgnMgsQABiABBiKBRiRAjIGEAAYFhgeMgYQABgWGB4yBhAAGBYYHjIGEAAYFhgeMgYQABgWGB4yBhAAGBYYHjIGEAAYFhgeSNcQUABYrwpwAXgAkAEAmAGbAaABmwGqAQMwLjG4AQPIAQD4AQH4AQKYAgKgAqcBqAIKwgIHECMY6gIYJ5gDBfEFd7tutiRjhuOSBwMxLjGgB4sIsgcDMC4xuAehAcIHAzItMsgHCYAIAQ&amp;sclient=gws-wiz-serp" TargetMode="External"/><Relationship Id="rId121" Type="http://schemas.openxmlformats.org/officeDocument/2006/relationships/hyperlink" Target="https://www.facebook.com/koylakebab/" TargetMode="External"/><Relationship Id="rId242" Type="http://schemas.openxmlformats.org/officeDocument/2006/relationships/hyperlink" Target="https://theroyalimperialfeast.com/" TargetMode="External"/><Relationship Id="rId363" Type="http://schemas.openxmlformats.org/officeDocument/2006/relationships/hyperlink" Target="https://www.instagram.com/umacaterers_gurgaon/" TargetMode="External"/><Relationship Id="rId120" Type="http://schemas.openxmlformats.org/officeDocument/2006/relationships/hyperlink" Target="https://www.facebook.com/OBFoods/" TargetMode="External"/><Relationship Id="rId241" Type="http://schemas.openxmlformats.org/officeDocument/2006/relationships/hyperlink" Target="https://www.instagram.com/dixitcaterers/" TargetMode="External"/><Relationship Id="rId362" Type="http://schemas.openxmlformats.org/officeDocument/2006/relationships/hyperlink" Target="https://www.instagram.com/asianhaus/?hl=en" TargetMode="External"/><Relationship Id="rId240" Type="http://schemas.openxmlformats.org/officeDocument/2006/relationships/hyperlink" Target="https://www.facebook.com/khanamantra/" TargetMode="External"/><Relationship Id="rId361" Type="http://schemas.openxmlformats.org/officeDocument/2006/relationships/hyperlink" Target="https://www.facebook.com/profile.php?id=100064653284133&amp;locale=ku_TR" TargetMode="External"/><Relationship Id="rId360" Type="http://schemas.openxmlformats.org/officeDocument/2006/relationships/hyperlink" Target="https://www.facebook.com/thebiryanico/" TargetMode="External"/><Relationship Id="rId125" Type="http://schemas.openxmlformats.org/officeDocument/2006/relationships/hyperlink" Target="https://www.facebook.com/krisacateringcompany/" TargetMode="External"/><Relationship Id="rId246" Type="http://schemas.openxmlformats.org/officeDocument/2006/relationships/hyperlink" Target="https://www.facebook.com/avcaterer/" TargetMode="External"/><Relationship Id="rId367" Type="http://schemas.openxmlformats.org/officeDocument/2006/relationships/hyperlink" Target="https://www.instagram.com/himalaya__caterers/" TargetMode="External"/><Relationship Id="rId124" Type="http://schemas.openxmlformats.org/officeDocument/2006/relationships/hyperlink" Target="https://vi-vn.facebook.com/AKcuisine.07/" TargetMode="External"/><Relationship Id="rId245" Type="http://schemas.openxmlformats.org/officeDocument/2006/relationships/hyperlink" Target="https://www.google.com/search?q=captain+joe+gurgaon&amp;sca_esv=482091865ee10a72&amp;rlz=1C1VDKB_enIN1074IN1074&amp;sxsrf=APpeQns7h_SdqW_ysj3wu5EMyi95tb9A6A%3A1784010596216&amp;ei=ZNdVaqDrDKCUseMP9ovQwQM&amp;oq=Captain+Joe+gurgo&amp;gs_lp=Egxnd3Mtd2l6LXNlcnAiEUNhcHRhaW4gSm9lIGd1cmdvKgIIAjIFECEYoAEyBRAhGKABMgQQIRgVMgUQIRifBTIFECEYnwUyBRAhGJ8FMgUQIRifBTIFECEYnwUyBRAhGJ8FMgUQIRifBUjuVFDwAViAPnADeACQAQCYAacDoAHzEqoBCTAuMy4zLjIuMbgBAcgBAPgBAZgCC6ACqhHCAgoQABhHGNYEGLADwgINEAAYgAQYigUYQxiwA8ICFxAuGNgCGLgGGNoGGNwGGMgDGLAD2AEBwgIXEC4Y3AYYuAYY2gYY2AIYyAMYsAPYAQHCAg4QLhiABBjHARivARiOBcICBRAAGIAEwgIKEAAYgAQYigUYQ8ICBRAuGIAEwgIGEAAYFhgewgIIEAAYFhgeGArCAgIQJsICCxAAGIAEGIoFGIYDwgIFEAAY7wXCAggQABiABBiiBJgDAIgGAZAGDboGBAgBGBmSBwkzLjEuNC4yLjGgB_dJsgcJMC4xLjQuMi4xuAeYEcIHBzAuMi44LjHIBy-ACAE&amp;sclient=gws-wiz-serp" TargetMode="External"/><Relationship Id="rId366" Type="http://schemas.openxmlformats.org/officeDocument/2006/relationships/hyperlink" Target="https://www.instagram.com/thepaancompanyofficial/?hl=en" TargetMode="External"/><Relationship Id="rId123" Type="http://schemas.openxmlformats.org/officeDocument/2006/relationships/hyperlink" Target="https://www.facebook.com/p/Aroma-Caterers-and-Events-Organizers-100054655170145/" TargetMode="External"/><Relationship Id="rId244" Type="http://schemas.openxmlformats.org/officeDocument/2006/relationships/hyperlink" Target="https://www.captainjoe.in/" TargetMode="External"/><Relationship Id="rId365" Type="http://schemas.openxmlformats.org/officeDocument/2006/relationships/hyperlink" Target="https://www.motimahal.in/" TargetMode="External"/><Relationship Id="rId122" Type="http://schemas.openxmlformats.org/officeDocument/2006/relationships/hyperlink" Target="http://royalecateringservice.com/?utm_source=gmb&amp;utm_medium=referral" TargetMode="External"/><Relationship Id="rId243" Type="http://schemas.openxmlformats.org/officeDocument/2006/relationships/hyperlink" Target="https://vihaancaterers.in/" TargetMode="External"/><Relationship Id="rId364" Type="http://schemas.openxmlformats.org/officeDocument/2006/relationships/hyperlink" Target="https://www.google.com/search?q=UMA+Caterers+%26+Decorators&amp;sca_esv=c9ce5070ea22d1f0&amp;rlz=1C1VDKB_enIN1074IN1074&amp;sxsrf=APpeQnui5CP113Gx5KBBgoDSAdP_CSZ46g%3A1784016954910&amp;ei=OvBVap2UN_6PseMP6cLdsAY&amp;ved=0ahUKEwidmfuG3dGVAxX-R2wGHWlhF2YQ4dUDCBA&amp;uact=5&amp;oq=UMA+Caterers+%26+Decorators&amp;gs_lp=Egxnd3Mtd2l6LXNlcnAiGVVNQSBDYXRlcmVycyAmIERlY29yYXRvcnMyBBAjGCcyCBAAGIAEGKIEMgUQABjvBTIIEAAYgAQYogQyBRAAGO8FSMoOUABY1AhwAXgAkAEAmAG3AaABtwGqAQMwLjG4AQPIAQD4AQH4AQKYAgKgAsMBqAIKwgIHECMY6gIYJ5gDBfEFApd_aC_DujqSBwMxLjGgB_EDsgcDMC4xuAe9AcIHAzItMsgHCYAIAQ&amp;sclient=gws-wiz-serp" TargetMode="External"/><Relationship Id="rId95" Type="http://schemas.openxmlformats.org/officeDocument/2006/relationships/hyperlink" Target="https://www.facebook.com/getyourmenugyv" TargetMode="External"/><Relationship Id="rId94" Type="http://schemas.openxmlformats.org/officeDocument/2006/relationships/hyperlink" Target="https://www.facebook.com/meharcaterers/" TargetMode="External"/><Relationship Id="rId97" Type="http://schemas.openxmlformats.org/officeDocument/2006/relationships/hyperlink" Target="https://www.google.com/search?q=Heaven+Event+and+Catering&amp;rlz=1C1VDKB_enIN1074IN1074&amp;oq=Heaven+Event+and+Catering&amp;gs_lcrp=EgZjaHJvbWUyBggAEEUYOTIHCAEQIRifBTIHCAIQIRifBTIHCAMQIRifBTIHCAQQIRifBTIHCAUQIRifBTIHCAYQIRifBTIHCAcQIRifBdIBBzcwOGowajeoAgiwAgHxBd_haKGNJM2t&amp;sourceid=chrome&amp;source=chrome.ob&amp;ie=UTF-8" TargetMode="External"/><Relationship Id="rId96" Type="http://schemas.openxmlformats.org/officeDocument/2006/relationships/hyperlink" Target="https://www.instagram.com/heaveneventandcatering/" TargetMode="External"/><Relationship Id="rId99" Type="http://schemas.openxmlformats.org/officeDocument/2006/relationships/hyperlink" Target="https://www.google.com/search?q=mirch+masala+caterers&amp;rlz=1C1VDKB_enIN1074IN1074&amp;oq=Mirch+Masala+Caterers&amp;gs_lcrp=EgZjaHJvbWUqCggAEAAY4wIYgAQyCggAEAAY4wIYgAQyEAgBEC4YrwEYxwEYgAQYjgUyBwgCEAAYgAQyBwgDEAAYgAQyCAgEEAAYFhgeMggIBRAAGBYYHjINCAYQABiGAxiABBiKBTIHCAcQABjvBdIBBzc2NmowajeoAgiwAgHxBZD6VZM1lMbB&amp;sourceid=chrome&amp;source=chrome.ob&amp;ie=UTF-8" TargetMode="External"/><Relationship Id="rId98" Type="http://schemas.openxmlformats.org/officeDocument/2006/relationships/hyperlink" Target="https://www.mirchmasalacaterers.com/?gad_source=1&amp;gclid=CjwKCAjwoJa2BhBPEiwA0l0ImNLX7J-nyMVl28Qn6jCS0qhgYdF8xUUOEpyqA87pEDUysM-sV6TGXRoCvwMQAvD_BwE" TargetMode="External"/><Relationship Id="rId91" Type="http://schemas.openxmlformats.org/officeDocument/2006/relationships/hyperlink" Target="https://www.facebook.com/MKTENTandCATERERS/" TargetMode="External"/><Relationship Id="rId90" Type="http://schemas.openxmlformats.org/officeDocument/2006/relationships/hyperlink" Target="https://www.facebook.com/p/Satkar-Caterers-100048818575851/" TargetMode="External"/><Relationship Id="rId93" Type="http://schemas.openxmlformats.org/officeDocument/2006/relationships/hyperlink" Target="https://www.google.com/search?q=Spice+Route+Hospitality+Services&amp;rlz=1C1VDKB_enIN1074IN1074&amp;oq=Spice+Route+Hospitality+Services&amp;gs_lcrp=EgZjaHJvbWUyBggAEEUYOTIHCAEQABiABDIICAIQABgWGB4yDQgDEAAYhgMYgAQYigUyDQgEEAAYhgMYgAQYigUyBwgFEAAY7wUyBwgGEAAY7wUyCggHEAAYgAQYogTSAQc3NzlqMGo3qAIIsAIB8QW2V29Avl50d_EFtldvQL5edHc&amp;sourceid=chrome&amp;source=chrome.ob&amp;ie=UTF-8" TargetMode="External"/><Relationship Id="rId92" Type="http://schemas.openxmlformats.org/officeDocument/2006/relationships/hyperlink" Target="https://www.facebook.com/spiceroutehospitality/" TargetMode="External"/><Relationship Id="rId118" Type="http://schemas.openxmlformats.org/officeDocument/2006/relationships/hyperlink" Target="https://www.facebook.com/royalaffairss/" TargetMode="External"/><Relationship Id="rId239" Type="http://schemas.openxmlformats.org/officeDocument/2006/relationships/hyperlink" Target="https://tradelinker.in/wedding-planner/caterers-for-marriages-and-parties-in-delhi/lala-ram-caterer.html" TargetMode="External"/><Relationship Id="rId117" Type="http://schemas.openxmlformats.org/officeDocument/2006/relationships/hyperlink" Target="https://www.facebook.com/cotcdelhi/" TargetMode="External"/><Relationship Id="rId238" Type="http://schemas.openxmlformats.org/officeDocument/2006/relationships/hyperlink" Target="https://www.instagram.com/caterers.rk/?hl=en" TargetMode="External"/><Relationship Id="rId359" Type="http://schemas.openxmlformats.org/officeDocument/2006/relationships/hyperlink" Target="https://www.facebook.com/p/Maggo-caterers-100063707364260/" TargetMode="External"/><Relationship Id="rId116" Type="http://schemas.openxmlformats.org/officeDocument/2006/relationships/hyperlink" Target="https://www.facebook.com/FeedingConceptsCatering/" TargetMode="External"/><Relationship Id="rId237" Type="http://schemas.openxmlformats.org/officeDocument/2006/relationships/hyperlink" Target="https://www.instagram.com/ahadsonsfoods/?hl=en" TargetMode="External"/><Relationship Id="rId358" Type="http://schemas.openxmlformats.org/officeDocument/2006/relationships/hyperlink" Target="https://www.facebook.com/100054216861414/about/?_rdr" TargetMode="External"/><Relationship Id="rId115" Type="http://schemas.openxmlformats.org/officeDocument/2006/relationships/hyperlink" Target="https://www.facebook.com/kalashcuisines.co.in/" TargetMode="External"/><Relationship Id="rId236" Type="http://schemas.openxmlformats.org/officeDocument/2006/relationships/hyperlink" Target="https://www.instagram.com/yadav_catering/" TargetMode="External"/><Relationship Id="rId357" Type="http://schemas.openxmlformats.org/officeDocument/2006/relationships/hyperlink" Target="https://www.joshieventz.online/" TargetMode="External"/><Relationship Id="rId119" Type="http://schemas.openxmlformats.org/officeDocument/2006/relationships/hyperlink" Target="https://www.facebook.com/Archanarai.fooddesign/" TargetMode="External"/><Relationship Id="rId110" Type="http://schemas.openxmlformats.org/officeDocument/2006/relationships/hyperlink" Target="https://www.instagram.com/thedinnerboxindia/?hl=en" TargetMode="External"/><Relationship Id="rId231" Type="http://schemas.openxmlformats.org/officeDocument/2006/relationships/hyperlink" Target="https://www.facebook.com/sagarratnaofficial/" TargetMode="External"/><Relationship Id="rId352" Type="http://schemas.openxmlformats.org/officeDocument/2006/relationships/hyperlink" Target="https://www.instagram.com/harisonscaterer/?hl=en" TargetMode="External"/><Relationship Id="rId230" Type="http://schemas.openxmlformats.org/officeDocument/2006/relationships/hyperlink" Target="https://www.google.com/search?q=Bollywood+The+Wedding+Company&amp;rlz=1C1VDKB_enIN1074IN1074&amp;oq=Bollywood+The+Wedding+Company&amp;gs_lcrp=EgZjaHJvbWUyBggAEEUYOdIBBzY2NmowajeoAgiwAgHxBUTA3avK9XdS&amp;sourceid=chrome&amp;source=chrome.ob&amp;ie=UTF-8" TargetMode="External"/><Relationship Id="rId351" Type="http://schemas.openxmlformats.org/officeDocument/2006/relationships/hyperlink" Target="https://www.instagram.com/kentscaterer_s/" TargetMode="External"/><Relationship Id="rId350" Type="http://schemas.openxmlformats.org/officeDocument/2006/relationships/hyperlink" Target="https://www.facebook.com/p/Mangalam-Caterers-100065017383811/" TargetMode="External"/><Relationship Id="rId114" Type="http://schemas.openxmlformats.org/officeDocument/2006/relationships/hyperlink" Target="https://www.facebook.com/TheCateringInc/" TargetMode="External"/><Relationship Id="rId235" Type="http://schemas.openxmlformats.org/officeDocument/2006/relationships/hyperlink" Target="https://www.facebook.com/streetfoodfactorycatering/" TargetMode="External"/><Relationship Id="rId356" Type="http://schemas.openxmlformats.org/officeDocument/2006/relationships/hyperlink" Target="http://facebook.com/profile.php?id=100063988001169" TargetMode="External"/><Relationship Id="rId113" Type="http://schemas.openxmlformats.org/officeDocument/2006/relationships/hyperlink" Target="https://www.facebook.com/thegracecaterers/" TargetMode="External"/><Relationship Id="rId234" Type="http://schemas.openxmlformats.org/officeDocument/2006/relationships/hyperlink" Target="http://www.foodandsoul.in/" TargetMode="External"/><Relationship Id="rId355" Type="http://schemas.openxmlformats.org/officeDocument/2006/relationships/hyperlink" Target="https://www.shreerkcaterers.com/" TargetMode="External"/><Relationship Id="rId112" Type="http://schemas.openxmlformats.org/officeDocument/2006/relationships/hyperlink" Target="https://www.facebook.com/MurenaCaterersonline/" TargetMode="External"/><Relationship Id="rId233" Type="http://schemas.openxmlformats.org/officeDocument/2006/relationships/hyperlink" Target="https://www.facebook.com/solariscateringNevents/" TargetMode="External"/><Relationship Id="rId354" Type="http://schemas.openxmlformats.org/officeDocument/2006/relationships/hyperlink" Target="https://www.google.com/search?q=The+Desi+Brunch+Co&amp;sca_esv=c9ce5070ea22d1f0&amp;rlz=1C1VDKB_enIN1074IN1074&amp;sxsrf=APpeQnvh0dDUOBfW7bYFTd9bQMOqCwrfYg%3A1784016578515&amp;ei=wu5VavX3HtSuseMPyIvN8Ag&amp;ved=0ahUKEwj14L3T29GVAxVUV2wGHchFE44Q4dUDCBA&amp;uact=5&amp;oq=The+Desi+Brunch+Co&amp;gs_lp=Egxnd3Mtd2l6LXNlcnAiElRoZSBEZXNpIEJydW5jaCBDbzIFECEYnwUyBRAhGJ8FMgUQIRifBUjfDVAAWN4JcAF4AJABAJgBhQKgAYUCqgEDMi0xuAEDyAEA-AEB-AECmAICoAKTAqgCCsICBxAjGOoCGCeYAwXxBfACRxyltgGMkgcFMS4wLjGgB6oCsgcDMi0xuAeNAsIHAzItMsgHCIAIAQ&amp;sclient=gws-wiz-serp" TargetMode="External"/><Relationship Id="rId111" Type="http://schemas.openxmlformats.org/officeDocument/2006/relationships/hyperlink" Target="https://www.shrishyamcaterers.com/" TargetMode="External"/><Relationship Id="rId232" Type="http://schemas.openxmlformats.org/officeDocument/2006/relationships/hyperlink" Target="https://www.instagram.com/gulabwala/?hl=en" TargetMode="External"/><Relationship Id="rId353" Type="http://schemas.openxmlformats.org/officeDocument/2006/relationships/hyperlink" Target="https://www.instagram.com/thedesibrunchco/" TargetMode="External"/><Relationship Id="rId305" Type="http://schemas.openxmlformats.org/officeDocument/2006/relationships/hyperlink" Target="https://www.deliciouspakwan.com/" TargetMode="External"/><Relationship Id="rId426" Type="http://schemas.openxmlformats.org/officeDocument/2006/relationships/hyperlink" Target="https://sites.google.com/view/cnccatering/home" TargetMode="External"/><Relationship Id="rId304" Type="http://schemas.openxmlformats.org/officeDocument/2006/relationships/hyperlink" Target="https://silverspoons.co.in/" TargetMode="External"/><Relationship Id="rId425" Type="http://schemas.openxmlformats.org/officeDocument/2006/relationships/hyperlink" Target="https://bittoochatwala.com/" TargetMode="External"/><Relationship Id="rId303" Type="http://schemas.openxmlformats.org/officeDocument/2006/relationships/hyperlink" Target="https://www.facebook.com/Golujifoods/" TargetMode="External"/><Relationship Id="rId424" Type="http://schemas.openxmlformats.org/officeDocument/2006/relationships/hyperlink" Target="https://flavourshub.in/" TargetMode="External"/><Relationship Id="rId302" Type="http://schemas.openxmlformats.org/officeDocument/2006/relationships/hyperlink" Target="https://www.facebook.com/kandpalcaterersanddecorators/" TargetMode="External"/><Relationship Id="rId423" Type="http://schemas.openxmlformats.org/officeDocument/2006/relationships/hyperlink" Target="https://www.google.com/search?q=Dhawan+Caterers&amp;rlz=1C1VDKB_enIN1074IN1074&amp;oq=Dhawan+Caterers&amp;gs_lcrp=EgZjaHJvbWUyBggAEEUYOTIGCAEQIxgnMgcIAhAAGO8FMgcIAxAAGO8FMgcIBBAAGO8F0gEHOTE4ajBqN6gCCLACAfEFOKWLDDsTSYM&amp;sourceid=chrome&amp;source=chrome.ob&amp;ie=UTF-8" TargetMode="External"/><Relationship Id="rId309" Type="http://schemas.openxmlformats.org/officeDocument/2006/relationships/hyperlink" Target="https://www.instagram.com/hrrbcaterers/" TargetMode="External"/><Relationship Id="rId308" Type="http://schemas.openxmlformats.org/officeDocument/2006/relationships/hyperlink" Target="https://www.instagram.com/vastavikacaterers/" TargetMode="External"/><Relationship Id="rId429" Type="http://schemas.openxmlformats.org/officeDocument/2006/relationships/hyperlink" Target="https://www.google.com/search?q=Reet+Caterers&amp;sca_esv=c9ce5070ea22d1f0&amp;biw=1280&amp;bih=665&amp;sxsrf=APpeQnu4oYxRSornm8Bq7iJwG3lutB6V7A%3A1784020151533&amp;ei=t_xVapyWIPSm2roPrNSc2AU&amp;ved=0ahUKEwjczZ376NGVAxV0k1YBHSwqB1sQ4dUDCBA&amp;uact=5&amp;oq=Reet+Caterers&amp;gs_lp=Egxnd3Mtd2l6LXNlcnAiDVJlZXQgQ2F0ZXJlcnMyCxAuGIAEGMcBGK8BMgYQABgWGB4yBhAAGBYYHjIGEAAYFhgeMgYQABgWGB4yAhAmMgUQABjvBTIIEAAYgAQYogQyBRAAGO8FMhoQLhiABBjHARivARiXBRjcBBjeBBjgBNgBAUiTClCWBFiWBHABeAGQAQCYAekBoAHpAaoBAzItMbgBA8gBAPgBAfgBApgCAqAC_wGoAhLCAgcQIxjqAhgnwgIWEAAYgAQYigUYQxjnBhjqAhi0AtgBAcICEBAuGAMYjwEY6gIYtALYAQHCAhAQABgDGI8BGOoCGLQC2AEBmAMO8QULTvijWGy9NroGBggBEAEYAZIHBTEuMC4xoAe8CLIHAzItMbgH8AHCBwUyLTEuMcgHEoAIAQ&amp;sclient=gws-wiz-serp" TargetMode="External"/><Relationship Id="rId307" Type="http://schemas.openxmlformats.org/officeDocument/2006/relationships/hyperlink" Target="https://www.facebook.com/gelatovinto/" TargetMode="External"/><Relationship Id="rId428" Type="http://schemas.openxmlformats.org/officeDocument/2006/relationships/hyperlink" Target="https://www.flamengrills.in/" TargetMode="External"/><Relationship Id="rId306" Type="http://schemas.openxmlformats.org/officeDocument/2006/relationships/hyperlink" Target="https://www.facebook.com/chefncrew.co/" TargetMode="External"/><Relationship Id="rId427" Type="http://schemas.openxmlformats.org/officeDocument/2006/relationships/hyperlink" Target="https://www.instagram.com/karicatering.co/" TargetMode="External"/><Relationship Id="rId301" Type="http://schemas.openxmlformats.org/officeDocument/2006/relationships/hyperlink" Target="https://youtube.com/channel/UCAj1Vi3ePgQ_cTSuGepnJQA" TargetMode="External"/><Relationship Id="rId422" Type="http://schemas.openxmlformats.org/officeDocument/2006/relationships/hyperlink" Target="https://www.instagram.com/dhawan.caterers/" TargetMode="External"/><Relationship Id="rId300" Type="http://schemas.openxmlformats.org/officeDocument/2006/relationships/hyperlink" Target="https://www.instagram.com/lsscaterers/?hl=en" TargetMode="External"/><Relationship Id="rId421" Type="http://schemas.openxmlformats.org/officeDocument/2006/relationships/hyperlink" Target="https://www.instagram.com/sawariya__caterers/" TargetMode="External"/><Relationship Id="rId420" Type="http://schemas.openxmlformats.org/officeDocument/2006/relationships/hyperlink" Target="https://www.facebook.com/chefsignatures/" TargetMode="External"/><Relationship Id="rId415" Type="http://schemas.openxmlformats.org/officeDocument/2006/relationships/hyperlink" Target="https://www.google.com/search?q=KTC+Events+%26+Hospitality&amp;rlz=1C1VDKB_enIN1074IN1074&amp;oq=KTC+Events+%26+Hospitality&amp;gs_lcrp=EgZjaHJvbWUyBggAEEUYOTIGCAEQIxgnMggIAhAAGBYYHjIICAMQABgWGB4yCAgEEAAYFhgeMgcIBRAAGO8FMgcIBhAAGO8F0gEHNzU4ajBqN6gCCLACAfEFZMz_7ntWURE&amp;sourceid=chrome&amp;source=chrome.ob&amp;ie=UTF-8" TargetMode="External"/><Relationship Id="rId414" Type="http://schemas.openxmlformats.org/officeDocument/2006/relationships/hyperlink" Target="https://www.instagram.com/ktcevents_hospitality/?hl=en" TargetMode="External"/><Relationship Id="rId413" Type="http://schemas.openxmlformats.org/officeDocument/2006/relationships/hyperlink" Target="https://www.facebook.com/profile.php?id=61587196625061" TargetMode="External"/><Relationship Id="rId412" Type="http://schemas.openxmlformats.org/officeDocument/2006/relationships/hyperlink" Target="https://www.facebook.com/TheFlavoursKitchenCatering/" TargetMode="External"/><Relationship Id="rId419" Type="http://schemas.openxmlformats.org/officeDocument/2006/relationships/hyperlink" Target="https://www.instagram.com/ahmedmughlai/" TargetMode="External"/><Relationship Id="rId418" Type="http://schemas.openxmlformats.org/officeDocument/2006/relationships/hyperlink" Target="https://www.facebook.com/amazingbitecaterers/" TargetMode="External"/><Relationship Id="rId417" Type="http://schemas.openxmlformats.org/officeDocument/2006/relationships/hyperlink" Target="https://www.instagram.com/thebadnaamadda/?hl=en" TargetMode="External"/><Relationship Id="rId416" Type="http://schemas.openxmlformats.org/officeDocument/2006/relationships/hyperlink" Target="https://www.instagram.com/dgcaterers/" TargetMode="External"/><Relationship Id="rId411" Type="http://schemas.openxmlformats.org/officeDocument/2006/relationships/hyperlink" Target="https://www.facebook.com/Aggarwalcaterers1/" TargetMode="External"/><Relationship Id="rId410" Type="http://schemas.openxmlformats.org/officeDocument/2006/relationships/hyperlink" Target="https://www.instagram.com/gofalhari/?hl=en" TargetMode="External"/><Relationship Id="rId206" Type="http://schemas.openxmlformats.org/officeDocument/2006/relationships/hyperlink" Target="https://www.facebook.com/Ifcservices/" TargetMode="External"/><Relationship Id="rId327" Type="http://schemas.openxmlformats.org/officeDocument/2006/relationships/hyperlink" Target="https://www.facebook.com/thechefsstorybyakriti/" TargetMode="External"/><Relationship Id="rId448" Type="http://schemas.openxmlformats.org/officeDocument/2006/relationships/hyperlink" Target="https://redchillicaterers.com/" TargetMode="External"/><Relationship Id="rId205" Type="http://schemas.openxmlformats.org/officeDocument/2006/relationships/hyperlink" Target="http://amritcaterers.com/" TargetMode="External"/><Relationship Id="rId326" Type="http://schemas.openxmlformats.org/officeDocument/2006/relationships/hyperlink" Target="https://www.facebook.com/SuvidhaCaterersTentAndDecorators/" TargetMode="External"/><Relationship Id="rId447" Type="http://schemas.openxmlformats.org/officeDocument/2006/relationships/hyperlink" Target="https://www.instagram.com/punjabibynatureofficial/?hl=en" TargetMode="External"/><Relationship Id="rId204" Type="http://schemas.openxmlformats.org/officeDocument/2006/relationships/hyperlink" Target="https://www.google.com/search?q=Gulshan+Fish+and+Chicken+Corner&amp;rlz=1C1VDKB_enIN1074IN1074&amp;oq=Gulshan+Fish+and+Chicken+Corner&amp;gs_lcrp=EgZjaHJvbWUyBggAEEUYOTIGCAEQIxgnMgcIAhAAGIAEMgcIAxAAGIAEMgcIBBAAGIAEMhAIBRAuGK8BGMcBGIAEGI4FMgcIBhAAGIAEMggIBxAAGBYYHjIICAgQABgWGB4yDQgJEAAYhgMYgAQYigXSAQc3OTdqMGo3qAIIsAIB8QWJKIw2vfY4JfEFiSiMNr32OCU&amp;sourceid=chrome&amp;source=chrome.ob&amp;ie=UTF-8" TargetMode="External"/><Relationship Id="rId325" Type="http://schemas.openxmlformats.org/officeDocument/2006/relationships/hyperlink" Target="https://www.facebook.com/www.chawlacaterers.co.in/" TargetMode="External"/><Relationship Id="rId446" Type="http://schemas.openxmlformats.org/officeDocument/2006/relationships/hyperlink" Target="https://www.facebook.com/ShriSaiCaterersDecorators/" TargetMode="External"/><Relationship Id="rId203" Type="http://schemas.openxmlformats.org/officeDocument/2006/relationships/hyperlink" Target="https://www.instagram.com/gulshanfish_/?hl=en" TargetMode="External"/><Relationship Id="rId324" Type="http://schemas.openxmlformats.org/officeDocument/2006/relationships/hyperlink" Target="https://www.facebook.com/guptajeecaterers/" TargetMode="External"/><Relationship Id="rId445" Type="http://schemas.openxmlformats.org/officeDocument/2006/relationships/hyperlink" Target="http://instagram.com/shreejeechaatcaterer/" TargetMode="External"/><Relationship Id="rId209" Type="http://schemas.openxmlformats.org/officeDocument/2006/relationships/hyperlink" Target="https://www.google.com/search?q=seeking+roots&amp;rlz=1C1VDKB_enIN1074IN1074&amp;oq=Seeking+Roots&amp;gs_lcrp=EgZjaHJvbWUqCggAEAAY4wIYgAQyCggAEAAY4wIYgAQyEAgBEC4YrwEYxwEYgAQYjgUyBwgCEAAYgAQyDQgDEC4YrwEYxwEYgAQyCAgEEAAYFhgeMggIBRAAGBYYHjIICAYQABgWGB4yCAgHEAAYFhgeMggICBAAGBYYHjIICAkQABgWGB7SAQc5NzhqMGo3qAIIsAIB8QUik8OyP_0fefEFIpPDsj_9H3k&amp;sourceid=chrome&amp;source=chrome.ob&amp;ie=UTF-8" TargetMode="External"/><Relationship Id="rId208" Type="http://schemas.openxmlformats.org/officeDocument/2006/relationships/hyperlink" Target="https://www.seekingroots.in/" TargetMode="External"/><Relationship Id="rId329" Type="http://schemas.openxmlformats.org/officeDocument/2006/relationships/hyperlink" Target="https://www.facebook.com/groups/733300653941914/" TargetMode="External"/><Relationship Id="rId207" Type="http://schemas.openxmlformats.org/officeDocument/2006/relationships/hyperlink" Target="https://www.facebook.com/p/Joshi-tent-caterer-100064038492725/" TargetMode="External"/><Relationship Id="rId328" Type="http://schemas.openxmlformats.org/officeDocument/2006/relationships/hyperlink" Target="https://www.facebook.com/thegrandcaterers/" TargetMode="External"/><Relationship Id="rId449" Type="http://schemas.openxmlformats.org/officeDocument/2006/relationships/hyperlink" Target="https://www.facebook.com/AKNNSEventas/" TargetMode="External"/><Relationship Id="rId440" Type="http://schemas.openxmlformats.org/officeDocument/2006/relationships/hyperlink" Target="https://linktr.ee/tastemetoday" TargetMode="External"/><Relationship Id="rId202" Type="http://schemas.openxmlformats.org/officeDocument/2006/relationships/hyperlink" Target="https://www.facebook.com/p/Vinay-Caterers-100064557404854/" TargetMode="External"/><Relationship Id="rId323" Type="http://schemas.openxmlformats.org/officeDocument/2006/relationships/hyperlink" Target="https://www.kentscaterers.com/" TargetMode="External"/><Relationship Id="rId444" Type="http://schemas.openxmlformats.org/officeDocument/2006/relationships/hyperlink" Target="http://hariramcaterers.in/" TargetMode="External"/><Relationship Id="rId201" Type="http://schemas.openxmlformats.org/officeDocument/2006/relationships/hyperlink" Target="https://www.facebook.com/roseluxurycatering.co/" TargetMode="External"/><Relationship Id="rId322" Type="http://schemas.openxmlformats.org/officeDocument/2006/relationships/hyperlink" Target="https://www.instagram.com/eventsgear/" TargetMode="External"/><Relationship Id="rId443" Type="http://schemas.openxmlformats.org/officeDocument/2006/relationships/hyperlink" Target="https://shivamcaterersdecor.com/contact-3/" TargetMode="External"/><Relationship Id="rId200" Type="http://schemas.openxmlformats.org/officeDocument/2006/relationships/hyperlink" Target="https://www.facebook.com/sanadigedelhi/" TargetMode="External"/><Relationship Id="rId321" Type="http://schemas.openxmlformats.org/officeDocument/2006/relationships/hyperlink" Target="https://www.facebook.com/p/Sethi-Decorators-Caterers-100063680804462/" TargetMode="External"/><Relationship Id="rId442" Type="http://schemas.openxmlformats.org/officeDocument/2006/relationships/hyperlink" Target="https://greenzillacafe.blogspot.com/" TargetMode="External"/><Relationship Id="rId320" Type="http://schemas.openxmlformats.org/officeDocument/2006/relationships/hyperlink" Target="https://www.facebook.com/bholacaterers2019/" TargetMode="External"/><Relationship Id="rId441" Type="http://schemas.openxmlformats.org/officeDocument/2006/relationships/hyperlink" Target="https://www.instagram.com/thedastoorkitchen/" TargetMode="External"/><Relationship Id="rId316" Type="http://schemas.openxmlformats.org/officeDocument/2006/relationships/hyperlink" Target="https://www.instagram.com/chatpaticravings.in/" TargetMode="External"/><Relationship Id="rId437" Type="http://schemas.openxmlformats.org/officeDocument/2006/relationships/hyperlink" Target="https://www.instagram.com/theclovecatering_official/" TargetMode="External"/><Relationship Id="rId315" Type="http://schemas.openxmlformats.org/officeDocument/2006/relationships/hyperlink" Target="https://www.instagram.com/house_of_rakabdar/" TargetMode="External"/><Relationship Id="rId436" Type="http://schemas.openxmlformats.org/officeDocument/2006/relationships/hyperlink" Target="https://www.facebook.com/rjcaterers/" TargetMode="External"/><Relationship Id="rId314" Type="http://schemas.openxmlformats.org/officeDocument/2006/relationships/hyperlink" Target="https://www.instagram.com/cuisinesandconcepts/?hl=en" TargetMode="External"/><Relationship Id="rId435" Type="http://schemas.openxmlformats.org/officeDocument/2006/relationships/hyperlink" Target="https://www.taujicaterers.com/" TargetMode="External"/><Relationship Id="rId313" Type="http://schemas.openxmlformats.org/officeDocument/2006/relationships/hyperlink" Target="http://diamondcaterers.net/" TargetMode="External"/><Relationship Id="rId434" Type="http://schemas.openxmlformats.org/officeDocument/2006/relationships/hyperlink" Target="https://thegoldstarevent.in/" TargetMode="External"/><Relationship Id="rId319" Type="http://schemas.openxmlformats.org/officeDocument/2006/relationships/hyperlink" Target="https://www.instagram.com/thelajawaab/" TargetMode="External"/><Relationship Id="rId318" Type="http://schemas.openxmlformats.org/officeDocument/2006/relationships/hyperlink" Target="https://lajwaabcaterers.in/" TargetMode="External"/><Relationship Id="rId439" Type="http://schemas.openxmlformats.org/officeDocument/2006/relationships/hyperlink" Target="https://rarakitchenstudio.com/" TargetMode="External"/><Relationship Id="rId317" Type="http://schemas.openxmlformats.org/officeDocument/2006/relationships/hyperlink" Target="https://ramkrishnatenthouse.in/" TargetMode="External"/><Relationship Id="rId438" Type="http://schemas.openxmlformats.org/officeDocument/2006/relationships/hyperlink" Target="https://www.swadcaters.com/" TargetMode="External"/><Relationship Id="rId312" Type="http://schemas.openxmlformats.org/officeDocument/2006/relationships/hyperlink" Target="https://caterersdelhi.in/" TargetMode="External"/><Relationship Id="rId433" Type="http://schemas.openxmlformats.org/officeDocument/2006/relationships/hyperlink" Target="https://catering.masaldani.in/lp/delhi-b2b/mdb2b-b2b-bofu-luxury-catering-company?campaignid=23866269274&amp;adgroupid=196862786379&amp;targetid=kwd-325224562682&amp;interest=&amp;loc=9300836&amp;matchType=p&amp;network=g&amp;deviceType=c&amp;searchTerm=luxury%20catering%20company&amp;adPosition=&amp;source=GoogleAds&amp;gad_source=1&amp;gad_campaignid=23866269274&amp;gbraid=0AAAAA-t1VBgUc8f9KfvQAPtQ8qGH3-S7K&amp;gclid=CjwKCAjwvNfSBhBiEiwAyaGMCQyvi_D-f0HrYe2guSPpPshd8hen7JdAS3JiISjLiORNKrFDZwX88xoCecoQAvD_BwE" TargetMode="External"/><Relationship Id="rId311" Type="http://schemas.openxmlformats.org/officeDocument/2006/relationships/hyperlink" Target="https://www.gdfoodsindia.com/" TargetMode="External"/><Relationship Id="rId432" Type="http://schemas.openxmlformats.org/officeDocument/2006/relationships/hyperlink" Target="https://www.swiggy.com/restaurants/burari-84-burari-koramangala-delhi-1298020/dineout?is_retargeting=true&amp;media_source=GoogleReserve&amp;utm_campaign=GoogleMap&amp;utm_source=GoogleReserve" TargetMode="External"/><Relationship Id="rId310" Type="http://schemas.openxmlformats.org/officeDocument/2006/relationships/hyperlink" Target="https://www.tastefreshhospitality.in/" TargetMode="External"/><Relationship Id="rId431" Type="http://schemas.openxmlformats.org/officeDocument/2006/relationships/hyperlink" Target="https://www.pepperplate.com/" TargetMode="External"/><Relationship Id="rId430" Type="http://schemas.openxmlformats.org/officeDocument/2006/relationships/hyperlink" Target="https://www.google.com/search?q=The+Appumm+House&amp;sca_esv=c9ce5070ea22d1f0&amp;biw=1280&amp;bih=665&amp;sxsrf=APpeQntdX7sxKvHg17KJQXJ0tlrE9Y8HCg%3A1784020110046&amp;ei=jvxVauu6Atzi2roPiM7jkQU&amp;ved=0ahUKEwjrubnn6NGVAxVcsVYBHQjnOFIQ4dUDCBA&amp;uact=5&amp;oq=The+Appumm+House&amp;gs_lp=Egxnd3Mtd2l6LXNlcnAiEFRoZSBBcHB1bW0gSG91c2UyDhAuGIAEGMcBGK8BGI4FMgUQABiABDIFEAAYgAQyBRAAGIAEMgYQABgWGB4yBhAAGBYYHjIGEAAYFhgeMgYQABgWGB4yBhAAGBYYHjIGEAAYFhgeMh0QLhiABBjHARivARiOBRiXBRjcBBjeBBjgBNgBAUj8CFDLAljLAnABeACQAQCYAa0BoAGtAaoBAzAuMbgBA8gBAPgBAfgBApgCAqACvgGoAhTCAgcQIxjqAhgnwgIQEAAYAxiPARjqAhi0AtgBAcICEBAuGAMYjwEY6gIYtALYAQGYAwrxBXzA5RqGnAtvugYGCAEQARgKkgcDMS4xoAfkCbIHAzAuMbgHswHCBwUyLTEuMcgHDIAIAQ&amp;sclient=gws-wiz-serp"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hreebalajicaterers.co.in/" TargetMode="External"/><Relationship Id="rId2" Type="http://schemas.openxmlformats.org/officeDocument/2006/relationships/hyperlink" Target="https://katraaneelkitchens.com/" TargetMode="External"/><Relationship Id="rId3" Type="http://schemas.openxmlformats.org/officeDocument/2006/relationships/hyperlink" Target="https://www.google.co.in/intl/en/about/products?tab=lh" TargetMode="External"/><Relationship Id="rId4" Type="http://schemas.openxmlformats.org/officeDocument/2006/relationships/hyperlink" Target="https://shreebalajicaterers.co.in/" TargetMode="External"/><Relationship Id="rId5" Type="http://schemas.openxmlformats.org/officeDocument/2006/relationships/hyperlink" Target="https://shreebalajicaterers.co.in/" TargetMode="External"/><Relationship Id="rId6" Type="http://schemas.openxmlformats.org/officeDocument/2006/relationships/hyperlink" Target="https://www.google.co.in/intl/en/about/products?tab=lh"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jaincocaterers.online/update.html" TargetMode="External"/><Relationship Id="rId2" Type="http://schemas.openxmlformats.org/officeDocument/2006/relationships/hyperlink" Target="http://www.unmess.in/" TargetMode="External"/><Relationship Id="rId3" Type="http://schemas.openxmlformats.org/officeDocument/2006/relationships/hyperlink" Target="http://www.thekamathcaterers.in/" TargetMode="External"/><Relationship Id="rId4" Type="http://schemas.openxmlformats.org/officeDocument/2006/relationships/hyperlink" Target="https://premierpalate.in/" TargetMode="External"/><Relationship Id="rId9" Type="http://schemas.openxmlformats.org/officeDocument/2006/relationships/hyperlink" Target="https://chatpatastories.com/" TargetMode="External"/><Relationship Id="rId5" Type="http://schemas.openxmlformats.org/officeDocument/2006/relationships/hyperlink" Target="https://nehasprouts.com/" TargetMode="External"/><Relationship Id="rId6" Type="http://schemas.openxmlformats.org/officeDocument/2006/relationships/hyperlink" Target="https://heritagecateringservices.com/" TargetMode="External"/><Relationship Id="rId7" Type="http://schemas.openxmlformats.org/officeDocument/2006/relationships/hyperlink" Target="https://enaskitchen.com/" TargetMode="External"/><Relationship Id="rId8" Type="http://schemas.openxmlformats.org/officeDocument/2006/relationships/hyperlink" Target="https://www.theatara.com/atara-catering/atara-catering.html" TargetMode="External"/><Relationship Id="rId20" Type="http://schemas.openxmlformats.org/officeDocument/2006/relationships/hyperlink" Target="https://www.google.co.in/intl/en/about/products?tab=lh" TargetMode="External"/><Relationship Id="rId22" Type="http://schemas.openxmlformats.org/officeDocument/2006/relationships/hyperlink" Target="https://foodplanetonline.com/" TargetMode="External"/><Relationship Id="rId21" Type="http://schemas.openxmlformats.org/officeDocument/2006/relationships/hyperlink" Target="https://foodplanetonline.com/" TargetMode="External"/><Relationship Id="rId23" Type="http://schemas.openxmlformats.org/officeDocument/2006/relationships/drawing" Target="../drawings/drawing3.xml"/><Relationship Id="rId11" Type="http://schemas.openxmlformats.org/officeDocument/2006/relationships/hyperlink" Target="https://www.facebook.com/ConcuroByManishPandey/" TargetMode="External"/><Relationship Id="rId10" Type="http://schemas.openxmlformats.org/officeDocument/2006/relationships/hyperlink" Target="http://ww1.l-eat.com/?usid=26&amp;utid=13922936607" TargetMode="External"/><Relationship Id="rId13" Type="http://schemas.openxmlformats.org/officeDocument/2006/relationships/hyperlink" Target="https://royalaffairs.in/" TargetMode="External"/><Relationship Id="rId12" Type="http://schemas.openxmlformats.org/officeDocument/2006/relationships/hyperlink" Target="https://kardamomkatering.com/" TargetMode="External"/><Relationship Id="rId15" Type="http://schemas.openxmlformats.org/officeDocument/2006/relationships/hyperlink" Target="https://sartaj.co.in/" TargetMode="External"/><Relationship Id="rId14" Type="http://schemas.openxmlformats.org/officeDocument/2006/relationships/hyperlink" Target="https://www.cuisineo.co/" TargetMode="External"/><Relationship Id="rId17" Type="http://schemas.openxmlformats.org/officeDocument/2006/relationships/hyperlink" Target="https://www.pawancaterershasija.in/" TargetMode="External"/><Relationship Id="rId16" Type="http://schemas.openxmlformats.org/officeDocument/2006/relationships/hyperlink" Target="https://www.google.co.in/intl/en/about/products?tab=lh" TargetMode="External"/><Relationship Id="rId19" Type="http://schemas.openxmlformats.org/officeDocument/2006/relationships/hyperlink" Target="https://www.instagram.com/house_of_rakabdar/?hl=en" TargetMode="External"/><Relationship Id="rId18" Type="http://schemas.openxmlformats.org/officeDocument/2006/relationships/hyperlink" Target="https://drcevent.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fusionstreet.co.in/" TargetMode="External"/><Relationship Id="rId2" Type="http://schemas.openxmlformats.org/officeDocument/2006/relationships/hyperlink" Target="https://www.barbequenation.com/restaurants/bangalore/electronic-city" TargetMode="External"/><Relationship Id="rId3" Type="http://schemas.openxmlformats.org/officeDocument/2006/relationships/hyperlink" Target="https://feastary.in/" TargetMode="External"/><Relationship Id="rId4" Type="http://schemas.openxmlformats.org/officeDocument/2006/relationships/hyperlink" Target="http://paramountparadise.com/" TargetMode="External"/><Relationship Id="rId9" Type="http://schemas.openxmlformats.org/officeDocument/2006/relationships/hyperlink" Target="https://virtuosocatering.com/" TargetMode="External"/><Relationship Id="rId5" Type="http://schemas.openxmlformats.org/officeDocument/2006/relationships/hyperlink" Target="https://www.instagram.com/raj_tent_catterers_decorators?igsh=OThseGFmMzRwYTRj" TargetMode="External"/><Relationship Id="rId6" Type="http://schemas.openxmlformats.org/officeDocument/2006/relationships/hyperlink" Target="https://goldenplatecaterers.com/" TargetMode="External"/><Relationship Id="rId7" Type="http://schemas.openxmlformats.org/officeDocument/2006/relationships/hyperlink" Target="https://nathusweets.com/" TargetMode="External"/><Relationship Id="rId8" Type="http://schemas.openxmlformats.org/officeDocument/2006/relationships/hyperlink" Target="https://www.google.co.in/intl/en/about/products?tab=lh" TargetMode="External"/><Relationship Id="rId40" Type="http://schemas.openxmlformats.org/officeDocument/2006/relationships/hyperlink" Target="https://shaguncaterers.com/" TargetMode="External"/><Relationship Id="rId42" Type="http://schemas.openxmlformats.org/officeDocument/2006/relationships/hyperlink" Target="https://www.instagram.com/raj_tent_catterers_decorators?igsh=OThseGFmMzRwYTRj" TargetMode="External"/><Relationship Id="rId41" Type="http://schemas.openxmlformats.org/officeDocument/2006/relationships/hyperlink" Target="https://www.mangalamcaterers.in/" TargetMode="External"/><Relationship Id="rId44" Type="http://schemas.openxmlformats.org/officeDocument/2006/relationships/hyperlink" Target="https://www.fusionstreet.co.in/" TargetMode="External"/><Relationship Id="rId43" Type="http://schemas.openxmlformats.org/officeDocument/2006/relationships/hyperlink" Target="https://culinaryexperience.in/" TargetMode="External"/><Relationship Id="rId46" Type="http://schemas.openxmlformats.org/officeDocument/2006/relationships/drawing" Target="../drawings/drawing4.xml"/><Relationship Id="rId45" Type="http://schemas.openxmlformats.org/officeDocument/2006/relationships/hyperlink" Target="https://www.flamengrills.in/" TargetMode="External"/><Relationship Id="rId31" Type="http://schemas.openxmlformats.org/officeDocument/2006/relationships/hyperlink" Target="https://www.jaincocaterers.online/" TargetMode="External"/><Relationship Id="rId30" Type="http://schemas.openxmlformats.org/officeDocument/2006/relationships/hyperlink" Target="http://www.unmess.in/" TargetMode="External"/><Relationship Id="rId33" Type="http://schemas.openxmlformats.org/officeDocument/2006/relationships/hyperlink" Target="https://katraaneelkitchens.com/" TargetMode="External"/><Relationship Id="rId32" Type="http://schemas.openxmlformats.org/officeDocument/2006/relationships/hyperlink" Target="https://wedfullyyours.in/" TargetMode="External"/><Relationship Id="rId35" Type="http://schemas.openxmlformats.org/officeDocument/2006/relationships/hyperlink" Target="https://virtuosocatering.com/" TargetMode="External"/><Relationship Id="rId34" Type="http://schemas.openxmlformats.org/officeDocument/2006/relationships/hyperlink" Target="https://www.instagram.com/tastebuds_caterers?igsh=OGx3ZnlocWV1cXBo" TargetMode="External"/><Relationship Id="rId37" Type="http://schemas.openxmlformats.org/officeDocument/2006/relationships/hyperlink" Target="https://www.knifearts.in/" TargetMode="External"/><Relationship Id="rId36" Type="http://schemas.openxmlformats.org/officeDocument/2006/relationships/hyperlink" Target="http://punjabgrill.in" TargetMode="External"/><Relationship Id="rId39" Type="http://schemas.openxmlformats.org/officeDocument/2006/relationships/hyperlink" Target="https://thekamathcaterers.in/" TargetMode="External"/><Relationship Id="rId38" Type="http://schemas.openxmlformats.org/officeDocument/2006/relationships/hyperlink" Target="https://www.theatara.com/atara-catering/atara-catering.html" TargetMode="External"/><Relationship Id="rId20" Type="http://schemas.openxmlformats.org/officeDocument/2006/relationships/hyperlink" Target="https://theclovecatering.com/" TargetMode="External"/><Relationship Id="rId22" Type="http://schemas.openxmlformats.org/officeDocument/2006/relationships/hyperlink" Target="http://www.seekingroots.in/" TargetMode="External"/><Relationship Id="rId21" Type="http://schemas.openxmlformats.org/officeDocument/2006/relationships/hyperlink" Target="https://utsavcaterer.in/" TargetMode="External"/><Relationship Id="rId24" Type="http://schemas.openxmlformats.org/officeDocument/2006/relationships/hyperlink" Target="https://www.shreeramcaterers.site/" TargetMode="External"/><Relationship Id="rId23" Type="http://schemas.openxmlformats.org/officeDocument/2006/relationships/hyperlink" Target="https://leisure-events.co.uk/" TargetMode="External"/><Relationship Id="rId26" Type="http://schemas.openxmlformats.org/officeDocument/2006/relationships/hyperlink" Target="https://kardamomkatering.com/contact-us/" TargetMode="External"/><Relationship Id="rId25" Type="http://schemas.openxmlformats.org/officeDocument/2006/relationships/hyperlink" Target="https://nathusweets.com/" TargetMode="External"/><Relationship Id="rId28" Type="http://schemas.openxmlformats.org/officeDocument/2006/relationships/hyperlink" Target="https://www.flamengrills.in/" TargetMode="External"/><Relationship Id="rId27" Type="http://schemas.openxmlformats.org/officeDocument/2006/relationships/hyperlink" Target="http://www.turbantales.in/" TargetMode="External"/><Relationship Id="rId29" Type="http://schemas.openxmlformats.org/officeDocument/2006/relationships/hyperlink" Target="https://www.fusionstreet.co.in/" TargetMode="External"/><Relationship Id="rId11" Type="http://schemas.openxmlformats.org/officeDocument/2006/relationships/hyperlink" Target="http://www.deliciousfoodcaterers.co.in/" TargetMode="External"/><Relationship Id="rId10" Type="http://schemas.openxmlformats.org/officeDocument/2006/relationships/hyperlink" Target="https://wa.me/917291833910" TargetMode="External"/><Relationship Id="rId13" Type="http://schemas.openxmlformats.org/officeDocument/2006/relationships/hyperlink" Target="https://shaguncaterers.com/" TargetMode="External"/><Relationship Id="rId12" Type="http://schemas.openxmlformats.org/officeDocument/2006/relationships/hyperlink" Target="https://kardamomkatering.com/" TargetMode="External"/><Relationship Id="rId15" Type="http://schemas.openxmlformats.org/officeDocument/2006/relationships/hyperlink" Target="https://www.mirchmasalacaterers.com/" TargetMode="External"/><Relationship Id="rId14" Type="http://schemas.openxmlformats.org/officeDocument/2006/relationships/hyperlink" Target="https://spicy-n-saucy.grexa.site/" TargetMode="External"/><Relationship Id="rId17" Type="http://schemas.openxmlformats.org/officeDocument/2006/relationships/hyperlink" Target="http://dishoutcatering.in/" TargetMode="External"/><Relationship Id="rId16" Type="http://schemas.openxmlformats.org/officeDocument/2006/relationships/hyperlink" Target="https://katraaneelkitchens.com/" TargetMode="External"/><Relationship Id="rId19" Type="http://schemas.openxmlformats.org/officeDocument/2006/relationships/hyperlink" Target="https://www.mangalamcaterers.in/" TargetMode="External"/><Relationship Id="rId18" Type="http://schemas.openxmlformats.org/officeDocument/2006/relationships/hyperlink" Target="http://redngreens.co.uk/"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www.facebook.com/roseluxurycatering.co/" TargetMode="External"/><Relationship Id="rId194" Type="http://schemas.openxmlformats.org/officeDocument/2006/relationships/hyperlink" Target="https://www.facebook.com/maacaterersanddecorators/" TargetMode="External"/><Relationship Id="rId193" Type="http://schemas.openxmlformats.org/officeDocument/2006/relationships/hyperlink" Target="https://www.facebook.com/p/Parampara-catering-100054437442044/" TargetMode="External"/><Relationship Id="rId192" Type="http://schemas.openxmlformats.org/officeDocument/2006/relationships/hyperlink" Target="https://www.facebook.com/p/Flavour-Hub-61571554619311/" TargetMode="External"/><Relationship Id="rId191" Type="http://schemas.openxmlformats.org/officeDocument/2006/relationships/hyperlink" Target="https://www.facebook.com/groups/733300653941914/" TargetMode="External"/><Relationship Id="rId187" Type="http://schemas.openxmlformats.org/officeDocument/2006/relationships/hyperlink" Target="https://www.facebook.com/theterracesatdelhi/" TargetMode="External"/><Relationship Id="rId186" Type="http://schemas.openxmlformats.org/officeDocument/2006/relationships/hyperlink" Target="https://www.facebook.com/GeeRaGourmetTreats/" TargetMode="External"/><Relationship Id="rId185" Type="http://schemas.openxmlformats.org/officeDocument/2006/relationships/hyperlink" Target="https://www.facebook.com/people/Lala-Ram-Tent-House-Event-Caterers/61590637377013/" TargetMode="External"/><Relationship Id="rId184" Type="http://schemas.openxmlformats.org/officeDocument/2006/relationships/hyperlink" Target="https://www.facebook.com/people/Gillies-Catering-Services/100063988001169/" TargetMode="External"/><Relationship Id="rId189" Type="http://schemas.openxmlformats.org/officeDocument/2006/relationships/hyperlink" Target="https://www.facebook.com/urbansweetsandbakers/" TargetMode="External"/><Relationship Id="rId188" Type="http://schemas.openxmlformats.org/officeDocument/2006/relationships/hyperlink" Target="https://www.facebook.com/cuisineocaterer/posts/1670839631715182/" TargetMode="External"/><Relationship Id="rId183" Type="http://schemas.openxmlformats.org/officeDocument/2006/relationships/hyperlink" Target="https://www.facebook.com/AtharvCaterer/" TargetMode="External"/><Relationship Id="rId182" Type="http://schemas.openxmlformats.org/officeDocument/2006/relationships/hyperlink" Target="https://www.facebook.com/Creativefoodcateringandevents/" TargetMode="External"/><Relationship Id="rId181" Type="http://schemas.openxmlformats.org/officeDocument/2006/relationships/hyperlink" Target="https://www.facebook.com/redchillicaterersindelhi/" TargetMode="External"/><Relationship Id="rId180" Type="http://schemas.openxmlformats.org/officeDocument/2006/relationships/hyperlink" Target="https://www.facebook.com/bong.caterer/" TargetMode="External"/><Relationship Id="rId176" Type="http://schemas.openxmlformats.org/officeDocument/2006/relationships/hyperlink" Target="https://www.facebook.com/p/Welcome-Caterers-100068299807355/" TargetMode="External"/><Relationship Id="rId175" Type="http://schemas.openxmlformats.org/officeDocument/2006/relationships/hyperlink" Target="https://www.facebook.com/babusinghcaterers/" TargetMode="External"/><Relationship Id="rId174" Type="http://schemas.openxmlformats.org/officeDocument/2006/relationships/hyperlink" Target="https://www.facebook.com/a3acaterers/" TargetMode="External"/><Relationship Id="rId173" Type="http://schemas.openxmlformats.org/officeDocument/2006/relationships/hyperlink" Target="https://www.facebook.com/zaykacaters/" TargetMode="External"/><Relationship Id="rId179" Type="http://schemas.openxmlformats.org/officeDocument/2006/relationships/hyperlink" Target="https://www.instagram.com/ahmedmughlai/" TargetMode="External"/><Relationship Id="rId178" Type="http://schemas.openxmlformats.org/officeDocument/2006/relationships/hyperlink" Target="https://www.facebook.com/Thegourmetstories/" TargetMode="External"/><Relationship Id="rId177" Type="http://schemas.openxmlformats.org/officeDocument/2006/relationships/hyperlink" Target="https://www.facebook.com/Aggarwalcaterers1/" TargetMode="External"/><Relationship Id="rId198" Type="http://schemas.openxmlformats.org/officeDocument/2006/relationships/hyperlink" Target="https://www.instagram.com/motimahaldeluxdelhi/?hl=en" TargetMode="External"/><Relationship Id="rId197" Type="http://schemas.openxmlformats.org/officeDocument/2006/relationships/hyperlink" Target="https://www.facebook.com/divinetadka/" TargetMode="External"/><Relationship Id="rId196" Type="http://schemas.openxmlformats.org/officeDocument/2006/relationships/hyperlink" Target="https://www.facebook.com/rajcateringservices/" TargetMode="External"/><Relationship Id="rId195" Type="http://schemas.openxmlformats.org/officeDocument/2006/relationships/hyperlink" Target="https://www.instagram.com/sdsinghfoodcompany/" TargetMode="External"/><Relationship Id="rId199" Type="http://schemas.openxmlformats.org/officeDocument/2006/relationships/hyperlink" Target="https://www.facebook.com/cuisinesandconcepts/" TargetMode="External"/><Relationship Id="rId150" Type="http://schemas.openxmlformats.org/officeDocument/2006/relationships/hyperlink" Target="https://www.facebook.com/malhotracaterer/" TargetMode="External"/><Relationship Id="rId1" Type="http://schemas.openxmlformats.org/officeDocument/2006/relationships/hyperlink" Target="https://www.facebook.com/punjabgrill.official/" TargetMode="External"/><Relationship Id="rId2" Type="http://schemas.openxmlformats.org/officeDocument/2006/relationships/hyperlink" Target="https://www.facebook.com/radheyshyambadarpur/" TargetMode="External"/><Relationship Id="rId3" Type="http://schemas.openxmlformats.org/officeDocument/2006/relationships/hyperlink" Target="https://www.instagram.com/ganesh_caterers/" TargetMode="External"/><Relationship Id="rId149" Type="http://schemas.openxmlformats.org/officeDocument/2006/relationships/hyperlink" Target="https://www.google.com/search?q=The+Art+Kraft&amp;sca_esv=f2286370e303522b&amp;biw=1366&amp;bih=607&amp;sxsrf=APpeQnss_VG98c7XzjH1pmnbveoBzX9AxA%3A1785322494673&amp;ei=_ttpaoHPKOS94-EP8q7y8Ao&amp;ved=0ahUKEwiBxurI3PeVAxXk3jgGHXKXHK4Q4dUDCBA&amp;uact=5&amp;oq=The+Art+Kraft&amp;gs_lp=Egxnd3Mtd2l6LXNlcnAiDVRoZSBBcnQgS3JhZnQyBBAjGCcyBxAAGIAEGA0yBxAAGIAEGA0yBxAAGIAEGA0yCRAAGIAEGA0YCjIHEAAYgAQYDTIGEAAYHhgNMgYQABgeGA0yBhAAGB4YDTIGEAAYFhgeSOoSUMkMWMkMcAF4AJABAJgBsQGgAbEBqgEDMC4xuAEDyAEA-AEB-AECmAICoALMAagCEMICBxAjGOoCGCfCAhwQLhiABBiKBRhDGOcGGMcBGK8BGOoCGLQC2AEBwgIQEAAYAxiPARjqAhi0AtgBAZgDCvEFH2fhDDgqoWa6BgYIARABGAGSBwMxLjGgB50HsgcDMC4xuAfCAcIHAzMtMsgHF4AIAQ&amp;sclient=gws-wiz-serp" TargetMode="External"/><Relationship Id="rId4" Type="http://schemas.openxmlformats.org/officeDocument/2006/relationships/hyperlink" Target="https://www.facebook.com/profile.php?id=100054489037840" TargetMode="External"/><Relationship Id="rId148" Type="http://schemas.openxmlformats.org/officeDocument/2006/relationships/hyperlink" Target="https://www.facebook.com/ArtCraftandArchitecture/" TargetMode="External"/><Relationship Id="rId9" Type="http://schemas.openxmlformats.org/officeDocument/2006/relationships/hyperlink" Target="https://www.facebook.com/mamtacaters.in/" TargetMode="External"/><Relationship Id="rId143" Type="http://schemas.openxmlformats.org/officeDocument/2006/relationships/hyperlink" Target="https://www.facebook.com/perfecteatscatering/" TargetMode="External"/><Relationship Id="rId142" Type="http://schemas.openxmlformats.org/officeDocument/2006/relationships/hyperlink" Target="https://www.facebook.com/saffroncaterer/posts/saffron-caterer/1594048852089013/" TargetMode="External"/><Relationship Id="rId141" Type="http://schemas.openxmlformats.org/officeDocument/2006/relationships/hyperlink" Target="https://www.facebook.com/DevranaOfficial/posts/where-luxury-meets-detail-our-bespoke-event-setups-are-designed-to-leave-your-gu/1299911055516711/" TargetMode="External"/><Relationship Id="rId140" Type="http://schemas.openxmlformats.org/officeDocument/2006/relationships/hyperlink" Target="https://www.facebook.com/foodandsoulcateringservices/" TargetMode="External"/><Relationship Id="rId5" Type="http://schemas.openxmlformats.org/officeDocument/2006/relationships/hyperlink" Target="https://www.facebook.com/p/Malhotra-Tent-House-Caterers-decorator-100063564261517/" TargetMode="External"/><Relationship Id="rId147" Type="http://schemas.openxmlformats.org/officeDocument/2006/relationships/hyperlink" Target="https://www.facebook.com/p/M-M-Caterers-100068878403867/" TargetMode="External"/><Relationship Id="rId6" Type="http://schemas.openxmlformats.org/officeDocument/2006/relationships/hyperlink" Target="https://www.facebook.com/p/Milan-Tent-House-100064707892829/" TargetMode="External"/><Relationship Id="rId146" Type="http://schemas.openxmlformats.org/officeDocument/2006/relationships/hyperlink" Target="https://www.facebook.com/applecaterersjaipur/" TargetMode="External"/><Relationship Id="rId7" Type="http://schemas.openxmlformats.org/officeDocument/2006/relationships/hyperlink" Target="https://www.facebook.com/bronmebakery/" TargetMode="External"/><Relationship Id="rId145" Type="http://schemas.openxmlformats.org/officeDocument/2006/relationships/hyperlink" Target="https://www.facebook.com/pizzahutusvi/posts/gather-your-friends-and-let-pizza-hut-take-care-of-the-food-with-easy-catering-o/910647901054574/" TargetMode="External"/><Relationship Id="rId8" Type="http://schemas.openxmlformats.org/officeDocument/2006/relationships/hyperlink" Target="https://www.facebook.com/NandiCaterers/" TargetMode="External"/><Relationship Id="rId144" Type="http://schemas.openxmlformats.org/officeDocument/2006/relationships/hyperlink" Target="https://www.facebook.com/koylakebab/" TargetMode="External"/><Relationship Id="rId139" Type="http://schemas.openxmlformats.org/officeDocument/2006/relationships/hyperlink" Target="https://www.facebook.com/AmigoHospitality/" TargetMode="External"/><Relationship Id="rId138" Type="http://schemas.openxmlformats.org/officeDocument/2006/relationships/hyperlink" Target="https://www.facebook.com/p/Shri-Bankey-Bihari-Exclusive-Catering-Services-100064040258732/" TargetMode="External"/><Relationship Id="rId137" Type="http://schemas.openxmlformats.org/officeDocument/2006/relationships/hyperlink" Target="https://www.facebook.com/srijicaters/" TargetMode="External"/><Relationship Id="rId132" Type="http://schemas.openxmlformats.org/officeDocument/2006/relationships/hyperlink" Target="https://www.facebook.com/p/Indo-Spice-Caterers-and-Event-Planners-100064006361498/" TargetMode="External"/><Relationship Id="rId131" Type="http://schemas.openxmlformats.org/officeDocument/2006/relationships/hyperlink" Target="https://www.facebook.com/p/Yadav-Catering-Service-100057481658144/" TargetMode="External"/><Relationship Id="rId130" Type="http://schemas.openxmlformats.org/officeDocument/2006/relationships/hyperlink" Target="https://www.facebook.com/khatirdari.lko/" TargetMode="External"/><Relationship Id="rId136" Type="http://schemas.openxmlformats.org/officeDocument/2006/relationships/hyperlink" Target="https://www.facebook.com/aleisureevent/" TargetMode="External"/><Relationship Id="rId135" Type="http://schemas.openxmlformats.org/officeDocument/2006/relationships/hyperlink" Target="https://www.google.com/search?q=Aristocrat+Caterers&amp;sca_esv=f2286370e303522b&amp;biw=1366&amp;bih=607&amp;sxsrf=APpeQnuLuRk1wtxYlcgUFm_nG8lZf4ehhA%3A1785321710981&amp;ei=7thpati8O4Os4-EPu9HS2Aw&amp;ved=0ahUKEwjY65HT2feVAxUD1jgGHbuoFMsQ4dUDCBA&amp;uact=5&amp;oq=Aristocrat+Caterers&amp;gs_lp=Egxnd3Mtd2l6LXNlcnAiE0FyaXN0b2NyYXQgQ2F0ZXJlcnMyBBAjGCcyCxAuGIAEGMcBGK8BMgoQABiABBgUGIcCMgUQABiABDIFEAAYgAQyCxAAGIAEGIoFGJECMgsQABiABBiKBRiRAjIGEAAYFhgeMgYQABgWGB4yBhAAGBYYHkj3EVDbCljbCnABeACQAQCYAcwBoAHMAaoBAzItMbgBA8gBAPgBAfgBApgCAqAC6QGoAhPCAgcQIxjqAhgnwgIdEC4YrwEYxwEYkQIYgAQYigUY5wYY6gIYtALYAQHCAhcQABiABBiKBRiRAhjnBhjqAhi0AtgBAcICEBAAGAMYjwEY6gIYtALYAQGYAwvxBWZlGF4wuTvGugYGCAEQARgBkgcFMS4wLjGgB50LsgcDMi0xuAfdAcIHAzMtMsgHGYAIAQ&amp;sclient=gws-wiz-serp" TargetMode="External"/><Relationship Id="rId134" Type="http://schemas.openxmlformats.org/officeDocument/2006/relationships/hyperlink" Target="https://www.facebook.com/pages/Aristocrat-Caterers/1978302319110405" TargetMode="External"/><Relationship Id="rId133" Type="http://schemas.openxmlformats.org/officeDocument/2006/relationships/hyperlink" Target="https://www.facebook.com/khemahalwai/" TargetMode="External"/><Relationship Id="rId172" Type="http://schemas.openxmlformats.org/officeDocument/2006/relationships/hyperlink" Target="https://www.facebook.com/khansaamacaters/" TargetMode="External"/><Relationship Id="rId171" Type="http://schemas.openxmlformats.org/officeDocument/2006/relationships/hyperlink" Target="https://www.facebook.com/ConcuroByManishPandey/" TargetMode="External"/><Relationship Id="rId170" Type="http://schemas.openxmlformats.org/officeDocument/2006/relationships/hyperlink" Target="https://www.facebook.com/people/Shivam-Event-Management-Catering-services/100083172078751/?locale=lv_LV" TargetMode="External"/><Relationship Id="rId165" Type="http://schemas.openxmlformats.org/officeDocument/2006/relationships/hyperlink" Target="https://www.facebook.com/bathlatent/" TargetMode="External"/><Relationship Id="rId164" Type="http://schemas.openxmlformats.org/officeDocument/2006/relationships/hyperlink" Target="https://www.facebook.com/FOODIEADDICTED/posts/north-indian-food-at-south-india-finally/1186012583347587/" TargetMode="External"/><Relationship Id="rId163" Type="http://schemas.openxmlformats.org/officeDocument/2006/relationships/hyperlink" Target="https://www.facebook.com/groups/1466548386962150/posts/1788760651407587/" TargetMode="External"/><Relationship Id="rId162" Type="http://schemas.openxmlformats.org/officeDocument/2006/relationships/hyperlink" Target="https://www.facebook.com/pinksharkmarketing/photos/" TargetMode="External"/><Relationship Id="rId169" Type="http://schemas.openxmlformats.org/officeDocument/2006/relationships/hyperlink" Target="https://www.facebook.com/amancateringservice/" TargetMode="External"/><Relationship Id="rId168" Type="http://schemas.openxmlformats.org/officeDocument/2006/relationships/hyperlink" Target="https://www.facebook.com/TheDhanMillDelhi/videos/an-evening-to-remember-at-the-dhan-mill-the-courtyard-is-officially-open-a-desti/3909504772517329/" TargetMode="External"/><Relationship Id="rId167" Type="http://schemas.openxmlformats.org/officeDocument/2006/relationships/hyperlink" Target="https://www.facebook.com/beliramdegchiwalaindia/" TargetMode="External"/><Relationship Id="rId166" Type="http://schemas.openxmlformats.org/officeDocument/2006/relationships/hyperlink" Target="https://www.facebook.com/arorafoods/" TargetMode="External"/><Relationship Id="rId161" Type="http://schemas.openxmlformats.org/officeDocument/2006/relationships/hyperlink" Target="https://www.facebook.com/100068513259397/photos/" TargetMode="External"/><Relationship Id="rId160" Type="http://schemas.openxmlformats.org/officeDocument/2006/relationships/hyperlink" Target="https://www.facebook.com/artofmasala/" TargetMode="External"/><Relationship Id="rId159" Type="http://schemas.openxmlformats.org/officeDocument/2006/relationships/hyperlink" Target="https://www.facebook.com/groups/199945990364320/posts/2722292161463011/" TargetMode="External"/><Relationship Id="rId154" Type="http://schemas.openxmlformats.org/officeDocument/2006/relationships/hyperlink" Target="https://www.facebook.com/amaatrabanquet/" TargetMode="External"/><Relationship Id="rId153" Type="http://schemas.openxmlformats.org/officeDocument/2006/relationships/hyperlink" Target="https://www.facebook.com/kandpalcaterersanddecorators/" TargetMode="External"/><Relationship Id="rId152" Type="http://schemas.openxmlformats.org/officeDocument/2006/relationships/hyperlink" Target="https://www.facebook.com/xocateringbydesign.in/" TargetMode="External"/><Relationship Id="rId151" Type="http://schemas.openxmlformats.org/officeDocument/2006/relationships/hyperlink" Target="https://www.facebook.com/shreejiicaterer/" TargetMode="External"/><Relationship Id="rId158" Type="http://schemas.openxmlformats.org/officeDocument/2006/relationships/hyperlink" Target="https://www.facebook.com/foodvillecatering/" TargetMode="External"/><Relationship Id="rId157" Type="http://schemas.openxmlformats.org/officeDocument/2006/relationships/hyperlink" Target="https://www.facebook.com/delhicatering/" TargetMode="External"/><Relationship Id="rId156" Type="http://schemas.openxmlformats.org/officeDocument/2006/relationships/hyperlink" Target="https://www.google.com/search?q=Gourmer+Services&amp;sca_esv=f2286370e303522b&amp;biw=1366&amp;bih=607&amp;sxsrf=APpeQnvyoObs5w5ZMaGKDNNmrpJoMEQ5tA%3A1785322779366&amp;ei=G91pav71Ff-14-EPyY3bKA&amp;ved=0ahUKEwi-78rQ3feVAxX_2jgGHcnGFgUQ4dUDCBA&amp;uact=5&amp;oq=Gourmer+Services&amp;gs_lp=Egxnd3Mtd2l6LXNlcnAiEEdvdXJtZXIgU2VydmljZXMyBBAjGCcyFBAuGK8BGMcBGJECGIAEGIoFGI4FMgUQABiABDIFEAAYgAQyAhAmMgsQABiABBiKBRiGAzILEAAYgAQYigUYhgMyCxAAGIAEGIoFGIYDMgsQABiABBiKBRiGAzIIEAAYgAQYogRI_xRQjA5YjA5wAXgAkAEAmAGAAqABgAKqAQMyLTG4AQPIAQD4AQH4AQKYAgKgAqMCqAIQwgIHECMY6gIYJ8ICFhAAGIAEGIoFGEMY5wYY6gIYtALYAQHCAhAQABgDGI8BGOoCGLQC2AEBmAMJ8QXmQEZPnEge4roGBggBEAEYAZIHBTEuMC4xoAfpCrIHAzItMbgHmgLCBwUzLTEuMcgHHYAIAQ&amp;sclient=gws-wiz-serp" TargetMode="External"/><Relationship Id="rId155" Type="http://schemas.openxmlformats.org/officeDocument/2006/relationships/hyperlink" Target="https://www.facebook.com/culinaryaffaire/" TargetMode="External"/><Relationship Id="rId40" Type="http://schemas.openxmlformats.org/officeDocument/2006/relationships/hyperlink" Target="https://www.instagram.com/vipkitchen65/" TargetMode="External"/><Relationship Id="rId42" Type="http://schemas.openxmlformats.org/officeDocument/2006/relationships/hyperlink" Target="https://www.instagram.com/thecateringinc/" TargetMode="External"/><Relationship Id="rId41" Type="http://schemas.openxmlformats.org/officeDocument/2006/relationships/hyperlink" Target="https://www.instagram.com/oyehalwai/" TargetMode="External"/><Relationship Id="rId44" Type="http://schemas.openxmlformats.org/officeDocument/2006/relationships/hyperlink" Target="https://www.facebook.com/SjCaterers/" TargetMode="External"/><Relationship Id="rId43" Type="http://schemas.openxmlformats.org/officeDocument/2006/relationships/hyperlink" Target="https://www.facebook.com/Goelfoodsandcaterers/" TargetMode="External"/><Relationship Id="rId46" Type="http://schemas.openxmlformats.org/officeDocument/2006/relationships/hyperlink" Target="https://www.instagram.com/foodarthospitality/?hl=en" TargetMode="External"/><Relationship Id="rId45" Type="http://schemas.openxmlformats.org/officeDocument/2006/relationships/hyperlink" Target="https://www.instagram.com/karachiicaterers/" TargetMode="External"/><Relationship Id="rId48" Type="http://schemas.openxmlformats.org/officeDocument/2006/relationships/hyperlink" Target="https://www.instagram.com/lavicatering/" TargetMode="External"/><Relationship Id="rId47" Type="http://schemas.openxmlformats.org/officeDocument/2006/relationships/hyperlink" Target="https://www.facebook.com/thepartychef20/" TargetMode="External"/><Relationship Id="rId49" Type="http://schemas.openxmlformats.org/officeDocument/2006/relationships/hyperlink" Target="https://www.instagram.com/elevencourseindia/?hl=en" TargetMode="External"/><Relationship Id="rId31" Type="http://schemas.openxmlformats.org/officeDocument/2006/relationships/hyperlink" Target="http://facebook.com/shervanikitchen/" TargetMode="External"/><Relationship Id="rId30" Type="http://schemas.openxmlformats.org/officeDocument/2006/relationships/hyperlink" Target="https://www.instagram.com/ebkluxurycatering/" TargetMode="External"/><Relationship Id="rId33" Type="http://schemas.openxmlformats.org/officeDocument/2006/relationships/hyperlink" Target="https://www.instagram.com/thebasilkitchen/" TargetMode="External"/><Relationship Id="rId32" Type="http://schemas.openxmlformats.org/officeDocument/2006/relationships/hyperlink" Target="https://www.instagram.com/irtaza_catering/?hl=en" TargetMode="External"/><Relationship Id="rId35" Type="http://schemas.openxmlformats.org/officeDocument/2006/relationships/hyperlink" Target="https://www.instagram.com/kanakbychefsanjeev/" TargetMode="External"/><Relationship Id="rId34" Type="http://schemas.openxmlformats.org/officeDocument/2006/relationships/hyperlink" Target="https://www.instagram.com/foodinc.yumyumtree/?hl=en" TargetMode="External"/><Relationship Id="rId37" Type="http://schemas.openxmlformats.org/officeDocument/2006/relationships/hyperlink" Target="https://www.instagram.com/elevencourseindia/?hl=en" TargetMode="External"/><Relationship Id="rId36" Type="http://schemas.openxmlformats.org/officeDocument/2006/relationships/hyperlink" Target="https://www.instagram.com/banarasiya.in/?hl=en" TargetMode="External"/><Relationship Id="rId39" Type="http://schemas.openxmlformats.org/officeDocument/2006/relationships/hyperlink" Target="https://www.instagram.com/juice_cult_/?hl=en" TargetMode="External"/><Relationship Id="rId38" Type="http://schemas.openxmlformats.org/officeDocument/2006/relationships/hyperlink" Target="https://www.instagram.com/cuisinesandconcepts/?hl=en" TargetMode="External"/><Relationship Id="rId20" Type="http://schemas.openxmlformats.org/officeDocument/2006/relationships/hyperlink" Target="https://www.instagram.com/enas_kitchen2205/?hl=en" TargetMode="External"/><Relationship Id="rId22" Type="http://schemas.openxmlformats.org/officeDocument/2006/relationships/hyperlink" Target="https://www.instagram.com/sprouts.catering/?hl=en" TargetMode="External"/><Relationship Id="rId21" Type="http://schemas.openxmlformats.org/officeDocument/2006/relationships/hyperlink" Target="https://www.facebook.com/TheFlavoursKitchenCatering/" TargetMode="External"/><Relationship Id="rId24" Type="http://schemas.openxmlformats.org/officeDocument/2006/relationships/hyperlink" Target="https://www.instagram.com/kardamom.katering/" TargetMode="External"/><Relationship Id="rId23" Type="http://schemas.openxmlformats.org/officeDocument/2006/relationships/hyperlink" Target="https://www.instagram.com/heeracateringincfood_service/" TargetMode="External"/><Relationship Id="rId26" Type="http://schemas.openxmlformats.org/officeDocument/2006/relationships/hyperlink" Target="https://www.instagram.com/cnakitchen/" TargetMode="External"/><Relationship Id="rId25" Type="http://schemas.openxmlformats.org/officeDocument/2006/relationships/hyperlink" Target="https://www.instagram.com/foxnut_catering/?hl=en" TargetMode="External"/><Relationship Id="rId28" Type="http://schemas.openxmlformats.org/officeDocument/2006/relationships/hyperlink" Target="https://www.instagram.com/theheritagecateringservices/" TargetMode="External"/><Relationship Id="rId27" Type="http://schemas.openxmlformats.org/officeDocument/2006/relationships/hyperlink" Target="https://www.instagram.com/cnakitchen/" TargetMode="External"/><Relationship Id="rId29" Type="http://schemas.openxmlformats.org/officeDocument/2006/relationships/hyperlink" Target="https://www.instagram.com/vibethecateringcompany/" TargetMode="External"/><Relationship Id="rId11" Type="http://schemas.openxmlformats.org/officeDocument/2006/relationships/hyperlink" Target="https://www.facebook.com/puneet.makkar.9/" TargetMode="External"/><Relationship Id="rId10" Type="http://schemas.openxmlformats.org/officeDocument/2006/relationships/hyperlink" Target="https://www.facebook.com/p/Sethi-Decorators-Caterers-100063680804462/" TargetMode="External"/><Relationship Id="rId13" Type="http://schemas.openxmlformats.org/officeDocument/2006/relationships/hyperlink" Target="https://www.facebook.com/theweddingwaale/" TargetMode="External"/><Relationship Id="rId12" Type="http://schemas.openxmlformats.org/officeDocument/2006/relationships/hyperlink" Target="https://www.instagram.com/pepperplatesjammu/" TargetMode="External"/><Relationship Id="rId15" Type="http://schemas.openxmlformats.org/officeDocument/2006/relationships/hyperlink" Target="https://www.instagram.com/wedfullyyours.in/" TargetMode="External"/><Relationship Id="rId14" Type="http://schemas.openxmlformats.org/officeDocument/2006/relationships/hyperlink" Target="https://www.instagram.com/ataracatering/" TargetMode="External"/><Relationship Id="rId17" Type="http://schemas.openxmlformats.org/officeDocument/2006/relationships/hyperlink" Target="https://www.instagram.com/momentsoflifeevents/" TargetMode="External"/><Relationship Id="rId16" Type="http://schemas.openxmlformats.org/officeDocument/2006/relationships/hyperlink" Target="https://www.facebook.com/purpleplatecatering/" TargetMode="External"/><Relationship Id="rId19" Type="http://schemas.openxmlformats.org/officeDocument/2006/relationships/hyperlink" Target="https://www.facebook.com/thekamathcaterers/" TargetMode="External"/><Relationship Id="rId18" Type="http://schemas.openxmlformats.org/officeDocument/2006/relationships/hyperlink" Target="http://www.bigbellykitchen.com/" TargetMode="External"/><Relationship Id="rId84" Type="http://schemas.openxmlformats.org/officeDocument/2006/relationships/hyperlink" Target="https://www.facebook.com/OBFoods/" TargetMode="External"/><Relationship Id="rId83" Type="http://schemas.openxmlformats.org/officeDocument/2006/relationships/hyperlink" Target="https://www.instagram.com/sidh_events_and_caterer/" TargetMode="External"/><Relationship Id="rId86" Type="http://schemas.openxmlformats.org/officeDocument/2006/relationships/hyperlink" Target="https://www.instagram.com/sevenseas_catering/?hl=en" TargetMode="External"/><Relationship Id="rId85" Type="http://schemas.openxmlformats.org/officeDocument/2006/relationships/hyperlink" Target="https://www.instagram.com/bthevents1/" TargetMode="External"/><Relationship Id="rId88" Type="http://schemas.openxmlformats.org/officeDocument/2006/relationships/hyperlink" Target="https://www.facebook.com/p/Delhi-Gourmet-Kitchen-Catering-Co-100064060328810/" TargetMode="External"/><Relationship Id="rId87" Type="http://schemas.openxmlformats.org/officeDocument/2006/relationships/hyperlink" Target="https://www.instagram.com/_masala.art/" TargetMode="External"/><Relationship Id="rId89" Type="http://schemas.openxmlformats.org/officeDocument/2006/relationships/hyperlink" Target="https://www.instagram.com/thesupperclubnewdelhi/?hl=en" TargetMode="External"/><Relationship Id="rId80" Type="http://schemas.openxmlformats.org/officeDocument/2006/relationships/hyperlink" Target="https://www.instagram.com/rrcaterersevents/" TargetMode="External"/><Relationship Id="rId82" Type="http://schemas.openxmlformats.org/officeDocument/2006/relationships/hyperlink" Target="https://www.instagram.com/layeredatelier/?hl=en" TargetMode="External"/><Relationship Id="rId81" Type="http://schemas.openxmlformats.org/officeDocument/2006/relationships/hyperlink" Target="https://www.instagram.com/layeredatelier/?hl=en" TargetMode="External"/><Relationship Id="rId73" Type="http://schemas.openxmlformats.org/officeDocument/2006/relationships/hyperlink" Target="https://www.instagram.com/cafechaispot/?hl=en" TargetMode="External"/><Relationship Id="rId72" Type="http://schemas.openxmlformats.org/officeDocument/2006/relationships/hyperlink" Target="https://www.facebook.com/p/S-square-hospitality-100063605029597/" TargetMode="External"/><Relationship Id="rId75" Type="http://schemas.openxmlformats.org/officeDocument/2006/relationships/hyperlink" Target="https://www.instagram.com/misrikla/" TargetMode="External"/><Relationship Id="rId74" Type="http://schemas.openxmlformats.org/officeDocument/2006/relationships/hyperlink" Target="https://srcem.co.in/" TargetMode="External"/><Relationship Id="rId77" Type="http://schemas.openxmlformats.org/officeDocument/2006/relationships/hyperlink" Target="https://www.instagram.com/feastlyfoodservice/" TargetMode="External"/><Relationship Id="rId76" Type="http://schemas.openxmlformats.org/officeDocument/2006/relationships/hyperlink" Target="https://www.facebook.com/sartajcateringservices/" TargetMode="External"/><Relationship Id="rId79" Type="http://schemas.openxmlformats.org/officeDocument/2006/relationships/hyperlink" Target="https://www.facebook.com/quisinecaterers/" TargetMode="External"/><Relationship Id="rId78" Type="http://schemas.openxmlformats.org/officeDocument/2006/relationships/hyperlink" Target="https://www.facebook.com/theindiancateringcompany/" TargetMode="External"/><Relationship Id="rId71" Type="http://schemas.openxmlformats.org/officeDocument/2006/relationships/hyperlink" Target="https://www.facebook.com/Mrcookorganic/" TargetMode="External"/><Relationship Id="rId70" Type="http://schemas.openxmlformats.org/officeDocument/2006/relationships/hyperlink" Target="https://mehar.co.in/" TargetMode="External"/><Relationship Id="rId62" Type="http://schemas.openxmlformats.org/officeDocument/2006/relationships/hyperlink" Target="https://www.instagram.com/spiceroute699/" TargetMode="External"/><Relationship Id="rId61" Type="http://schemas.openxmlformats.org/officeDocument/2006/relationships/hyperlink" Target="https://www.facebook.com/thetabhouse/" TargetMode="External"/><Relationship Id="rId64" Type="http://schemas.openxmlformats.org/officeDocument/2006/relationships/hyperlink" Target="https://www.instagram.com/foodminardelhi/?hl=en" TargetMode="External"/><Relationship Id="rId63" Type="http://schemas.openxmlformats.org/officeDocument/2006/relationships/hyperlink" Target="https://www.instagram.com/bansooriwalas/?hl=en" TargetMode="External"/><Relationship Id="rId66" Type="http://schemas.openxmlformats.org/officeDocument/2006/relationships/hyperlink" Target="https://www.facebook.com/TCuisineFactory/" TargetMode="External"/><Relationship Id="rId65" Type="http://schemas.openxmlformats.org/officeDocument/2006/relationships/hyperlink" Target="https://www.instagram.com/fossettagourmetcatering/?hl=en" TargetMode="External"/><Relationship Id="rId68" Type="http://schemas.openxmlformats.org/officeDocument/2006/relationships/hyperlink" Target="https://www.facebook.com/MurenaCaterersonline/" TargetMode="External"/><Relationship Id="rId67" Type="http://schemas.openxmlformats.org/officeDocument/2006/relationships/hyperlink" Target="https://www.instagram.com/gourmetauraind/?hl=en" TargetMode="External"/><Relationship Id="rId60" Type="http://schemas.openxmlformats.org/officeDocument/2006/relationships/hyperlink" Target="https://www.facebook.com/RadianceVersatileCreation/" TargetMode="External"/><Relationship Id="rId69" Type="http://schemas.openxmlformats.org/officeDocument/2006/relationships/hyperlink" Target="https://www.instagram.com/cateringvala.in/" TargetMode="External"/><Relationship Id="rId51" Type="http://schemas.openxmlformats.org/officeDocument/2006/relationships/hyperlink" Target="https://www.instagram.com/kitchenkraftluxurycatering/?hl=en" TargetMode="External"/><Relationship Id="rId50" Type="http://schemas.openxmlformats.org/officeDocument/2006/relationships/hyperlink" Target="https://www.instagram.com/daawat_caterers_/" TargetMode="External"/><Relationship Id="rId53" Type="http://schemas.openxmlformats.org/officeDocument/2006/relationships/hyperlink" Target="https://www.facebook.com/VisheshCaterers/" TargetMode="External"/><Relationship Id="rId52" Type="http://schemas.openxmlformats.org/officeDocument/2006/relationships/hyperlink" Target="https://www.instagram.com/curated.catering/?hl=en" TargetMode="External"/><Relationship Id="rId55" Type="http://schemas.openxmlformats.org/officeDocument/2006/relationships/hyperlink" Target="https://www.instagram.com/udfscatering/" TargetMode="External"/><Relationship Id="rId54" Type="http://schemas.openxmlformats.org/officeDocument/2006/relationships/hyperlink" Target="https://www.instagram.com/nmfoodsbytanya/?hl=en" TargetMode="External"/><Relationship Id="rId57" Type="http://schemas.openxmlformats.org/officeDocument/2006/relationships/hyperlink" Target="https://www.instagram.com/kalashkuisine/?hl=en" TargetMode="External"/><Relationship Id="rId56" Type="http://schemas.openxmlformats.org/officeDocument/2006/relationships/hyperlink" Target="https://www.instagram.com/sangam_caterers_/?hl=en" TargetMode="External"/><Relationship Id="rId59" Type="http://schemas.openxmlformats.org/officeDocument/2006/relationships/hyperlink" Target="https://www.google.com/search?q=FoodCape+by+Arora+Foods+Catering&amp;rlz=1C1VDKB_enIN1074IN1074&amp;biw=767&amp;bih=695&amp;sca_esv=77821bc6db13ead3&amp;sxsrf=APpeQnsiQ3SRPcfbgm8SWnp8WNqYoKIO9g%3A1785310984406&amp;ei=CK9parWrGPCrhvcP1OnYkAg&amp;ved=0ahUKEwi1z6fYsfeVAxXwleEIHdQ0FoIQ4dUDCBA&amp;uact=5&amp;oq=FoodCape+by+Arora+Foods+Catering&amp;gs_lp=Egxnd3Mtd2l6LXNlcnAiIEZvb2RDYXBlIGJ5IEFyb3JhIEZvb2RzIENhdGVyaW5nMgUQABjvBTIFEAAY7wUyBRAAGO8FMgUQABjvBTIFEAAY7wVIigpQAFiQBHABeACQAQCYAdcCoAHXAqoBAzMtMbgBA8gBAPgBAfgBApgCAqAC5QKoAgrCAgcQIxjqAhgnmAMJ8QXH1rgHrDqKt5IHBTEuMy0xoAf3A7IHAzMtMbgH3ALCBwMyLTLIBwuACAE&amp;sclient=gws-wiz-serp" TargetMode="External"/><Relationship Id="rId58" Type="http://schemas.openxmlformats.org/officeDocument/2006/relationships/hyperlink" Target="https://www.facebook.com/arorafoods/" TargetMode="External"/><Relationship Id="rId107" Type="http://schemas.openxmlformats.org/officeDocument/2006/relationships/hyperlink" Target="https://www.facebook.com/naturesdeligthcafe/" TargetMode="External"/><Relationship Id="rId228" Type="http://schemas.openxmlformats.org/officeDocument/2006/relationships/hyperlink" Target="https://www.instagram.com/fruit_fiesta_vadodara/" TargetMode="External"/><Relationship Id="rId106" Type="http://schemas.openxmlformats.org/officeDocument/2006/relationships/hyperlink" Target="https://www.facebook.com/chefomshospitality/" TargetMode="External"/><Relationship Id="rId227" Type="http://schemas.openxmlformats.org/officeDocument/2006/relationships/hyperlink" Target="https://www.facebook.com/p/Kari-catering-100066627175995/" TargetMode="External"/><Relationship Id="rId105" Type="http://schemas.openxmlformats.org/officeDocument/2006/relationships/hyperlink" Target="https://www.instagram.com/evergreencaterers/" TargetMode="External"/><Relationship Id="rId226" Type="http://schemas.openxmlformats.org/officeDocument/2006/relationships/hyperlink" Target="https://www.facebook.com/p/Neelkanth-Caterers-100063819558476/" TargetMode="External"/><Relationship Id="rId104" Type="http://schemas.openxmlformats.org/officeDocument/2006/relationships/hyperlink" Target="https://www.google.com/search?q=Cherish+Hospitality&amp;sca_esv=f2286370e303522b&amp;sxsrf=APpeQnuE8YIPIF3AZQ7CC9bYd8uxvozsqQ%3A1785319793794&amp;ei=cdFpaoD8L8664-EPnrSo4AM&amp;ved=0ahUKEwjA-PnA0veVAxVO3TgGHR4aCjwQ4dUDCBA&amp;uact=5&amp;oq=Cherish+Hospitality&amp;gs_lp=Egxnd3Mtd2l6LXNlcnAiE0NoZXJpc2ggSG9zcGl0YWxpdHkyBxAjGOoCGCcyBxAjGOoCGCcyBxAjGOoCGCcyBxAjGOoCGCcyBxAjGOoCGCcyBxAjGOoCGCcyBxAjGOoCGCcyBxAjGOoCGCcyBxAjGOoCGCcyBxAjGOoCGCcyFxAAGIAEGIoFGJECGOcGGOoCGLQC2AEBMhcQABiABBiKBRiRAhjnBhjqAhi0AtgBATIXEAAYgAQYigUYkQIY5wYY6gIYtALYAQEyGhAuGIAEGIoFGJECGOcGGMgDGOoCGLQC2AEBMhoQLhiABBiKBRiRAhjnBhjIAxjqAhi0AtgBATIaEC4YgAQYigUYkQIY5wYYyAMY6gIYtALYAQFI8RVQoQ9YoQ9wAXgAkAEAmAEAoAEAqgEAuAEDyAEA-AEB-AECmAIBoAIKqAIQmAMK8QUpFadLD4XyoboGBggBEAEYAZIHATGgBwCyBwC4BwDCBwMzLTHIBwmACAE&amp;sclient=gws-wiz-serp" TargetMode="External"/><Relationship Id="rId225" Type="http://schemas.openxmlformats.org/officeDocument/2006/relationships/hyperlink" Target="https://www.google.com/search?q=The+Clove+Catering&amp;sca_esv=f2286370e303522b&amp;biw=1366&amp;bih=607&amp;sxsrf=APpeQntVVBYTwO0yCXakryKvapGixNNItg%3A1785326304071&amp;ei=4OppatbeA8WahvcPv8WM6A4&amp;ved=0ahUKEwjWzqXh6veVAxVFjeEIHb8iA-0Q4dUDCBA&amp;uact=5&amp;oq=The+Clove+Catering&amp;gs_lp=Egxnd3Mtd2l6LXNlcnAiElRoZSBDbG92ZSBDYXRlcmluZzIEECMYJzIGEAAYFhgeMgYQABgWGB4yBhAAGBYYHjIGEAAYFhgeMgYQABgWGB4yBhAAGBYYHjIGEAAYFhgeMgIQJjILEAAYgAQYigUYhgNIwQxQ3QhY3QhwAXgAkAEAmAHlAaAB5QGqAQMyLTG4AQPIAQD4AQH4AQKYAgKgAocCqAIUwgIHECMY6gIYJ8ICEBAAGAMYjwEY6gIYtALYAQGYAwnxBf9E5ZY74DmuugYGCAEQARgKkgcFMS4wLjGgB60IsgcDMi0xuAf9AcIHBTMtMS4xyAcdgAgB&amp;sclient=gws-wiz-serp" TargetMode="External"/><Relationship Id="rId109" Type="http://schemas.openxmlformats.org/officeDocument/2006/relationships/hyperlink" Target="https://www.facebook.com/forksnspoon/" TargetMode="External"/><Relationship Id="rId108" Type="http://schemas.openxmlformats.org/officeDocument/2006/relationships/hyperlink" Target="https://www.facebook.com/spiceroutehospitality/" TargetMode="External"/><Relationship Id="rId229" Type="http://schemas.openxmlformats.org/officeDocument/2006/relationships/hyperlink" Target="https://www.instagram.com/krishnarasoi_bly/" TargetMode="External"/><Relationship Id="rId220" Type="http://schemas.openxmlformats.org/officeDocument/2006/relationships/hyperlink" Target="https://www.facebook.com/AdarshCaterer/" TargetMode="External"/><Relationship Id="rId103" Type="http://schemas.openxmlformats.org/officeDocument/2006/relationships/hyperlink" Target="https://www.instagram.com/cherishexclusive/?hl=en" TargetMode="External"/><Relationship Id="rId224" Type="http://schemas.openxmlformats.org/officeDocument/2006/relationships/hyperlink" Target="https://www.instagram.com/theclovecatering_official/" TargetMode="External"/><Relationship Id="rId102" Type="http://schemas.openxmlformats.org/officeDocument/2006/relationships/hyperlink" Target="https://www.instagram.com/official_ankul_thakur1/reels/" TargetMode="External"/><Relationship Id="rId223" Type="http://schemas.openxmlformats.org/officeDocument/2006/relationships/hyperlink" Target="https://www.facebook.com/p/Silverfork-100064160014738/" TargetMode="External"/><Relationship Id="rId101" Type="http://schemas.openxmlformats.org/officeDocument/2006/relationships/hyperlink" Target="https://www.instagram.com/spontaneouscaterers/" TargetMode="External"/><Relationship Id="rId222" Type="http://schemas.openxmlformats.org/officeDocument/2006/relationships/hyperlink" Target="https://www.instagram.com/celebrations_caterers/" TargetMode="External"/><Relationship Id="rId100" Type="http://schemas.openxmlformats.org/officeDocument/2006/relationships/hyperlink" Target="https://www.facebook.com/p/Maharaja-catering-services-100064116039479/" TargetMode="External"/><Relationship Id="rId221" Type="http://schemas.openxmlformats.org/officeDocument/2006/relationships/hyperlink" Target="https://www.facebook.com/people/Himalaya-Caterers/100068848069653/" TargetMode="External"/><Relationship Id="rId217" Type="http://schemas.openxmlformats.org/officeDocument/2006/relationships/hyperlink" Target="https://www.facebook.com/MughalnamaCatering/" TargetMode="External"/><Relationship Id="rId216" Type="http://schemas.openxmlformats.org/officeDocument/2006/relationships/hyperlink" Target="https://www.facebook.com/Catererseliite/" TargetMode="External"/><Relationship Id="rId215" Type="http://schemas.openxmlformats.org/officeDocument/2006/relationships/hyperlink" Target="https://www.facebook.com/SSCaterersJammu/" TargetMode="External"/><Relationship Id="rId214" Type="http://schemas.openxmlformats.org/officeDocument/2006/relationships/hyperlink" Target="https://www.google.com/search?q=Tasty+Paan+Weddings&amp;sca_esv=f2286370e303522b&amp;biw=1366&amp;bih=607&amp;sxsrf=APpeQnsdBqCMkG0ZYBuKENWEYVkwoSaj0Q%3A1785325699954&amp;ei=g-hpaoTvOdSihvcP0v_96Ag&amp;ved=0ahUKEwjEvJ3B6PeVAxVUkeEIHdJ_H40Q4dUDCBA&amp;uact=5&amp;oq=Tasty+Paan+Weddings&amp;gs_lp=Egxnd3Mtd2l6LXNlcnAiE1Rhc3R5IFBhYW4gV2VkZGluZ3MyBBAjGCcyBBAjGCcyBRAAGO8FMggQABiABBiiBDIFEAAY7wUyBRAAGO8FSO8aUPsUWPsUcAF4AJABAJgBngGgAZ4BqgEDMC4xuAEDyAEA-AEB-AECmAICoAKrAagCFMICBxAjGOoCGCfCAhAQABgDGI8BGOoCGLQC2AEBmAMI8QX0GtOez67AUboGBggBEAEYCpIHAzEuMaAHxgSyBwMwLjG4B6IBwgcDMi0yyAcLgAgB&amp;sclient=gws-wiz-serp" TargetMode="External"/><Relationship Id="rId219" Type="http://schemas.openxmlformats.org/officeDocument/2006/relationships/hyperlink" Target="https://hi-in.facebook.com/sambandhplanner" TargetMode="External"/><Relationship Id="rId218" Type="http://schemas.openxmlformats.org/officeDocument/2006/relationships/hyperlink" Target="https://www.facebook.com/avcaterer/" TargetMode="External"/><Relationship Id="rId213" Type="http://schemas.openxmlformats.org/officeDocument/2006/relationships/hyperlink" Target="https://www.instagram.com/thepaancompanyofficial/?hl=en" TargetMode="External"/><Relationship Id="rId212" Type="http://schemas.openxmlformats.org/officeDocument/2006/relationships/hyperlink" Target="https://www.facebook.com/PadmavathiRavi76/" TargetMode="External"/><Relationship Id="rId211" Type="http://schemas.openxmlformats.org/officeDocument/2006/relationships/hyperlink" Target="https://www.facebook.com/themintleaf/" TargetMode="External"/><Relationship Id="rId210" Type="http://schemas.openxmlformats.org/officeDocument/2006/relationships/hyperlink" Target="https://www.facebook.com/p/The-Turban-Kitchen-100064041611962/" TargetMode="External"/><Relationship Id="rId129" Type="http://schemas.openxmlformats.org/officeDocument/2006/relationships/hyperlink" Target="https://www.facebook.com/kwalitycateringofficial/" TargetMode="External"/><Relationship Id="rId128" Type="http://schemas.openxmlformats.org/officeDocument/2006/relationships/hyperlink" Target="https://www.facebook.com/aromaticcatering/" TargetMode="External"/><Relationship Id="rId127" Type="http://schemas.openxmlformats.org/officeDocument/2006/relationships/hyperlink" Target="https://www.facebook.com/streetfoodfactorycatering/" TargetMode="External"/><Relationship Id="rId126" Type="http://schemas.openxmlformats.org/officeDocument/2006/relationships/hyperlink" Target="https://www.facebook.com/aonecaterersandhospitality/" TargetMode="External"/><Relationship Id="rId121" Type="http://schemas.openxmlformats.org/officeDocument/2006/relationships/hyperlink" Target="https://www.instagram.com/natraj.caterers/" TargetMode="External"/><Relationship Id="rId120" Type="http://schemas.openxmlformats.org/officeDocument/2006/relationships/hyperlink" Target="https://www.facebook.com/p/Kasturi-Catering-and-services-100069881185018/" TargetMode="External"/><Relationship Id="rId125" Type="http://schemas.openxmlformats.org/officeDocument/2006/relationships/hyperlink" Target="https://www.facebook.com/CatererDelhiNCR/" TargetMode="External"/><Relationship Id="rId124" Type="http://schemas.openxmlformats.org/officeDocument/2006/relationships/hyperlink" Target="https://www.instagram.com/creativecuisinesinc/?hl=en" TargetMode="External"/><Relationship Id="rId123" Type="http://schemas.openxmlformats.org/officeDocument/2006/relationships/hyperlink" Target="https://www.instagram.com/thecleanplatebyshaurya/" TargetMode="External"/><Relationship Id="rId122" Type="http://schemas.openxmlformats.org/officeDocument/2006/relationships/hyperlink" Target="https://www.instagram.com/punjab.caterers/?hl=en" TargetMode="External"/><Relationship Id="rId95" Type="http://schemas.openxmlformats.org/officeDocument/2006/relationships/hyperlink" Target="https://www.instagram.com/get_set_eat/" TargetMode="External"/><Relationship Id="rId94" Type="http://schemas.openxmlformats.org/officeDocument/2006/relationships/hyperlink" Target="https://www.instagram.com/caarafood/?hl=en" TargetMode="External"/><Relationship Id="rId97" Type="http://schemas.openxmlformats.org/officeDocument/2006/relationships/hyperlink" Target="https://www.instagram.com/global_gourmet_company/?hl=en" TargetMode="External"/><Relationship Id="rId96" Type="http://schemas.openxmlformats.org/officeDocument/2006/relationships/hyperlink" Target="https://www.google.com/search?q=Get+Set+Eat&amp;sca_esv=f2286370e303522b&amp;sxsrf=APpeQntJOLgFzEqIL8LnMMdvsV7jtVn8cw%3A1785319410602&amp;ei=8s9pavSOJLWH4-EPx6Dk2Qc&amp;ved=0ahUKEwj0z52K0feVAxW1wzgGHUcQOXsQ4dUDCBA&amp;uact=5&amp;oq=Get+Set+Eat&amp;gs_lp=Egxnd3Mtd2l6LXNlcnAiC0dldCBTZXQgRWF0Mg4QLhiABBjHARivARiOBTIFEAAYgAQyBRAAGIAEMgYQABgWGB4yBhAAGBYYHjIGEAAYFhgeMgYQABgWGB4yBhAAGBYYHjICECYyHRAuGIAEGMcBGK8BGI4FGJcFGNwEGN4EGOAE2AEBSPoUUOQNWOQNcAF4AJABAJgBuAGgAbgBqgEDMC4xuAEDyAEA-AEB-AECmAICoALcAagCEcICBxAjGOoCGCfCAgcQLhjqAhgnwgIWEAAYgAQYigUYQxjnBhjqAhi0AtgBAcICHxAuGIAEGIoFGEMY5wYYxwEYrwEYyAMY6gIYtALYAQHCAhkQLhiABBiKBRhDGOcGGMgDGOoCGLQC2AEBmAMJ8QUzqhZRrOWk7LoGBggBEAEYAZIHBTEuMC4xoAfJCLIHAzItMbgH0wHCBwUzLTEuMcgHH4AIAQ&amp;sclient=gws-wiz-serp" TargetMode="External"/><Relationship Id="rId99" Type="http://schemas.openxmlformats.org/officeDocument/2006/relationships/hyperlink" Target="https://www.google.com/search?q=Fusion+Street&amp;sca_esv=f2286370e303522b&amp;sxsrf=APpeQnsq7Mg0GWDvtcmo90hPVsDm-bKraQ%3A1785319522732&amp;ei=YtBpao2dLIv1juMP8aLVgQg&amp;ved=0ahUKEwiN1tm_0feVAxWLumMGHXFRNYAQ4dUDCBA&amp;uact=5&amp;oq=Fusion+Street&amp;gs_lp=Egxnd3Mtd2l6LXNlcnAiDUZ1c2lvbiBTdHJlZXQyDhAuGIAEGMcBGK8BGI4FMgUQABiABDIFEAAYgAQyBRAAGIAEMgUQABiABDIFEAAYgAQyBRAAGIAEMgUQABiABDIFEAAYgAQyBRAAGIAEMh0QLhiABBjHARivARiOBRiXBRjcBBjeBBjgBNgBAUjYE1DwC1jwC3ABeACQAQCYAbcBoAG3AaoBAzAuMbgBA8gBAPgBAfgBApgCAqAC2AGoAhHCAgcQIxjqAhgnwgIHEC4Y6gIYJ8ICFhAAGIAEGIoFGEMY5wYY6gIYtALYAQHCAhwQLhiABBiKBRhDGOcGGMcBGK8BGOoCGLQC2AEBmAMG8QXvj8n_JEWgUboGBggBEAEYAZIHBTEuMC4xoAekCbIHAzItMbgH0QHCBwcyLTEuMC4xyAccgAgB&amp;sclient=gws-wiz-serp" TargetMode="External"/><Relationship Id="rId98" Type="http://schemas.openxmlformats.org/officeDocument/2006/relationships/hyperlink" Target="https://www.instagram.com/the_fusion_street/" TargetMode="External"/><Relationship Id="rId91" Type="http://schemas.openxmlformats.org/officeDocument/2006/relationships/hyperlink" Target="https://www.instagram.com/harisonscaterer/?hl=en" TargetMode="External"/><Relationship Id="rId90" Type="http://schemas.openxmlformats.org/officeDocument/2006/relationships/hyperlink" Target="https://www.facebook.com/rkeventplanner/" TargetMode="External"/><Relationship Id="rId93" Type="http://schemas.openxmlformats.org/officeDocument/2006/relationships/hyperlink" Target="https://www.facebook.com/chawladecors/" TargetMode="External"/><Relationship Id="rId92" Type="http://schemas.openxmlformats.org/officeDocument/2006/relationships/hyperlink" Target="https://www.instagram.com/homacaterers/?hl=en" TargetMode="External"/><Relationship Id="rId118" Type="http://schemas.openxmlformats.org/officeDocument/2006/relationships/hyperlink" Target="https://www.instagram.com/marriage_and__food/" TargetMode="External"/><Relationship Id="rId117" Type="http://schemas.openxmlformats.org/officeDocument/2006/relationships/hyperlink" Target="https://www.facebook.com/Theheavenscaterers/" TargetMode="External"/><Relationship Id="rId116" Type="http://schemas.openxmlformats.org/officeDocument/2006/relationships/hyperlink" Target="https://www.google.com/search?q=The+Silver+Kitchen&amp;sca_esv=f2286370e303522b&amp;biw=1366&amp;bih=607&amp;sxsrf=APpeQntlxLdvXlxUIxjHEU6Z55v-0n6iwA%3A1785320445127&amp;ei=_dNpatqxB72bhvcP8IOh-A8&amp;ved=0ahUKEwiapMT31PeVAxW9jeEIHfBBCP8Q4dUDCBA&amp;uact=5&amp;oq=The+Silver+Kitchen&amp;gs_lp=Egxnd3Mtd2l6LXNlcnAiElRoZSBTaWx2ZXIgS2l0Y2hlbjIFEAAYgAQyBRAAGIAEMgYQABgWGB4yBhAAGBYYHjIGEAAYFhgeMgYQABgWGB4yBhAAGBYYHjIGEAAYFhgeMgYQABgWGB4yBhAAGBYYHki5FFCQDViQDXABeACQAQCYAaEBoAGhAaoBAzAuMbgBA8gBAPgBAfgBApgCAqACwAGoAhTCAgcQIxjqAhgnwgIQEAAYAxiPARjqAhi0AtgBAZgDCPEFLd1RIl7cP266BgYIARABGAqSBwMxLjGgB8wFsgcDMC4xuAe3AcIHBTItMS4xyAcagAgB&amp;sclient=gws-wiz-serp" TargetMode="External"/><Relationship Id="rId115" Type="http://schemas.openxmlformats.org/officeDocument/2006/relationships/hyperlink" Target="https://www.instagram.com/thesilverkitchen/" TargetMode="External"/><Relationship Id="rId236" Type="http://schemas.openxmlformats.org/officeDocument/2006/relationships/drawing" Target="../drawings/drawing5.xml"/><Relationship Id="rId119" Type="http://schemas.openxmlformats.org/officeDocument/2006/relationships/hyperlink" Target="https://www.shaadidukaan.com/profile/dry-curry-foodworks" TargetMode="External"/><Relationship Id="rId110" Type="http://schemas.openxmlformats.org/officeDocument/2006/relationships/hyperlink" Target="https://www.facebook.com/MithasExclusiveCateringService/" TargetMode="External"/><Relationship Id="rId231" Type="http://schemas.openxmlformats.org/officeDocument/2006/relationships/hyperlink" Target="https://kashyapcatering.com/" TargetMode="External"/><Relationship Id="rId230" Type="http://schemas.openxmlformats.org/officeDocument/2006/relationships/hyperlink" Target="https://www.facebook.com/vinaycaterers/" TargetMode="External"/><Relationship Id="rId114" Type="http://schemas.openxmlformats.org/officeDocument/2006/relationships/hyperlink" Target="https://www.instagram.com/kiahospitality/" TargetMode="External"/><Relationship Id="rId235" Type="http://schemas.openxmlformats.org/officeDocument/2006/relationships/hyperlink" Target="https://www.workfile.io/shree-shyam-caterers" TargetMode="External"/><Relationship Id="rId113" Type="http://schemas.openxmlformats.org/officeDocument/2006/relationships/hyperlink" Target="https://www.instagram.com/nathusweetsind/?hl=en" TargetMode="External"/><Relationship Id="rId234" Type="http://schemas.openxmlformats.org/officeDocument/2006/relationships/hyperlink" Target="https://www.facebook.com/theroyalcateringservices/" TargetMode="External"/><Relationship Id="rId112" Type="http://schemas.openxmlformats.org/officeDocument/2006/relationships/hyperlink" Target="https://www.instagram.com/tari.india/?hl=en" TargetMode="External"/><Relationship Id="rId233" Type="http://schemas.openxmlformats.org/officeDocument/2006/relationships/hyperlink" Target="https://www.instagram.com/thechaataffair/?hl=en" TargetMode="External"/><Relationship Id="rId111" Type="http://schemas.openxmlformats.org/officeDocument/2006/relationships/hyperlink" Target="https://www.google.com/search?q=Mithas+Exclusive+Catering+Services&amp;sca_esv=f2286370e303522b&amp;biw=1366&amp;bih=607&amp;sxsrf=APpeQnssKYq19kadLopYNnrfZngt1KDLmA%3A1785320125478&amp;ei=vdJpapzmHKWYhvcPrLromAg&amp;ved=0ahUKEwjcuI7f0_eVAxUljOEIHSwdGoMQ4dUDCBA&amp;uact=5&amp;oq=Mithas+Exclusive+Catering+Services&amp;gs_lp=Egxnd3Mtd2l6LXNlcnAiIk1pdGhhcyBFeGNsdXNpdmUgQ2F0ZXJpbmcgU2VydmljZXMyBhAAGBYYHjICECYyBRAAGO8FMggQABiJBRiiBDIFEAAY7wVIgBpQgBNYgBNwAXgAkAEAmAGYAqABmAKqAQMyLTG4AQPIAQD4AQH4AQKYAgKgArcCqAIUwgIHECMY6gIYJ8ICEBAAGAMYjwEY6gIYtALYAQHCAhAQLhgDGI8BGOoCGLQC2AEBmAML8QUFYTQ6x6yHTboGBggBEAEYCpIHBTEuMy0xoAfrArIHAzMtMbgHrALCBwMzLTLIBxiACAE&amp;sclient=gws-wiz-serp" TargetMode="External"/><Relationship Id="rId232" Type="http://schemas.openxmlformats.org/officeDocument/2006/relationships/hyperlink" Target="https://www.facebook.com/thepnscatering/" TargetMode="External"/><Relationship Id="rId206" Type="http://schemas.openxmlformats.org/officeDocument/2006/relationships/hyperlink" Target="https://www.facebook.com/RadheCatering/" TargetMode="External"/><Relationship Id="rId205" Type="http://schemas.openxmlformats.org/officeDocument/2006/relationships/hyperlink" Target="https://www.google.com/search?q=Clove+Catering+%26+Events&amp;sca_esv=f2286370e303522b&amp;biw=1366&amp;bih=607&amp;sxsrf=APpeQntuiPvx1xbIOTRZu6bkg-teose8TQ%3A1785325357885&amp;ei=LedpapnONe6khvcP3r7jiQ4&amp;ved=0ahUKEwjZmI-e5_eVAxVukuEIHV7fOOEQ4dUDCBA&amp;uact=5&amp;oq=Clove+Catering+%26+Events&amp;gs_lp=Egxnd3Mtd2l6LXNlcnAiF0Nsb3ZlIENhdGVyaW5nICYgRXZlbnRzMgQQIxgnMggQABiABBiiBDIIEAAYgAQYogQyBRAAGO8FSIcQUJEKWJEKcAF4AJABAJgBywGgAcsBqgEDMi0xuAEDyAEA-AEB-AECmAICoALmAagCEMICBxAjGOoCGCfCAhcQABiABBiKBRiRAhjnBhjqAhi0AtgBAcICIBAuGIAEGIoFGJECGOcGGMcBGK8BGMgDGOoCGLQC2AEBmAML8QU1Kj-AimcNZ7oGBggBEAEYAZIHBTEuMC4xoAe2A7IHAzItMbgH2wHCBwMzLTLIBxaACAE&amp;sclient=gws-wiz-serp" TargetMode="External"/><Relationship Id="rId204" Type="http://schemas.openxmlformats.org/officeDocument/2006/relationships/hyperlink" Target="https://www.instagram.com/theclovecatering_official/" TargetMode="External"/><Relationship Id="rId203" Type="http://schemas.openxmlformats.org/officeDocument/2006/relationships/hyperlink" Target="https://www.google.com/search?q=The+Badnaam+Adda&amp;sca_esv=f2286370e303522b&amp;biw=1366&amp;bih=607&amp;sxsrf=APpeQnv4HGSS-oY_7OLsF8gUr9tHOWU0IQ%3A1785325316245&amp;ei=BOdpaunFDrydhvcPuP_A-Ak&amp;ved=0ahUKEwjp16GK5_eVAxW8juEIHbg_EJ8Q4dUDCBA&amp;uact=5&amp;oq=The+Badnaam+Adda&amp;gs_lp=Egxnd3Mtd2l6LXNlcnAiEFRoZSBCYWRuYWFtIEFkZGEyBBAjGCcyBBAjGCcyDhAuGK8BGMcBGIAEGI4FMgUQABiABDIGEAAYFhgeMgYQABgWGB4yAhAmMggQABiJBRiiBDIFEAAY7wUyCBAAGIAEGKIESKIPUKkJWKkJcAF4AJABAJgB2gGgAdoBqgEDMi0xuAEDyAEA-AEB-AECmAICoAL_AagCEMICBxAjGOoCGCfCAhcQABiABBiKBRiRAhjnBhjqAhi0AtgBAZgDCfEF3B0l8jWrxea6BgYIARABGAGSBwUxLjAuMaAHtAyyBwMyLTG4B_UBwgcFMy0xLjHIByCACAE&amp;sclient=gws-wiz-serp" TargetMode="External"/><Relationship Id="rId209" Type="http://schemas.openxmlformats.org/officeDocument/2006/relationships/hyperlink" Target="https://www.facebook.com/ShriSaiCaterersDecorators/" TargetMode="External"/><Relationship Id="rId208" Type="http://schemas.openxmlformats.org/officeDocument/2006/relationships/hyperlink" Target="https://www.facebook.com/caterersinbareilly/" TargetMode="External"/><Relationship Id="rId207" Type="http://schemas.openxmlformats.org/officeDocument/2006/relationships/hyperlink" Target="https://www.facebook.com/dgrhospitalityservices/" TargetMode="External"/><Relationship Id="rId202" Type="http://schemas.openxmlformats.org/officeDocument/2006/relationships/hyperlink" Target="https://www.instagram.com/thebadnaamadda/?hl=en" TargetMode="External"/><Relationship Id="rId201" Type="http://schemas.openxmlformats.org/officeDocument/2006/relationships/hyperlink" Target="https://www.facebook.com/anandchaatchopal/" TargetMode="External"/><Relationship Id="rId200" Type="http://schemas.openxmlformats.org/officeDocument/2006/relationships/hyperlink" Target="https://www.google.com/search?q=Cuisines+and+Concepts&amp;sca_esv=f2286370e303522b&amp;biw=1366&amp;bih=607&amp;sxsrf=APpeQnsNNTWXXfqA2N3i1ABNCW3N2cv-eA%3A1785325196793&amp;ei=jOZpapOCMN2YhvcPgofcwAw&amp;ved=0ahUKEwiT-KbR5veVAxVdjOEIHYIDF8gQ4dUDCBA&amp;uact=5&amp;oq=Cuisines+and+Concepts&amp;gs_lp=Egxnd3Mtd2l6LXNlcnAiFUN1aXNpbmVzIGFuZCBDb25jZXB0czIEECMYJzIOEC4YgAQYxwEYrwEYjgUyBhAAGBYYHjIGEAAYFhgeMgYQABgWGB4yAhAmMgsQABiABBiKBRiGAzILEAAYgAQYigUYhgMyCxAAGIAEGIoFGIYDMgsQABiABBiKBRiGAzIdEC4YgAQYxwEYrwEYjgUYlwUY3AQY3gQY4ATYAQFI7xpQhhRYhhRwAXgBkAEAmAHZAaAB2QGqAQMyLTG4AQPIAQD4AQH4AQKYAgKgAv8BqAIUwgIHECMY6gIYJ8ICFhAAGIAEGIoFGEMY5wYY6gIYtALYAQGYAwnxBXf0a860uFUKugYGCAEQARgBkgcFMS4wLjGgB7UMsgcDMi0xuAf1AcIHBTMtMS4xyAcggAgB&amp;sclient=gws-wiz-ser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4.43" defaultRowHeight="15.0"/>
  <cols>
    <col customWidth="1" min="1" max="1" width="8.71"/>
    <col customWidth="1" min="2" max="2" width="24.14"/>
    <col customWidth="1" min="3" max="3" width="8.71"/>
    <col customWidth="1" min="4" max="4" width="17.86"/>
    <col customWidth="1" min="5" max="5" width="8.71"/>
    <col customWidth="1" min="6" max="6" width="10.29"/>
    <col customWidth="1" min="7" max="7" width="18.0"/>
    <col customWidth="1" min="8" max="8" width="25.43"/>
    <col customWidth="1" min="9" max="12" width="8.71"/>
    <col customWidth="1" min="13" max="13" width="14.0"/>
    <col customWidth="1" min="14" max="14" width="14.14"/>
    <col customWidth="1" min="15" max="15" width="12.43"/>
    <col customWidth="1" min="16" max="16" width="16.57"/>
    <col customWidth="1" min="17" max="19" width="8.71"/>
    <col customWidth="1" min="20" max="20" width="22.0"/>
    <col customWidth="1" min="21" max="21" width="26.29"/>
    <col customWidth="1" min="22" max="38" width="8.71"/>
    <col customWidth="1" min="39" max="39" width="9.0"/>
    <col customWidth="1" min="40" max="40" width="13.86"/>
    <col customWidth="1" min="41" max="41" width="8.71"/>
  </cols>
  <sheetData>
    <row r="1">
      <c r="A1" s="2" t="s">
        <v>0</v>
      </c>
      <c r="B1" s="2">
        <v>70.0</v>
      </c>
      <c r="C1" s="2"/>
      <c r="D1" s="2" t="s">
        <v>2</v>
      </c>
      <c r="E1" s="5"/>
      <c r="F1" s="5"/>
      <c r="G1" s="7"/>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2"/>
      <c r="AN1" s="2"/>
      <c r="AO1" s="2"/>
    </row>
    <row r="2">
      <c r="A2" s="2" t="s">
        <v>3</v>
      </c>
      <c r="B2" s="2"/>
      <c r="C2" s="5"/>
      <c r="D2" s="5"/>
      <c r="E2" s="5"/>
      <c r="F2" s="5"/>
      <c r="G2" s="7"/>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row>
    <row r="3">
      <c r="A3" s="2" t="s">
        <v>5</v>
      </c>
      <c r="B3" s="5"/>
      <c r="C3" s="5"/>
      <c r="D3" s="5"/>
      <c r="E3" s="5"/>
      <c r="F3" s="5"/>
      <c r="G3" s="7"/>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row>
    <row r="4">
      <c r="A4" s="2" t="s">
        <v>6</v>
      </c>
      <c r="B4" s="2">
        <v>621.0</v>
      </c>
      <c r="C4" s="5"/>
      <c r="D4" s="5"/>
      <c r="E4" s="5"/>
      <c r="F4" s="5"/>
      <c r="G4" s="7"/>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row>
    <row r="5">
      <c r="A5" s="5"/>
      <c r="B5" s="5"/>
      <c r="C5" s="5"/>
      <c r="D5" s="5"/>
      <c r="E5" s="5"/>
      <c r="F5" s="5"/>
      <c r="G5" s="7"/>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2"/>
      <c r="AM5" s="5"/>
      <c r="AN5" s="2"/>
      <c r="AO5" s="2"/>
    </row>
    <row r="6">
      <c r="A6" s="10" t="s">
        <v>7</v>
      </c>
      <c r="B6" s="10" t="s">
        <v>8</v>
      </c>
      <c r="C6" s="10" t="s">
        <v>9</v>
      </c>
      <c r="D6" s="10" t="s">
        <v>10</v>
      </c>
      <c r="E6" s="10" t="s">
        <v>11</v>
      </c>
      <c r="F6" s="10" t="s">
        <v>12</v>
      </c>
      <c r="G6" s="11" t="s">
        <v>13</v>
      </c>
      <c r="H6" s="10" t="s">
        <v>14</v>
      </c>
      <c r="I6" s="10" t="s">
        <v>15</v>
      </c>
      <c r="J6" s="10" t="s">
        <v>16</v>
      </c>
      <c r="K6" s="10" t="s">
        <v>17</v>
      </c>
      <c r="L6" s="10" t="s">
        <v>18</v>
      </c>
      <c r="M6" s="10" t="s">
        <v>19</v>
      </c>
      <c r="N6" s="10" t="s">
        <v>20</v>
      </c>
      <c r="O6" s="10" t="s">
        <v>21</v>
      </c>
      <c r="P6" s="10" t="s">
        <v>22</v>
      </c>
      <c r="Q6" s="10" t="s">
        <v>23</v>
      </c>
      <c r="R6" s="10" t="s">
        <v>24</v>
      </c>
      <c r="S6" s="10" t="s">
        <v>25</v>
      </c>
      <c r="T6" s="10" t="s">
        <v>26</v>
      </c>
      <c r="U6" s="10" t="s">
        <v>27</v>
      </c>
      <c r="V6" s="10" t="s">
        <v>28</v>
      </c>
      <c r="W6" s="10" t="s">
        <v>29</v>
      </c>
      <c r="X6" s="10" t="s">
        <v>30</v>
      </c>
      <c r="Y6" s="10" t="s">
        <v>31</v>
      </c>
      <c r="Z6" s="10" t="s">
        <v>32</v>
      </c>
      <c r="AA6" s="10" t="s">
        <v>33</v>
      </c>
      <c r="AB6" s="10" t="s">
        <v>34</v>
      </c>
      <c r="AC6" s="10" t="s">
        <v>35</v>
      </c>
      <c r="AD6" s="10" t="s">
        <v>36</v>
      </c>
      <c r="AE6" s="10" t="s">
        <v>37</v>
      </c>
      <c r="AF6" s="10" t="s">
        <v>38</v>
      </c>
      <c r="AG6" s="10" t="s">
        <v>39</v>
      </c>
      <c r="AH6" s="10" t="s">
        <v>40</v>
      </c>
      <c r="AI6" s="10" t="s">
        <v>41</v>
      </c>
      <c r="AJ6" s="10" t="s">
        <v>42</v>
      </c>
      <c r="AK6" s="10" t="s">
        <v>43</v>
      </c>
      <c r="AL6" s="2"/>
      <c r="AM6" s="5"/>
      <c r="AN6" s="2" t="s">
        <v>44</v>
      </c>
      <c r="AO6" s="2" t="s">
        <v>45</v>
      </c>
    </row>
    <row r="7">
      <c r="A7" s="15">
        <v>1.0</v>
      </c>
      <c r="B7" s="15" t="s">
        <v>46</v>
      </c>
      <c r="C7" s="15" t="s">
        <v>47</v>
      </c>
      <c r="D7" s="16" t="s">
        <v>48</v>
      </c>
      <c r="E7" s="15" t="s">
        <v>49</v>
      </c>
      <c r="F7" s="18" t="s">
        <v>50</v>
      </c>
      <c r="G7" s="16" t="s">
        <v>52</v>
      </c>
      <c r="H7" s="15" t="s">
        <v>53</v>
      </c>
      <c r="I7" s="15" t="s">
        <v>54</v>
      </c>
      <c r="J7" s="15" t="s">
        <v>54</v>
      </c>
      <c r="K7" s="15" t="s">
        <v>55</v>
      </c>
      <c r="L7" s="15" t="s">
        <v>56</v>
      </c>
      <c r="M7" s="15" t="s">
        <v>57</v>
      </c>
      <c r="N7" s="15" t="s">
        <v>58</v>
      </c>
      <c r="O7" s="15">
        <v>1000.0</v>
      </c>
      <c r="P7" s="15">
        <v>1200.0</v>
      </c>
      <c r="Q7" s="15" t="s">
        <v>59</v>
      </c>
      <c r="R7" s="15" t="s">
        <v>58</v>
      </c>
      <c r="S7" s="15" t="s">
        <v>58</v>
      </c>
      <c r="T7" s="15"/>
      <c r="U7" s="15"/>
      <c r="V7" s="15" t="s">
        <v>61</v>
      </c>
      <c r="W7" s="15" t="s">
        <v>58</v>
      </c>
      <c r="X7" s="15" t="s">
        <v>58</v>
      </c>
      <c r="Y7" s="15" t="s">
        <v>58</v>
      </c>
      <c r="Z7" s="15" t="s">
        <v>58</v>
      </c>
      <c r="AA7" s="15" t="s">
        <v>58</v>
      </c>
      <c r="AB7" s="15" t="s">
        <v>58</v>
      </c>
      <c r="AC7" s="15" t="s">
        <v>58</v>
      </c>
      <c r="AD7" s="15" t="s">
        <v>58</v>
      </c>
      <c r="AE7" s="15" t="s">
        <v>61</v>
      </c>
      <c r="AF7" s="15" t="s">
        <v>61</v>
      </c>
      <c r="AG7" s="15" t="s">
        <v>58</v>
      </c>
      <c r="AH7" s="15">
        <v>2000.0</v>
      </c>
      <c r="AI7" s="15">
        <v>2000.0</v>
      </c>
      <c r="AJ7" s="15">
        <v>2000.0</v>
      </c>
      <c r="AK7" s="15">
        <v>0.0</v>
      </c>
      <c r="AL7" s="15"/>
      <c r="AM7" s="15"/>
      <c r="AN7" s="16" t="s">
        <v>65</v>
      </c>
      <c r="AO7" s="21">
        <v>2.0</v>
      </c>
    </row>
    <row r="8">
      <c r="A8" s="22">
        <v>2.0</v>
      </c>
      <c r="B8" s="22" t="s">
        <v>68</v>
      </c>
      <c r="C8" s="22" t="s">
        <v>70</v>
      </c>
      <c r="D8" s="24" t="s">
        <v>71</v>
      </c>
      <c r="E8" s="22" t="s">
        <v>49</v>
      </c>
      <c r="F8" s="24" t="s">
        <v>69</v>
      </c>
      <c r="G8" s="24" t="s">
        <v>69</v>
      </c>
      <c r="H8" s="22" t="s">
        <v>75</v>
      </c>
      <c r="I8" s="22" t="s">
        <v>76</v>
      </c>
      <c r="J8" s="22" t="s">
        <v>76</v>
      </c>
      <c r="K8" s="22" t="s">
        <v>55</v>
      </c>
      <c r="L8" s="22" t="s">
        <v>56</v>
      </c>
      <c r="M8" s="22" t="s">
        <v>57</v>
      </c>
      <c r="N8" s="22" t="s">
        <v>58</v>
      </c>
      <c r="O8" s="22">
        <v>3000.0</v>
      </c>
      <c r="P8" s="22">
        <v>3500.0</v>
      </c>
      <c r="Q8" s="22" t="s">
        <v>59</v>
      </c>
      <c r="R8" s="22" t="s">
        <v>58</v>
      </c>
      <c r="S8" s="22" t="s">
        <v>58</v>
      </c>
      <c r="T8" s="22"/>
      <c r="U8" s="22"/>
      <c r="V8" s="22" t="s">
        <v>61</v>
      </c>
      <c r="W8" s="22" t="s">
        <v>58</v>
      </c>
      <c r="X8" s="22" t="s">
        <v>58</v>
      </c>
      <c r="Y8" s="22" t="s">
        <v>58</v>
      </c>
      <c r="Z8" s="22" t="s">
        <v>58</v>
      </c>
      <c r="AA8" s="22" t="s">
        <v>58</v>
      </c>
      <c r="AB8" s="22" t="s">
        <v>58</v>
      </c>
      <c r="AC8" s="22" t="s">
        <v>58</v>
      </c>
      <c r="AD8" s="22" t="s">
        <v>58</v>
      </c>
      <c r="AE8" s="22" t="s">
        <v>61</v>
      </c>
      <c r="AF8" s="22" t="s">
        <v>61</v>
      </c>
      <c r="AG8" s="22" t="s">
        <v>58</v>
      </c>
      <c r="AH8" s="22">
        <v>150.0</v>
      </c>
      <c r="AI8" s="22">
        <v>1500.0</v>
      </c>
      <c r="AJ8" s="22">
        <v>150.0</v>
      </c>
      <c r="AK8" s="22">
        <v>0.0</v>
      </c>
      <c r="AL8" s="22"/>
      <c r="AM8" s="22"/>
      <c r="AN8" s="24" t="s">
        <v>65</v>
      </c>
      <c r="AO8" s="22"/>
    </row>
    <row r="9" ht="27.75" customHeight="1">
      <c r="A9" s="22">
        <v>3.0</v>
      </c>
      <c r="B9" s="22" t="s">
        <v>77</v>
      </c>
      <c r="C9" s="22" t="s">
        <v>78</v>
      </c>
      <c r="D9" s="22" t="s">
        <v>79</v>
      </c>
      <c r="E9" s="22" t="s">
        <v>49</v>
      </c>
      <c r="F9" s="27" t="s">
        <v>80</v>
      </c>
      <c r="G9" s="24" t="s">
        <v>83</v>
      </c>
      <c r="H9" s="22" t="s">
        <v>75</v>
      </c>
      <c r="I9" s="22" t="s">
        <v>76</v>
      </c>
      <c r="J9" s="22" t="s">
        <v>76</v>
      </c>
      <c r="K9" s="22" t="s">
        <v>55</v>
      </c>
      <c r="L9" s="22" t="s">
        <v>56</v>
      </c>
      <c r="M9" s="22" t="s">
        <v>57</v>
      </c>
      <c r="N9" s="22" t="s">
        <v>58</v>
      </c>
      <c r="O9" s="22">
        <v>2000.0</v>
      </c>
      <c r="P9" s="22">
        <v>2200.0</v>
      </c>
      <c r="Q9" s="22" t="s">
        <v>59</v>
      </c>
      <c r="R9" s="22" t="s">
        <v>58</v>
      </c>
      <c r="S9" s="22" t="s">
        <v>58</v>
      </c>
      <c r="T9" s="24" t="s">
        <v>87</v>
      </c>
      <c r="U9" s="24" t="s">
        <v>90</v>
      </c>
      <c r="V9" s="22" t="s">
        <v>61</v>
      </c>
      <c r="W9" s="22" t="s">
        <v>58</v>
      </c>
      <c r="X9" s="22" t="s">
        <v>58</v>
      </c>
      <c r="Y9" s="22" t="s">
        <v>58</v>
      </c>
      <c r="Z9" s="22" t="s">
        <v>58</v>
      </c>
      <c r="AA9" s="22" t="s">
        <v>58</v>
      </c>
      <c r="AB9" s="22" t="s">
        <v>58</v>
      </c>
      <c r="AC9" s="22" t="s">
        <v>58</v>
      </c>
      <c r="AD9" s="22" t="s">
        <v>58</v>
      </c>
      <c r="AE9" s="22" t="s">
        <v>61</v>
      </c>
      <c r="AF9" s="22" t="s">
        <v>61</v>
      </c>
      <c r="AG9" s="22" t="s">
        <v>58</v>
      </c>
      <c r="AH9" s="22">
        <v>25.0</v>
      </c>
      <c r="AI9" s="22">
        <v>1500.0</v>
      </c>
      <c r="AJ9" s="22">
        <v>25.0</v>
      </c>
      <c r="AK9" s="22">
        <v>0.0</v>
      </c>
      <c r="AL9" s="22"/>
      <c r="AM9" s="22"/>
      <c r="AN9" s="24" t="s">
        <v>65</v>
      </c>
      <c r="AO9" s="22"/>
    </row>
    <row r="10">
      <c r="A10" s="22">
        <v>4.0</v>
      </c>
      <c r="B10" s="22" t="s">
        <v>96</v>
      </c>
      <c r="C10" s="22" t="s">
        <v>97</v>
      </c>
      <c r="D10" s="22" t="s">
        <v>98</v>
      </c>
      <c r="E10" s="22" t="s">
        <v>49</v>
      </c>
      <c r="F10" s="27" t="s">
        <v>99</v>
      </c>
      <c r="G10" s="24" t="s">
        <v>101</v>
      </c>
      <c r="H10" s="22" t="s">
        <v>102</v>
      </c>
      <c r="I10" s="22" t="s">
        <v>103</v>
      </c>
      <c r="J10" s="22" t="s">
        <v>103</v>
      </c>
      <c r="K10" s="22" t="s">
        <v>55</v>
      </c>
      <c r="L10" s="22" t="s">
        <v>56</v>
      </c>
      <c r="M10" s="22" t="s">
        <v>57</v>
      </c>
      <c r="N10" s="22" t="s">
        <v>58</v>
      </c>
      <c r="O10" s="22">
        <v>5850.0</v>
      </c>
      <c r="P10" s="22">
        <v>5850.0</v>
      </c>
      <c r="Q10" s="22" t="s">
        <v>59</v>
      </c>
      <c r="R10" s="22" t="s">
        <v>58</v>
      </c>
      <c r="S10" s="22" t="s">
        <v>58</v>
      </c>
      <c r="T10" s="24" t="s">
        <v>104</v>
      </c>
      <c r="U10" s="22"/>
      <c r="V10" s="22" t="s">
        <v>61</v>
      </c>
      <c r="W10" s="22" t="s">
        <v>58</v>
      </c>
      <c r="X10" s="22" t="s">
        <v>58</v>
      </c>
      <c r="Y10" s="22" t="s">
        <v>58</v>
      </c>
      <c r="Z10" s="22" t="s">
        <v>58</v>
      </c>
      <c r="AA10" s="22" t="s">
        <v>58</v>
      </c>
      <c r="AB10" s="22" t="s">
        <v>58</v>
      </c>
      <c r="AC10" s="22" t="s">
        <v>58</v>
      </c>
      <c r="AD10" s="22" t="s">
        <v>58</v>
      </c>
      <c r="AE10" s="22" t="s">
        <v>61</v>
      </c>
      <c r="AF10" s="22" t="s">
        <v>61</v>
      </c>
      <c r="AG10" s="22" t="s">
        <v>58</v>
      </c>
      <c r="AH10" s="22">
        <v>25.0</v>
      </c>
      <c r="AI10" s="22">
        <v>5000.0</v>
      </c>
      <c r="AJ10" s="22">
        <v>25.0</v>
      </c>
      <c r="AK10" s="22">
        <v>0.0</v>
      </c>
      <c r="AL10" s="22"/>
      <c r="AM10" s="22"/>
      <c r="AN10" s="24" t="s">
        <v>65</v>
      </c>
      <c r="AO10" s="22"/>
    </row>
    <row r="11">
      <c r="A11" s="22">
        <v>5.0</v>
      </c>
      <c r="B11" s="22" t="s">
        <v>119</v>
      </c>
      <c r="C11" s="22" t="s">
        <v>120</v>
      </c>
      <c r="D11" s="22" t="s">
        <v>121</v>
      </c>
      <c r="E11" s="22" t="s">
        <v>49</v>
      </c>
      <c r="F11" s="24" t="s">
        <v>69</v>
      </c>
      <c r="G11" s="24" t="s">
        <v>122</v>
      </c>
      <c r="H11" s="22" t="s">
        <v>123</v>
      </c>
      <c r="I11" s="22" t="s">
        <v>124</v>
      </c>
      <c r="J11" s="22" t="s">
        <v>74</v>
      </c>
      <c r="K11" s="22" t="s">
        <v>55</v>
      </c>
      <c r="L11" s="22" t="s">
        <v>56</v>
      </c>
      <c r="M11" s="22" t="s">
        <v>57</v>
      </c>
      <c r="N11" s="22" t="s">
        <v>58</v>
      </c>
      <c r="O11" s="22">
        <v>1100.0</v>
      </c>
      <c r="P11" s="22">
        <v>1300.0</v>
      </c>
      <c r="Q11" s="22" t="s">
        <v>59</v>
      </c>
      <c r="R11" s="22" t="s">
        <v>58</v>
      </c>
      <c r="S11" s="22" t="s">
        <v>58</v>
      </c>
      <c r="T11" s="22" t="s">
        <v>127</v>
      </c>
      <c r="U11" s="22"/>
      <c r="V11" s="22" t="s">
        <v>61</v>
      </c>
      <c r="W11" s="22" t="s">
        <v>58</v>
      </c>
      <c r="X11" s="22" t="s">
        <v>58</v>
      </c>
      <c r="Y11" s="22" t="s">
        <v>58</v>
      </c>
      <c r="Z11" s="22" t="s">
        <v>58</v>
      </c>
      <c r="AA11" s="22" t="s">
        <v>58</v>
      </c>
      <c r="AB11" s="22" t="s">
        <v>58</v>
      </c>
      <c r="AC11" s="22" t="s">
        <v>58</v>
      </c>
      <c r="AD11" s="22" t="s">
        <v>58</v>
      </c>
      <c r="AE11" s="22" t="s">
        <v>61</v>
      </c>
      <c r="AF11" s="22" t="s">
        <v>61</v>
      </c>
      <c r="AG11" s="22" t="s">
        <v>58</v>
      </c>
      <c r="AH11" s="22">
        <v>150.0</v>
      </c>
      <c r="AI11" s="22">
        <v>5000.0</v>
      </c>
      <c r="AJ11" s="22">
        <v>150.0</v>
      </c>
      <c r="AK11" s="22">
        <v>0.0</v>
      </c>
      <c r="AL11" s="22"/>
      <c r="AM11" s="22"/>
      <c r="AN11" s="24" t="s">
        <v>65</v>
      </c>
      <c r="AO11" s="22"/>
    </row>
    <row r="12">
      <c r="A12" s="22">
        <v>6.0</v>
      </c>
      <c r="B12" s="22" t="s">
        <v>133</v>
      </c>
      <c r="C12" s="22" t="s">
        <v>134</v>
      </c>
      <c r="D12" s="22" t="s">
        <v>135</v>
      </c>
      <c r="E12" s="22" t="s">
        <v>49</v>
      </c>
      <c r="F12" s="27" t="s">
        <v>136</v>
      </c>
      <c r="G12" s="24">
        <v>8.130308994E9</v>
      </c>
      <c r="H12" s="22" t="s">
        <v>147</v>
      </c>
      <c r="I12" s="22" t="s">
        <v>148</v>
      </c>
      <c r="J12" s="22" t="s">
        <v>148</v>
      </c>
      <c r="K12" s="22" t="s">
        <v>55</v>
      </c>
      <c r="L12" s="22" t="s">
        <v>56</v>
      </c>
      <c r="M12" s="22" t="s">
        <v>57</v>
      </c>
      <c r="N12" s="22" t="s">
        <v>58</v>
      </c>
      <c r="O12" s="22">
        <v>700.0</v>
      </c>
      <c r="P12" s="22">
        <v>900.0</v>
      </c>
      <c r="Q12" s="22" t="s">
        <v>59</v>
      </c>
      <c r="R12" s="22" t="s">
        <v>58</v>
      </c>
      <c r="S12" s="22" t="s">
        <v>58</v>
      </c>
      <c r="T12" s="22" t="s">
        <v>127</v>
      </c>
      <c r="U12" s="22"/>
      <c r="V12" s="22" t="s">
        <v>61</v>
      </c>
      <c r="W12" s="22" t="s">
        <v>58</v>
      </c>
      <c r="X12" s="22" t="s">
        <v>58</v>
      </c>
      <c r="Y12" s="22" t="s">
        <v>58</v>
      </c>
      <c r="Z12" s="22" t="s">
        <v>58</v>
      </c>
      <c r="AA12" s="22" t="s">
        <v>58</v>
      </c>
      <c r="AB12" s="22" t="s">
        <v>58</v>
      </c>
      <c r="AC12" s="22" t="s">
        <v>58</v>
      </c>
      <c r="AD12" s="22" t="s">
        <v>58</v>
      </c>
      <c r="AE12" s="22" t="s">
        <v>61</v>
      </c>
      <c r="AF12" s="22" t="s">
        <v>61</v>
      </c>
      <c r="AG12" s="22" t="s">
        <v>58</v>
      </c>
      <c r="AH12" s="22">
        <v>100.0</v>
      </c>
      <c r="AI12" s="22">
        <v>5000.0</v>
      </c>
      <c r="AJ12" s="22">
        <v>100.0</v>
      </c>
      <c r="AK12" s="22">
        <v>0.0</v>
      </c>
      <c r="AL12" s="22"/>
      <c r="AM12" s="22"/>
      <c r="AN12" s="24" t="s">
        <v>65</v>
      </c>
      <c r="AO12" s="22"/>
    </row>
    <row r="13">
      <c r="A13" s="22">
        <v>7.0</v>
      </c>
      <c r="B13" s="22" t="s">
        <v>154</v>
      </c>
      <c r="C13" s="22" t="s">
        <v>156</v>
      </c>
      <c r="D13" s="24" t="s">
        <v>157</v>
      </c>
      <c r="E13" s="22" t="s">
        <v>49</v>
      </c>
      <c r="F13" s="36" t="s">
        <v>69</v>
      </c>
      <c r="G13" s="24" t="s">
        <v>69</v>
      </c>
      <c r="H13" s="22" t="s">
        <v>160</v>
      </c>
      <c r="I13" s="22" t="s">
        <v>161</v>
      </c>
      <c r="J13" s="22" t="s">
        <v>161</v>
      </c>
      <c r="K13" s="22" t="s">
        <v>55</v>
      </c>
      <c r="L13" s="22" t="s">
        <v>56</v>
      </c>
      <c r="M13" s="22" t="s">
        <v>57</v>
      </c>
      <c r="N13" s="22" t="s">
        <v>58</v>
      </c>
      <c r="O13" s="22">
        <v>500.0</v>
      </c>
      <c r="P13" s="22">
        <v>1300.0</v>
      </c>
      <c r="Q13" s="22" t="s">
        <v>59</v>
      </c>
      <c r="R13" s="22" t="s">
        <v>58</v>
      </c>
      <c r="S13" s="22" t="s">
        <v>58</v>
      </c>
      <c r="T13" s="22"/>
      <c r="U13" s="22"/>
      <c r="V13" s="22" t="s">
        <v>61</v>
      </c>
      <c r="W13" s="22" t="s">
        <v>58</v>
      </c>
      <c r="X13" s="22" t="s">
        <v>58</v>
      </c>
      <c r="Y13" s="22" t="s">
        <v>58</v>
      </c>
      <c r="Z13" s="22" t="s">
        <v>58</v>
      </c>
      <c r="AA13" s="22" t="s">
        <v>58</v>
      </c>
      <c r="AB13" s="22" t="s">
        <v>58</v>
      </c>
      <c r="AC13" s="22" t="s">
        <v>58</v>
      </c>
      <c r="AD13" s="22" t="s">
        <v>58</v>
      </c>
      <c r="AE13" s="22" t="s">
        <v>61</v>
      </c>
      <c r="AF13" s="22" t="s">
        <v>61</v>
      </c>
      <c r="AG13" s="22" t="s">
        <v>58</v>
      </c>
      <c r="AH13" s="22">
        <v>50.0</v>
      </c>
      <c r="AI13" s="22">
        <v>800.0</v>
      </c>
      <c r="AJ13" s="22">
        <v>50.0</v>
      </c>
      <c r="AK13" s="22">
        <v>0.0</v>
      </c>
      <c r="AL13" s="22"/>
      <c r="AM13" s="22"/>
      <c r="AN13" s="24" t="s">
        <v>65</v>
      </c>
      <c r="AO13" s="22"/>
    </row>
    <row r="14" ht="33.0" customHeight="1">
      <c r="A14" s="22">
        <v>8.0</v>
      </c>
      <c r="B14" s="22" t="s">
        <v>166</v>
      </c>
      <c r="C14" s="22" t="s">
        <v>168</v>
      </c>
      <c r="D14" s="22" t="s">
        <v>170</v>
      </c>
      <c r="E14" s="22" t="s">
        <v>49</v>
      </c>
      <c r="F14" s="24" t="s">
        <v>172</v>
      </c>
      <c r="G14" s="24" t="s">
        <v>173</v>
      </c>
      <c r="H14" s="22" t="s">
        <v>123</v>
      </c>
      <c r="I14" s="22" t="s">
        <v>124</v>
      </c>
      <c r="J14" s="22" t="s">
        <v>74</v>
      </c>
      <c r="K14" s="22" t="s">
        <v>55</v>
      </c>
      <c r="L14" s="22" t="s">
        <v>56</v>
      </c>
      <c r="M14" s="22" t="s">
        <v>57</v>
      </c>
      <c r="N14" s="22" t="s">
        <v>58</v>
      </c>
      <c r="O14" s="22">
        <v>4500.0</v>
      </c>
      <c r="P14" s="22">
        <v>5000.0</v>
      </c>
      <c r="Q14" s="22" t="s">
        <v>59</v>
      </c>
      <c r="R14" s="22" t="s">
        <v>58</v>
      </c>
      <c r="S14" s="22" t="s">
        <v>58</v>
      </c>
      <c r="T14" s="24" t="s">
        <v>178</v>
      </c>
      <c r="U14" s="22"/>
      <c r="V14" s="22" t="s">
        <v>61</v>
      </c>
      <c r="W14" s="22" t="s">
        <v>58</v>
      </c>
      <c r="X14" s="22" t="s">
        <v>58</v>
      </c>
      <c r="Y14" s="22" t="s">
        <v>58</v>
      </c>
      <c r="Z14" s="22" t="s">
        <v>58</v>
      </c>
      <c r="AA14" s="22" t="s">
        <v>58</v>
      </c>
      <c r="AB14" s="22" t="s">
        <v>58</v>
      </c>
      <c r="AC14" s="22" t="s">
        <v>58</v>
      </c>
      <c r="AD14" s="22" t="s">
        <v>58</v>
      </c>
      <c r="AE14" s="22" t="s">
        <v>61</v>
      </c>
      <c r="AF14" s="22" t="s">
        <v>61</v>
      </c>
      <c r="AG14" s="22" t="s">
        <v>58</v>
      </c>
      <c r="AH14" s="22">
        <v>30.0</v>
      </c>
      <c r="AI14" s="22">
        <v>2000.0</v>
      </c>
      <c r="AJ14" s="22">
        <v>30.0</v>
      </c>
      <c r="AK14" s="22">
        <v>0.0</v>
      </c>
      <c r="AL14" s="22"/>
      <c r="AM14" s="22"/>
      <c r="AN14" s="24" t="s">
        <v>65</v>
      </c>
      <c r="AO14" s="22"/>
    </row>
    <row r="15">
      <c r="A15" s="22">
        <v>9.0</v>
      </c>
      <c r="B15" s="22" t="s">
        <v>183</v>
      </c>
      <c r="C15" s="22" t="s">
        <v>184</v>
      </c>
      <c r="D15" s="22" t="s">
        <v>186</v>
      </c>
      <c r="E15" s="22" t="s">
        <v>49</v>
      </c>
      <c r="F15" s="24" t="s">
        <v>188</v>
      </c>
      <c r="G15" s="24" t="s">
        <v>189</v>
      </c>
      <c r="H15" s="22" t="s">
        <v>123</v>
      </c>
      <c r="I15" s="22" t="s">
        <v>124</v>
      </c>
      <c r="J15" s="22" t="s">
        <v>74</v>
      </c>
      <c r="K15" s="22" t="s">
        <v>55</v>
      </c>
      <c r="L15" s="22" t="s">
        <v>56</v>
      </c>
      <c r="M15" s="22" t="s">
        <v>57</v>
      </c>
      <c r="N15" s="22" t="s">
        <v>58</v>
      </c>
      <c r="O15" s="22">
        <v>800.0</v>
      </c>
      <c r="P15" s="22">
        <v>900.0</v>
      </c>
      <c r="Q15" s="22" t="s">
        <v>59</v>
      </c>
      <c r="R15" s="22" t="s">
        <v>58</v>
      </c>
      <c r="S15" s="22" t="s">
        <v>58</v>
      </c>
      <c r="T15" s="24" t="s">
        <v>191</v>
      </c>
      <c r="U15" s="22"/>
      <c r="V15" s="22" t="s">
        <v>61</v>
      </c>
      <c r="W15" s="22" t="s">
        <v>58</v>
      </c>
      <c r="X15" s="22" t="s">
        <v>58</v>
      </c>
      <c r="Y15" s="22" t="s">
        <v>58</v>
      </c>
      <c r="Z15" s="22" t="s">
        <v>58</v>
      </c>
      <c r="AA15" s="22" t="s">
        <v>58</v>
      </c>
      <c r="AB15" s="22" t="s">
        <v>58</v>
      </c>
      <c r="AC15" s="22" t="s">
        <v>58</v>
      </c>
      <c r="AD15" s="22" t="s">
        <v>58</v>
      </c>
      <c r="AE15" s="22" t="s">
        <v>61</v>
      </c>
      <c r="AF15" s="22" t="s">
        <v>61</v>
      </c>
      <c r="AG15" s="22" t="s">
        <v>58</v>
      </c>
      <c r="AH15" s="22">
        <v>50.0</v>
      </c>
      <c r="AI15" s="22">
        <v>2000.0</v>
      </c>
      <c r="AJ15" s="22">
        <v>50.0</v>
      </c>
      <c r="AK15" s="22">
        <v>0.0</v>
      </c>
      <c r="AL15" s="22"/>
      <c r="AM15" s="22"/>
      <c r="AN15" s="24" t="s">
        <v>65</v>
      </c>
      <c r="AO15" s="22"/>
    </row>
    <row r="16">
      <c r="A16" s="22">
        <v>10.0</v>
      </c>
      <c r="B16" s="22" t="s">
        <v>192</v>
      </c>
      <c r="C16" s="22" t="s">
        <v>194</v>
      </c>
      <c r="D16" s="22" t="s">
        <v>196</v>
      </c>
      <c r="E16" s="22" t="s">
        <v>49</v>
      </c>
      <c r="F16" s="24" t="s">
        <v>198</v>
      </c>
      <c r="G16" s="24" t="s">
        <v>201</v>
      </c>
      <c r="H16" s="22" t="s">
        <v>203</v>
      </c>
      <c r="I16" s="22" t="s">
        <v>204</v>
      </c>
      <c r="J16" s="22" t="s">
        <v>74</v>
      </c>
      <c r="K16" s="22" t="s">
        <v>55</v>
      </c>
      <c r="L16" s="22" t="s">
        <v>56</v>
      </c>
      <c r="M16" s="22" t="s">
        <v>57</v>
      </c>
      <c r="N16" s="22" t="s">
        <v>58</v>
      </c>
      <c r="O16" s="22">
        <v>1500.0</v>
      </c>
      <c r="P16" s="22">
        <v>2000.0</v>
      </c>
      <c r="Q16" s="22" t="s">
        <v>59</v>
      </c>
      <c r="R16" s="22" t="s">
        <v>58</v>
      </c>
      <c r="S16" s="22" t="s">
        <v>58</v>
      </c>
      <c r="T16" s="24" t="s">
        <v>209</v>
      </c>
      <c r="U16" s="22"/>
      <c r="V16" s="22" t="s">
        <v>61</v>
      </c>
      <c r="W16" s="22" t="s">
        <v>58</v>
      </c>
      <c r="X16" s="22" t="s">
        <v>58</v>
      </c>
      <c r="Y16" s="22" t="s">
        <v>58</v>
      </c>
      <c r="Z16" s="22" t="s">
        <v>58</v>
      </c>
      <c r="AA16" s="22" t="s">
        <v>58</v>
      </c>
      <c r="AB16" s="22" t="s">
        <v>58</v>
      </c>
      <c r="AC16" s="22" t="s">
        <v>58</v>
      </c>
      <c r="AD16" s="22" t="s">
        <v>58</v>
      </c>
      <c r="AE16" s="22" t="s">
        <v>61</v>
      </c>
      <c r="AF16" s="22" t="s">
        <v>61</v>
      </c>
      <c r="AG16" s="22" t="s">
        <v>58</v>
      </c>
      <c r="AH16" s="22">
        <v>50.0</v>
      </c>
      <c r="AI16" s="22">
        <v>5000.0</v>
      </c>
      <c r="AJ16" s="22">
        <v>50.0</v>
      </c>
      <c r="AK16" s="22">
        <v>0.0</v>
      </c>
      <c r="AL16" s="22"/>
      <c r="AM16" s="22"/>
      <c r="AN16" s="24" t="s">
        <v>65</v>
      </c>
      <c r="AO16" s="22"/>
    </row>
    <row r="17">
      <c r="A17" s="15">
        <v>11.0</v>
      </c>
      <c r="B17" s="15" t="s">
        <v>216</v>
      </c>
      <c r="C17" s="15" t="s">
        <v>217</v>
      </c>
      <c r="D17" s="16" t="s">
        <v>218</v>
      </c>
      <c r="E17" s="15" t="s">
        <v>49</v>
      </c>
      <c r="F17" s="18" t="s">
        <v>219</v>
      </c>
      <c r="G17" s="16" t="s">
        <v>227</v>
      </c>
      <c r="H17" s="15" t="s">
        <v>123</v>
      </c>
      <c r="I17" s="15" t="s">
        <v>124</v>
      </c>
      <c r="J17" s="15" t="s">
        <v>74</v>
      </c>
      <c r="K17" s="15" t="s">
        <v>55</v>
      </c>
      <c r="L17" s="15" t="s">
        <v>56</v>
      </c>
      <c r="M17" s="15" t="s">
        <v>57</v>
      </c>
      <c r="N17" s="15" t="s">
        <v>58</v>
      </c>
      <c r="O17" s="15">
        <v>1100.0</v>
      </c>
      <c r="P17" s="15">
        <v>1400.0</v>
      </c>
      <c r="Q17" s="15" t="s">
        <v>59</v>
      </c>
      <c r="R17" s="15" t="s">
        <v>58</v>
      </c>
      <c r="S17" s="15" t="s">
        <v>58</v>
      </c>
      <c r="T17" s="15"/>
      <c r="U17" s="15"/>
      <c r="V17" s="15" t="s">
        <v>61</v>
      </c>
      <c r="W17" s="15" t="s">
        <v>58</v>
      </c>
      <c r="X17" s="15" t="s">
        <v>58</v>
      </c>
      <c r="Y17" s="15" t="s">
        <v>58</v>
      </c>
      <c r="Z17" s="15" t="s">
        <v>58</v>
      </c>
      <c r="AA17" s="15" t="s">
        <v>58</v>
      </c>
      <c r="AB17" s="15" t="s">
        <v>58</v>
      </c>
      <c r="AC17" s="15" t="s">
        <v>58</v>
      </c>
      <c r="AD17" s="15" t="s">
        <v>58</v>
      </c>
      <c r="AE17" s="15" t="s">
        <v>61</v>
      </c>
      <c r="AF17" s="15" t="s">
        <v>61</v>
      </c>
      <c r="AG17" s="15" t="s">
        <v>58</v>
      </c>
      <c r="AH17" s="15">
        <v>100.0</v>
      </c>
      <c r="AI17" s="15">
        <v>3000.0</v>
      </c>
      <c r="AJ17" s="15">
        <v>100.0</v>
      </c>
      <c r="AK17" s="15">
        <v>0.0</v>
      </c>
      <c r="AL17" s="15"/>
      <c r="AM17" s="15"/>
      <c r="AN17" s="16" t="s">
        <v>65</v>
      </c>
      <c r="AO17" s="21">
        <v>2.0</v>
      </c>
    </row>
    <row r="18">
      <c r="A18" s="15">
        <v>12.0</v>
      </c>
      <c r="B18" s="15" t="s">
        <v>234</v>
      </c>
      <c r="C18" s="15" t="s">
        <v>235</v>
      </c>
      <c r="D18" s="16" t="s">
        <v>236</v>
      </c>
      <c r="E18" s="15" t="s">
        <v>49</v>
      </c>
      <c r="F18" s="41" t="s">
        <v>237</v>
      </c>
      <c r="G18" s="16" t="s">
        <v>243</v>
      </c>
      <c r="H18" s="15" t="s">
        <v>245</v>
      </c>
      <c r="I18" s="15" t="s">
        <v>246</v>
      </c>
      <c r="J18" s="15" t="s">
        <v>246</v>
      </c>
      <c r="K18" s="15" t="s">
        <v>55</v>
      </c>
      <c r="L18" s="15" t="s">
        <v>56</v>
      </c>
      <c r="M18" s="15" t="s">
        <v>57</v>
      </c>
      <c r="N18" s="15" t="s">
        <v>58</v>
      </c>
      <c r="O18" s="15">
        <v>250.0</v>
      </c>
      <c r="P18" s="15">
        <v>300.0</v>
      </c>
      <c r="Q18" s="15" t="s">
        <v>59</v>
      </c>
      <c r="R18" s="15" t="s">
        <v>58</v>
      </c>
      <c r="S18" s="15" t="s">
        <v>58</v>
      </c>
      <c r="T18" s="15"/>
      <c r="U18" s="15"/>
      <c r="V18" s="15" t="s">
        <v>61</v>
      </c>
      <c r="W18" s="15" t="s">
        <v>58</v>
      </c>
      <c r="X18" s="15" t="s">
        <v>58</v>
      </c>
      <c r="Y18" s="15" t="s">
        <v>58</v>
      </c>
      <c r="Z18" s="15" t="s">
        <v>58</v>
      </c>
      <c r="AA18" s="15" t="s">
        <v>58</v>
      </c>
      <c r="AB18" s="15" t="s">
        <v>58</v>
      </c>
      <c r="AC18" s="15" t="s">
        <v>58</v>
      </c>
      <c r="AD18" s="15" t="s">
        <v>58</v>
      </c>
      <c r="AE18" s="15" t="s">
        <v>61</v>
      </c>
      <c r="AF18" s="15" t="s">
        <v>61</v>
      </c>
      <c r="AG18" s="15" t="s">
        <v>58</v>
      </c>
      <c r="AH18" s="15">
        <v>30.0</v>
      </c>
      <c r="AI18" s="15">
        <v>2500.0</v>
      </c>
      <c r="AJ18" s="15">
        <v>30.0</v>
      </c>
      <c r="AK18" s="15">
        <v>0.0</v>
      </c>
      <c r="AL18" s="15"/>
      <c r="AM18" s="15"/>
      <c r="AN18" s="16" t="s">
        <v>65</v>
      </c>
      <c r="AO18" s="21">
        <v>2.0</v>
      </c>
    </row>
    <row r="19" ht="37.5" customHeight="1">
      <c r="A19" s="22">
        <v>13.0</v>
      </c>
      <c r="B19" s="22" t="s">
        <v>108</v>
      </c>
      <c r="C19" s="22" t="s">
        <v>111</v>
      </c>
      <c r="D19" s="22" t="s">
        <v>112</v>
      </c>
      <c r="E19" s="22" t="s">
        <v>49</v>
      </c>
      <c r="F19" s="27" t="s">
        <v>114</v>
      </c>
      <c r="G19" s="24" t="s">
        <v>122</v>
      </c>
      <c r="H19" s="22" t="s">
        <v>118</v>
      </c>
      <c r="I19" s="22" t="s">
        <v>92</v>
      </c>
      <c r="J19" s="22" t="s">
        <v>92</v>
      </c>
      <c r="K19" s="22" t="s">
        <v>55</v>
      </c>
      <c r="L19" s="22" t="s">
        <v>56</v>
      </c>
      <c r="M19" s="22" t="s">
        <v>57</v>
      </c>
      <c r="N19" s="22" t="s">
        <v>58</v>
      </c>
      <c r="O19" s="22">
        <v>699.0</v>
      </c>
      <c r="P19" s="22">
        <v>899.0</v>
      </c>
      <c r="Q19" s="22" t="s">
        <v>59</v>
      </c>
      <c r="R19" s="22" t="s">
        <v>58</v>
      </c>
      <c r="S19" s="22" t="s">
        <v>58</v>
      </c>
      <c r="T19" s="24" t="s">
        <v>261</v>
      </c>
      <c r="U19" s="24" t="s">
        <v>126</v>
      </c>
      <c r="V19" s="22" t="s">
        <v>61</v>
      </c>
      <c r="W19" s="22" t="s">
        <v>58</v>
      </c>
      <c r="X19" s="22" t="s">
        <v>58</v>
      </c>
      <c r="Y19" s="22" t="s">
        <v>58</v>
      </c>
      <c r="Z19" s="22" t="s">
        <v>58</v>
      </c>
      <c r="AA19" s="22" t="s">
        <v>58</v>
      </c>
      <c r="AB19" s="22" t="s">
        <v>58</v>
      </c>
      <c r="AC19" s="22" t="s">
        <v>58</v>
      </c>
      <c r="AD19" s="22" t="s">
        <v>58</v>
      </c>
      <c r="AE19" s="22" t="s">
        <v>61</v>
      </c>
      <c r="AF19" s="22" t="s">
        <v>61</v>
      </c>
      <c r="AG19" s="22" t="s">
        <v>58</v>
      </c>
      <c r="AH19" s="22">
        <v>50.0</v>
      </c>
      <c r="AI19" s="22">
        <v>2000.0</v>
      </c>
      <c r="AJ19" s="22">
        <v>50.0</v>
      </c>
      <c r="AK19" s="22">
        <v>0.0</v>
      </c>
      <c r="AL19" s="22"/>
      <c r="AM19" s="22"/>
      <c r="AN19" s="24" t="s">
        <v>65</v>
      </c>
      <c r="AO19" s="22"/>
    </row>
    <row r="20">
      <c r="A20" s="22">
        <v>14.0</v>
      </c>
      <c r="B20" s="22" t="s">
        <v>151</v>
      </c>
      <c r="C20" s="22" t="s">
        <v>152</v>
      </c>
      <c r="D20" s="22" t="s">
        <v>153</v>
      </c>
      <c r="E20" s="22" t="s">
        <v>49</v>
      </c>
      <c r="F20" s="27" t="s">
        <v>265</v>
      </c>
      <c r="G20" s="24">
        <v>9.71878069E9</v>
      </c>
      <c r="H20" s="22" t="s">
        <v>123</v>
      </c>
      <c r="I20" s="22" t="s">
        <v>124</v>
      </c>
      <c r="J20" s="22" t="s">
        <v>74</v>
      </c>
      <c r="K20" s="22" t="s">
        <v>55</v>
      </c>
      <c r="L20" s="22" t="s">
        <v>56</v>
      </c>
      <c r="M20" s="22" t="s">
        <v>57</v>
      </c>
      <c r="N20" s="22" t="s">
        <v>58</v>
      </c>
      <c r="O20" s="22">
        <v>500.0</v>
      </c>
      <c r="P20" s="22">
        <v>700.0</v>
      </c>
      <c r="Q20" s="22" t="s">
        <v>59</v>
      </c>
      <c r="R20" s="22" t="s">
        <v>58</v>
      </c>
      <c r="S20" s="22" t="s">
        <v>58</v>
      </c>
      <c r="T20" s="22" t="s">
        <v>275</v>
      </c>
      <c r="U20" s="22"/>
      <c r="V20" s="22" t="s">
        <v>61</v>
      </c>
      <c r="W20" s="22" t="s">
        <v>58</v>
      </c>
      <c r="X20" s="22" t="s">
        <v>58</v>
      </c>
      <c r="Y20" s="22" t="s">
        <v>58</v>
      </c>
      <c r="Z20" s="22" t="s">
        <v>58</v>
      </c>
      <c r="AA20" s="22" t="s">
        <v>58</v>
      </c>
      <c r="AB20" s="22" t="s">
        <v>58</v>
      </c>
      <c r="AC20" s="22" t="s">
        <v>58</v>
      </c>
      <c r="AD20" s="22" t="s">
        <v>58</v>
      </c>
      <c r="AE20" s="22" t="s">
        <v>61</v>
      </c>
      <c r="AF20" s="22" t="s">
        <v>61</v>
      </c>
      <c r="AG20" s="22" t="s">
        <v>58</v>
      </c>
      <c r="AH20" s="22">
        <v>50.0</v>
      </c>
      <c r="AI20" s="22">
        <v>5000.0</v>
      </c>
      <c r="AJ20" s="22">
        <v>50.0</v>
      </c>
      <c r="AK20" s="22">
        <v>0.0</v>
      </c>
      <c r="AL20" s="22"/>
      <c r="AM20" s="22"/>
      <c r="AN20" s="24" t="s">
        <v>65</v>
      </c>
      <c r="AO20" s="22"/>
    </row>
    <row r="21">
      <c r="A21" s="22">
        <v>15.0</v>
      </c>
      <c r="B21" s="22" t="s">
        <v>280</v>
      </c>
      <c r="C21" s="22" t="s">
        <v>282</v>
      </c>
      <c r="D21" s="22" t="s">
        <v>283</v>
      </c>
      <c r="E21" s="22" t="s">
        <v>49</v>
      </c>
      <c r="F21" s="24" t="s">
        <v>284</v>
      </c>
      <c r="G21" s="24">
        <v>7.947115347E9</v>
      </c>
      <c r="H21" s="22" t="s">
        <v>285</v>
      </c>
      <c r="I21" s="22" t="s">
        <v>286</v>
      </c>
      <c r="J21" s="22" t="s">
        <v>74</v>
      </c>
      <c r="K21" s="22" t="s">
        <v>55</v>
      </c>
      <c r="L21" s="22" t="s">
        <v>56</v>
      </c>
      <c r="M21" s="22" t="s">
        <v>57</v>
      </c>
      <c r="N21" s="22" t="s">
        <v>58</v>
      </c>
      <c r="O21" s="22">
        <v>1500.0</v>
      </c>
      <c r="P21" s="22">
        <v>1800.0</v>
      </c>
      <c r="Q21" s="22" t="s">
        <v>59</v>
      </c>
      <c r="R21" s="22" t="s">
        <v>58</v>
      </c>
      <c r="S21" s="22" t="s">
        <v>58</v>
      </c>
      <c r="T21" s="24" t="s">
        <v>290</v>
      </c>
      <c r="U21" s="24" t="s">
        <v>291</v>
      </c>
      <c r="V21" s="22" t="s">
        <v>61</v>
      </c>
      <c r="W21" s="22" t="s">
        <v>58</v>
      </c>
      <c r="X21" s="22" t="s">
        <v>58</v>
      </c>
      <c r="Y21" s="22" t="s">
        <v>58</v>
      </c>
      <c r="Z21" s="22" t="s">
        <v>58</v>
      </c>
      <c r="AA21" s="22" t="s">
        <v>58</v>
      </c>
      <c r="AB21" s="22" t="s">
        <v>58</v>
      </c>
      <c r="AC21" s="22" t="s">
        <v>58</v>
      </c>
      <c r="AD21" s="22" t="s">
        <v>58</v>
      </c>
      <c r="AE21" s="22" t="s">
        <v>61</v>
      </c>
      <c r="AF21" s="22" t="s">
        <v>61</v>
      </c>
      <c r="AG21" s="22" t="s">
        <v>58</v>
      </c>
      <c r="AH21" s="22">
        <v>100.0</v>
      </c>
      <c r="AI21" s="22">
        <v>5000.0</v>
      </c>
      <c r="AJ21" s="22">
        <v>100.0</v>
      </c>
      <c r="AK21" s="22">
        <v>0.0</v>
      </c>
      <c r="AL21" s="22"/>
      <c r="AM21" s="22"/>
      <c r="AN21" s="24" t="s">
        <v>65</v>
      </c>
      <c r="AO21" s="22"/>
    </row>
    <row r="22">
      <c r="A22" s="22">
        <v>16.0</v>
      </c>
      <c r="B22" s="22" t="s">
        <v>295</v>
      </c>
      <c r="C22" s="22" t="s">
        <v>296</v>
      </c>
      <c r="D22" s="22" t="s">
        <v>297</v>
      </c>
      <c r="E22" s="22" t="s">
        <v>49</v>
      </c>
      <c r="F22" s="27" t="s">
        <v>298</v>
      </c>
      <c r="G22" s="24" t="s">
        <v>301</v>
      </c>
      <c r="H22" s="22" t="s">
        <v>302</v>
      </c>
      <c r="I22" s="22" t="s">
        <v>303</v>
      </c>
      <c r="J22" s="22" t="s">
        <v>74</v>
      </c>
      <c r="K22" s="22" t="s">
        <v>55</v>
      </c>
      <c r="L22" s="22" t="s">
        <v>56</v>
      </c>
      <c r="M22" s="22" t="s">
        <v>57</v>
      </c>
      <c r="N22" s="22" t="s">
        <v>58</v>
      </c>
      <c r="O22" s="22">
        <v>1000.0</v>
      </c>
      <c r="P22" s="22">
        <v>2000.0</v>
      </c>
      <c r="Q22" s="22" t="s">
        <v>59</v>
      </c>
      <c r="R22" s="22" t="s">
        <v>58</v>
      </c>
      <c r="S22" s="22" t="s">
        <v>58</v>
      </c>
      <c r="T22" s="24" t="s">
        <v>304</v>
      </c>
      <c r="U22" s="22"/>
      <c r="V22" s="22" t="s">
        <v>61</v>
      </c>
      <c r="W22" s="22" t="s">
        <v>58</v>
      </c>
      <c r="X22" s="22" t="s">
        <v>58</v>
      </c>
      <c r="Y22" s="22" t="s">
        <v>58</v>
      </c>
      <c r="Z22" s="22" t="s">
        <v>58</v>
      </c>
      <c r="AA22" s="22" t="s">
        <v>58</v>
      </c>
      <c r="AB22" s="22" t="s">
        <v>58</v>
      </c>
      <c r="AC22" s="22" t="s">
        <v>58</v>
      </c>
      <c r="AD22" s="22" t="s">
        <v>58</v>
      </c>
      <c r="AE22" s="22" t="s">
        <v>61</v>
      </c>
      <c r="AF22" s="22" t="s">
        <v>61</v>
      </c>
      <c r="AG22" s="22" t="s">
        <v>58</v>
      </c>
      <c r="AH22" s="22">
        <v>50.0</v>
      </c>
      <c r="AI22" s="22">
        <v>3000.0</v>
      </c>
      <c r="AJ22" s="22">
        <v>50.0</v>
      </c>
      <c r="AK22" s="22">
        <v>0.0</v>
      </c>
      <c r="AL22" s="22"/>
      <c r="AM22" s="22"/>
      <c r="AN22" s="24" t="s">
        <v>65</v>
      </c>
      <c r="AO22" s="22"/>
    </row>
    <row r="23">
      <c r="A23" s="22">
        <v>17.0</v>
      </c>
      <c r="B23" s="22" t="s">
        <v>307</v>
      </c>
      <c r="C23" s="22" t="s">
        <v>308</v>
      </c>
      <c r="D23" s="22" t="s">
        <v>311</v>
      </c>
      <c r="E23" s="22" t="s">
        <v>49</v>
      </c>
      <c r="F23" s="24" t="s">
        <v>313</v>
      </c>
      <c r="G23" s="24" t="s">
        <v>122</v>
      </c>
      <c r="H23" s="22" t="s">
        <v>314</v>
      </c>
      <c r="I23" s="22" t="s">
        <v>315</v>
      </c>
      <c r="J23" s="22" t="s">
        <v>74</v>
      </c>
      <c r="K23" s="22" t="s">
        <v>55</v>
      </c>
      <c r="L23" s="22" t="s">
        <v>56</v>
      </c>
      <c r="M23" s="22" t="s">
        <v>57</v>
      </c>
      <c r="N23" s="22" t="s">
        <v>58</v>
      </c>
      <c r="O23" s="22">
        <v>1400.0</v>
      </c>
      <c r="P23" s="22">
        <v>1500.0</v>
      </c>
      <c r="Q23" s="22" t="s">
        <v>59</v>
      </c>
      <c r="R23" s="22" t="s">
        <v>58</v>
      </c>
      <c r="S23" s="22" t="s">
        <v>58</v>
      </c>
      <c r="T23" s="24" t="s">
        <v>317</v>
      </c>
      <c r="U23" s="24" t="s">
        <v>319</v>
      </c>
      <c r="V23" s="22" t="s">
        <v>61</v>
      </c>
      <c r="W23" s="22" t="s">
        <v>58</v>
      </c>
      <c r="X23" s="22" t="s">
        <v>58</v>
      </c>
      <c r="Y23" s="22" t="s">
        <v>58</v>
      </c>
      <c r="Z23" s="22" t="s">
        <v>58</v>
      </c>
      <c r="AA23" s="22" t="s">
        <v>58</v>
      </c>
      <c r="AB23" s="22" t="s">
        <v>58</v>
      </c>
      <c r="AC23" s="22" t="s">
        <v>58</v>
      </c>
      <c r="AD23" s="22" t="s">
        <v>58</v>
      </c>
      <c r="AE23" s="22" t="s">
        <v>61</v>
      </c>
      <c r="AF23" s="22" t="s">
        <v>61</v>
      </c>
      <c r="AG23" s="22" t="s">
        <v>58</v>
      </c>
      <c r="AH23" s="22">
        <v>100.0</v>
      </c>
      <c r="AI23" s="22">
        <v>5000.0</v>
      </c>
      <c r="AJ23" s="22">
        <v>100.0</v>
      </c>
      <c r="AK23" s="22">
        <v>0.0</v>
      </c>
      <c r="AL23" s="22"/>
      <c r="AM23" s="22"/>
      <c r="AN23" s="24" t="s">
        <v>65</v>
      </c>
      <c r="AO23" s="22"/>
    </row>
    <row r="24" ht="45.0" customHeight="1">
      <c r="A24" s="22">
        <v>18.0</v>
      </c>
      <c r="B24" s="22" t="s">
        <v>276</v>
      </c>
      <c r="C24" s="22" t="s">
        <v>277</v>
      </c>
      <c r="D24" s="22" t="s">
        <v>278</v>
      </c>
      <c r="E24" s="22" t="s">
        <v>49</v>
      </c>
      <c r="F24" s="27" t="s">
        <v>279</v>
      </c>
      <c r="G24" s="24" t="s">
        <v>327</v>
      </c>
      <c r="H24" s="22" t="s">
        <v>75</v>
      </c>
      <c r="I24" s="22" t="s">
        <v>76</v>
      </c>
      <c r="J24" s="22" t="s">
        <v>76</v>
      </c>
      <c r="K24" s="22" t="s">
        <v>55</v>
      </c>
      <c r="L24" s="22" t="s">
        <v>56</v>
      </c>
      <c r="M24" s="22" t="s">
        <v>57</v>
      </c>
      <c r="N24" s="22" t="s">
        <v>58</v>
      </c>
      <c r="O24" s="22">
        <v>1100.0</v>
      </c>
      <c r="P24" s="22">
        <v>1150.0</v>
      </c>
      <c r="Q24" s="22" t="s">
        <v>59</v>
      </c>
      <c r="R24" s="22" t="s">
        <v>58</v>
      </c>
      <c r="S24" s="22" t="s">
        <v>58</v>
      </c>
      <c r="T24" s="24" t="s">
        <v>329</v>
      </c>
      <c r="U24" s="24" t="s">
        <v>330</v>
      </c>
      <c r="V24" s="22" t="s">
        <v>61</v>
      </c>
      <c r="W24" s="22" t="s">
        <v>58</v>
      </c>
      <c r="X24" s="22" t="s">
        <v>58</v>
      </c>
      <c r="Y24" s="22" t="s">
        <v>58</v>
      </c>
      <c r="Z24" s="22" t="s">
        <v>58</v>
      </c>
      <c r="AA24" s="22" t="s">
        <v>58</v>
      </c>
      <c r="AB24" s="22" t="s">
        <v>58</v>
      </c>
      <c r="AC24" s="22" t="s">
        <v>58</v>
      </c>
      <c r="AD24" s="22" t="s">
        <v>58</v>
      </c>
      <c r="AE24" s="22" t="s">
        <v>61</v>
      </c>
      <c r="AF24" s="22" t="s">
        <v>61</v>
      </c>
      <c r="AG24" s="22" t="s">
        <v>58</v>
      </c>
      <c r="AH24" s="22">
        <v>30.0</v>
      </c>
      <c r="AI24" s="22">
        <v>2000.0</v>
      </c>
      <c r="AJ24" s="22">
        <v>30.0</v>
      </c>
      <c r="AK24" s="22">
        <v>0.0</v>
      </c>
      <c r="AL24" s="22"/>
      <c r="AM24" s="22"/>
      <c r="AN24" s="24" t="s">
        <v>65</v>
      </c>
      <c r="AO24" s="22"/>
    </row>
    <row r="25" ht="31.5" customHeight="1">
      <c r="A25" s="22">
        <v>19.0</v>
      </c>
      <c r="B25" s="22" t="s">
        <v>337</v>
      </c>
      <c r="C25" s="22" t="s">
        <v>339</v>
      </c>
      <c r="D25" s="22" t="s">
        <v>341</v>
      </c>
      <c r="E25" s="22" t="s">
        <v>49</v>
      </c>
      <c r="F25" s="27" t="s">
        <v>345</v>
      </c>
      <c r="G25" s="24" t="s">
        <v>350</v>
      </c>
      <c r="H25" s="22" t="s">
        <v>123</v>
      </c>
      <c r="I25" s="22" t="s">
        <v>124</v>
      </c>
      <c r="J25" s="22" t="s">
        <v>74</v>
      </c>
      <c r="K25" s="22" t="s">
        <v>55</v>
      </c>
      <c r="L25" s="22" t="s">
        <v>56</v>
      </c>
      <c r="M25" s="22" t="s">
        <v>57</v>
      </c>
      <c r="N25" s="22" t="s">
        <v>58</v>
      </c>
      <c r="O25" s="22">
        <v>1600.0</v>
      </c>
      <c r="P25" s="22">
        <v>1800.0</v>
      </c>
      <c r="Q25" s="22" t="s">
        <v>351</v>
      </c>
      <c r="R25" s="22" t="s">
        <v>58</v>
      </c>
      <c r="S25" s="22" t="s">
        <v>58</v>
      </c>
      <c r="T25" s="24" t="s">
        <v>352</v>
      </c>
      <c r="U25" s="24" t="s">
        <v>353</v>
      </c>
      <c r="V25" s="22" t="s">
        <v>61</v>
      </c>
      <c r="W25" s="22" t="s">
        <v>61</v>
      </c>
      <c r="X25" s="22" t="s">
        <v>58</v>
      </c>
      <c r="Y25" s="22" t="s">
        <v>58</v>
      </c>
      <c r="Z25" s="22" t="s">
        <v>58</v>
      </c>
      <c r="AA25" s="22" t="s">
        <v>61</v>
      </c>
      <c r="AB25" s="22" t="s">
        <v>58</v>
      </c>
      <c r="AC25" s="22" t="s">
        <v>58</v>
      </c>
      <c r="AD25" s="22" t="s">
        <v>58</v>
      </c>
      <c r="AE25" s="22" t="s">
        <v>61</v>
      </c>
      <c r="AF25" s="22" t="s">
        <v>61</v>
      </c>
      <c r="AG25" s="22" t="s">
        <v>58</v>
      </c>
      <c r="AH25" s="22">
        <v>100.0</v>
      </c>
      <c r="AI25" s="22">
        <v>2000.0</v>
      </c>
      <c r="AJ25" s="22">
        <v>100.0</v>
      </c>
      <c r="AK25" s="22">
        <v>0.0</v>
      </c>
      <c r="AL25" s="22"/>
      <c r="AM25" s="22"/>
      <c r="AN25" s="24" t="s">
        <v>65</v>
      </c>
      <c r="AO25" s="22"/>
    </row>
    <row r="26" ht="15.75" customHeight="1">
      <c r="A26" s="22">
        <v>20.0</v>
      </c>
      <c r="B26" s="22" t="s">
        <v>358</v>
      </c>
      <c r="C26" s="22" t="s">
        <v>359</v>
      </c>
      <c r="D26" s="24" t="s">
        <v>360</v>
      </c>
      <c r="E26" s="22" t="s">
        <v>49</v>
      </c>
      <c r="F26" s="24" t="s">
        <v>69</v>
      </c>
      <c r="G26" s="24" t="s">
        <v>69</v>
      </c>
      <c r="H26" s="22" t="s">
        <v>361</v>
      </c>
      <c r="I26" s="22" t="s">
        <v>362</v>
      </c>
      <c r="J26" s="22" t="s">
        <v>74</v>
      </c>
      <c r="K26" s="22" t="s">
        <v>55</v>
      </c>
      <c r="L26" s="22" t="s">
        <v>56</v>
      </c>
      <c r="M26" s="22" t="s">
        <v>57</v>
      </c>
      <c r="N26" s="22" t="s">
        <v>58</v>
      </c>
      <c r="O26" s="22">
        <v>200.0</v>
      </c>
      <c r="P26" s="22"/>
      <c r="Q26" s="22" t="s">
        <v>59</v>
      </c>
      <c r="R26" s="22" t="s">
        <v>58</v>
      </c>
      <c r="S26" s="22" t="s">
        <v>58</v>
      </c>
      <c r="T26" s="22"/>
      <c r="U26" s="22"/>
      <c r="V26" s="22" t="s">
        <v>61</v>
      </c>
      <c r="W26" s="22" t="s">
        <v>58</v>
      </c>
      <c r="X26" s="22" t="s">
        <v>58</v>
      </c>
      <c r="Y26" s="22" t="s">
        <v>58</v>
      </c>
      <c r="Z26" s="22" t="s">
        <v>58</v>
      </c>
      <c r="AA26" s="22" t="s">
        <v>58</v>
      </c>
      <c r="AB26" s="22" t="s">
        <v>58</v>
      </c>
      <c r="AC26" s="22" t="s">
        <v>58</v>
      </c>
      <c r="AD26" s="22" t="s">
        <v>58</v>
      </c>
      <c r="AE26" s="22" t="s">
        <v>61</v>
      </c>
      <c r="AF26" s="22" t="s">
        <v>61</v>
      </c>
      <c r="AG26" s="22" t="s">
        <v>58</v>
      </c>
      <c r="AH26" s="22">
        <v>50.0</v>
      </c>
      <c r="AI26" s="22">
        <v>3000.0</v>
      </c>
      <c r="AJ26" s="22">
        <v>50.0</v>
      </c>
      <c r="AK26" s="22">
        <v>0.0</v>
      </c>
      <c r="AL26" s="22"/>
      <c r="AM26" s="22"/>
      <c r="AN26" s="24" t="s">
        <v>65</v>
      </c>
      <c r="AO26" s="22"/>
    </row>
    <row r="27" ht="15.75" customHeight="1">
      <c r="A27" s="22">
        <v>21.0</v>
      </c>
      <c r="B27" s="22" t="s">
        <v>371</v>
      </c>
      <c r="C27" s="22" t="s">
        <v>372</v>
      </c>
      <c r="D27" s="22" t="s">
        <v>373</v>
      </c>
      <c r="E27" s="22" t="s">
        <v>49</v>
      </c>
      <c r="F27" s="24" t="s">
        <v>374</v>
      </c>
      <c r="G27" s="24" t="s">
        <v>122</v>
      </c>
      <c r="H27" s="22" t="s">
        <v>123</v>
      </c>
      <c r="I27" s="22" t="s">
        <v>124</v>
      </c>
      <c r="J27" s="22" t="s">
        <v>74</v>
      </c>
      <c r="K27" s="22" t="s">
        <v>55</v>
      </c>
      <c r="L27" s="22" t="s">
        <v>56</v>
      </c>
      <c r="M27" s="22" t="s">
        <v>57</v>
      </c>
      <c r="N27" s="22" t="s">
        <v>58</v>
      </c>
      <c r="O27" s="22">
        <v>1100.0</v>
      </c>
      <c r="P27" s="22"/>
      <c r="Q27" s="22" t="s">
        <v>59</v>
      </c>
      <c r="R27" s="22" t="s">
        <v>58</v>
      </c>
      <c r="S27" s="22" t="s">
        <v>58</v>
      </c>
      <c r="T27" s="24" t="s">
        <v>378</v>
      </c>
      <c r="U27" s="24" t="s">
        <v>379</v>
      </c>
      <c r="V27" s="22" t="s">
        <v>61</v>
      </c>
      <c r="W27" s="22" t="s">
        <v>58</v>
      </c>
      <c r="X27" s="22" t="s">
        <v>58</v>
      </c>
      <c r="Y27" s="22" t="s">
        <v>58</v>
      </c>
      <c r="Z27" s="22" t="s">
        <v>58</v>
      </c>
      <c r="AA27" s="22" t="s">
        <v>58</v>
      </c>
      <c r="AB27" s="22" t="s">
        <v>58</v>
      </c>
      <c r="AC27" s="22" t="s">
        <v>58</v>
      </c>
      <c r="AD27" s="22" t="s">
        <v>58</v>
      </c>
      <c r="AE27" s="22" t="s">
        <v>61</v>
      </c>
      <c r="AF27" s="22" t="s">
        <v>61</v>
      </c>
      <c r="AG27" s="22" t="s">
        <v>58</v>
      </c>
      <c r="AH27" s="22">
        <v>20.0</v>
      </c>
      <c r="AI27" s="22">
        <v>200.0</v>
      </c>
      <c r="AJ27" s="22">
        <v>20.0</v>
      </c>
      <c r="AK27" s="22">
        <v>0.0</v>
      </c>
      <c r="AL27" s="22"/>
      <c r="AM27" s="22"/>
      <c r="AN27" s="24" t="s">
        <v>65</v>
      </c>
      <c r="AO27" s="22"/>
    </row>
    <row r="28" ht="29.25" customHeight="1">
      <c r="A28" s="22">
        <v>22.0</v>
      </c>
      <c r="B28" s="22" t="s">
        <v>383</v>
      </c>
      <c r="C28" s="22" t="s">
        <v>384</v>
      </c>
      <c r="D28" s="22" t="s">
        <v>386</v>
      </c>
      <c r="E28" s="22" t="s">
        <v>49</v>
      </c>
      <c r="F28" s="24" t="s">
        <v>387</v>
      </c>
      <c r="G28" s="24" t="s">
        <v>388</v>
      </c>
      <c r="H28" s="22" t="s">
        <v>389</v>
      </c>
      <c r="I28" s="22" t="s">
        <v>390</v>
      </c>
      <c r="J28" s="22" t="s">
        <v>390</v>
      </c>
      <c r="K28" s="22" t="s">
        <v>55</v>
      </c>
      <c r="L28" s="22" t="s">
        <v>56</v>
      </c>
      <c r="M28" s="22" t="s">
        <v>57</v>
      </c>
      <c r="N28" s="22" t="s">
        <v>58</v>
      </c>
      <c r="O28" s="22">
        <v>700.0</v>
      </c>
      <c r="P28" s="22">
        <v>700.0</v>
      </c>
      <c r="Q28" s="22" t="s">
        <v>59</v>
      </c>
      <c r="R28" s="22" t="s">
        <v>58</v>
      </c>
      <c r="S28" s="22" t="s">
        <v>58</v>
      </c>
      <c r="T28" s="24" t="s">
        <v>392</v>
      </c>
      <c r="U28" s="22"/>
      <c r="V28" s="22" t="s">
        <v>61</v>
      </c>
      <c r="W28" s="22" t="s">
        <v>58</v>
      </c>
      <c r="X28" s="22" t="s">
        <v>58</v>
      </c>
      <c r="Y28" s="22" t="s">
        <v>58</v>
      </c>
      <c r="Z28" s="22" t="s">
        <v>58</v>
      </c>
      <c r="AA28" s="22" t="s">
        <v>58</v>
      </c>
      <c r="AB28" s="22" t="s">
        <v>58</v>
      </c>
      <c r="AC28" s="22" t="s">
        <v>58</v>
      </c>
      <c r="AD28" s="22" t="s">
        <v>58</v>
      </c>
      <c r="AE28" s="22" t="s">
        <v>61</v>
      </c>
      <c r="AF28" s="22" t="s">
        <v>61</v>
      </c>
      <c r="AG28" s="22" t="s">
        <v>58</v>
      </c>
      <c r="AH28" s="22">
        <v>50.0</v>
      </c>
      <c r="AI28" s="22">
        <v>5000.0</v>
      </c>
      <c r="AJ28" s="22">
        <v>50.0</v>
      </c>
      <c r="AK28" s="22">
        <v>0.0</v>
      </c>
      <c r="AL28" s="22"/>
      <c r="AM28" s="22"/>
      <c r="AN28" s="24" t="s">
        <v>65</v>
      </c>
      <c r="AO28" s="22"/>
    </row>
    <row r="29" ht="15.75" customHeight="1">
      <c r="A29" s="22">
        <v>23.0</v>
      </c>
      <c r="B29" s="22" t="s">
        <v>399</v>
      </c>
      <c r="C29" s="22" t="s">
        <v>400</v>
      </c>
      <c r="D29" s="22" t="s">
        <v>401</v>
      </c>
      <c r="E29" s="22" t="s">
        <v>49</v>
      </c>
      <c r="F29" s="27" t="s">
        <v>402</v>
      </c>
      <c r="G29" s="24">
        <v>9.650565232E9</v>
      </c>
      <c r="H29" s="22" t="s">
        <v>407</v>
      </c>
      <c r="I29" s="22" t="s">
        <v>408</v>
      </c>
      <c r="J29" s="22" t="s">
        <v>74</v>
      </c>
      <c r="K29" s="22" t="s">
        <v>55</v>
      </c>
      <c r="L29" s="22" t="s">
        <v>56</v>
      </c>
      <c r="M29" s="22" t="s">
        <v>57</v>
      </c>
      <c r="N29" s="22" t="s">
        <v>58</v>
      </c>
      <c r="O29" s="22">
        <v>1500.0</v>
      </c>
      <c r="P29" s="22"/>
      <c r="Q29" s="22" t="s">
        <v>59</v>
      </c>
      <c r="R29" s="22" t="s">
        <v>58</v>
      </c>
      <c r="S29" s="22" t="s">
        <v>58</v>
      </c>
      <c r="T29" s="22" t="s">
        <v>275</v>
      </c>
      <c r="U29" s="22"/>
      <c r="V29" s="22" t="s">
        <v>61</v>
      </c>
      <c r="W29" s="22" t="s">
        <v>58</v>
      </c>
      <c r="X29" s="22" t="s">
        <v>58</v>
      </c>
      <c r="Y29" s="22" t="s">
        <v>58</v>
      </c>
      <c r="Z29" s="22" t="s">
        <v>58</v>
      </c>
      <c r="AA29" s="22" t="s">
        <v>58</v>
      </c>
      <c r="AB29" s="22" t="s">
        <v>58</v>
      </c>
      <c r="AC29" s="22" t="s">
        <v>58</v>
      </c>
      <c r="AD29" s="22" t="s">
        <v>58</v>
      </c>
      <c r="AE29" s="22" t="s">
        <v>61</v>
      </c>
      <c r="AF29" s="22" t="s">
        <v>61</v>
      </c>
      <c r="AG29" s="22" t="s">
        <v>58</v>
      </c>
      <c r="AH29" s="22">
        <v>1500.0</v>
      </c>
      <c r="AI29" s="22">
        <v>5000.0</v>
      </c>
      <c r="AJ29" s="22">
        <v>1500.0</v>
      </c>
      <c r="AK29" s="22">
        <v>0.0</v>
      </c>
      <c r="AL29" s="22"/>
      <c r="AM29" s="22"/>
      <c r="AN29" s="24" t="s">
        <v>65</v>
      </c>
      <c r="AO29" s="22"/>
    </row>
    <row r="30" ht="15.75" customHeight="1">
      <c r="A30" s="22">
        <v>24.0</v>
      </c>
      <c r="B30" s="22" t="s">
        <v>411</v>
      </c>
      <c r="C30" s="22" t="s">
        <v>412</v>
      </c>
      <c r="D30" s="24" t="s">
        <v>413</v>
      </c>
      <c r="E30" s="22" t="s">
        <v>49</v>
      </c>
      <c r="F30" s="24" t="s">
        <v>69</v>
      </c>
      <c r="G30" s="24" t="s">
        <v>414</v>
      </c>
      <c r="H30" s="22" t="s">
        <v>415</v>
      </c>
      <c r="I30" s="22" t="s">
        <v>416</v>
      </c>
      <c r="J30" s="22" t="s">
        <v>74</v>
      </c>
      <c r="K30" s="22" t="s">
        <v>55</v>
      </c>
      <c r="L30" s="22" t="s">
        <v>56</v>
      </c>
      <c r="M30" s="22" t="s">
        <v>57</v>
      </c>
      <c r="N30" s="22" t="s">
        <v>58</v>
      </c>
      <c r="O30" s="22">
        <v>1400.0</v>
      </c>
      <c r="P30" s="22">
        <v>1400.0</v>
      </c>
      <c r="Q30" s="22" t="s">
        <v>59</v>
      </c>
      <c r="R30" s="22" t="s">
        <v>58</v>
      </c>
      <c r="S30" s="22" t="s">
        <v>58</v>
      </c>
      <c r="T30" s="22"/>
      <c r="U30" s="22"/>
      <c r="V30" s="22" t="s">
        <v>61</v>
      </c>
      <c r="W30" s="22" t="s">
        <v>58</v>
      </c>
      <c r="X30" s="22" t="s">
        <v>58</v>
      </c>
      <c r="Y30" s="22" t="s">
        <v>58</v>
      </c>
      <c r="Z30" s="22" t="s">
        <v>58</v>
      </c>
      <c r="AA30" s="22" t="s">
        <v>58</v>
      </c>
      <c r="AB30" s="22" t="s">
        <v>58</v>
      </c>
      <c r="AC30" s="22" t="s">
        <v>58</v>
      </c>
      <c r="AD30" s="22" t="s">
        <v>58</v>
      </c>
      <c r="AE30" s="22" t="s">
        <v>61</v>
      </c>
      <c r="AF30" s="22" t="s">
        <v>61</v>
      </c>
      <c r="AG30" s="22" t="s">
        <v>58</v>
      </c>
      <c r="AH30" s="22">
        <v>25.0</v>
      </c>
      <c r="AI30" s="22">
        <v>5000.0</v>
      </c>
      <c r="AJ30" s="22">
        <v>25.0</v>
      </c>
      <c r="AK30" s="22">
        <v>0.0</v>
      </c>
      <c r="AL30" s="22"/>
      <c r="AM30" s="22"/>
      <c r="AN30" s="24" t="s">
        <v>65</v>
      </c>
      <c r="AO30" s="22"/>
    </row>
    <row r="31" ht="15.75" customHeight="1">
      <c r="A31" s="22">
        <v>25.0</v>
      </c>
      <c r="B31" s="22" t="s">
        <v>128</v>
      </c>
      <c r="C31" s="22" t="s">
        <v>129</v>
      </c>
      <c r="D31" s="22" t="s">
        <v>130</v>
      </c>
      <c r="E31" s="22" t="s">
        <v>49</v>
      </c>
      <c r="F31" s="27" t="s">
        <v>131</v>
      </c>
      <c r="G31" s="24" t="s">
        <v>427</v>
      </c>
      <c r="H31" s="22" t="s">
        <v>142</v>
      </c>
      <c r="I31" s="22" t="s">
        <v>144</v>
      </c>
      <c r="J31" s="22" t="s">
        <v>74</v>
      </c>
      <c r="K31" s="22" t="s">
        <v>55</v>
      </c>
      <c r="L31" s="22" t="s">
        <v>56</v>
      </c>
      <c r="M31" s="22" t="s">
        <v>57</v>
      </c>
      <c r="N31" s="22" t="s">
        <v>58</v>
      </c>
      <c r="O31" s="22">
        <v>1600.0</v>
      </c>
      <c r="P31" s="22">
        <v>1900.0</v>
      </c>
      <c r="Q31" s="22" t="s">
        <v>59</v>
      </c>
      <c r="R31" s="22" t="s">
        <v>58</v>
      </c>
      <c r="S31" s="22" t="s">
        <v>58</v>
      </c>
      <c r="T31" s="24" t="s">
        <v>428</v>
      </c>
      <c r="U31" s="22"/>
      <c r="V31" s="22" t="s">
        <v>61</v>
      </c>
      <c r="W31" s="22" t="s">
        <v>58</v>
      </c>
      <c r="X31" s="22" t="s">
        <v>58</v>
      </c>
      <c r="Y31" s="22" t="s">
        <v>58</v>
      </c>
      <c r="Z31" s="22" t="s">
        <v>58</v>
      </c>
      <c r="AA31" s="22" t="s">
        <v>58</v>
      </c>
      <c r="AB31" s="22" t="s">
        <v>58</v>
      </c>
      <c r="AC31" s="22" t="s">
        <v>58</v>
      </c>
      <c r="AD31" s="22" t="s">
        <v>58</v>
      </c>
      <c r="AE31" s="22" t="s">
        <v>61</v>
      </c>
      <c r="AF31" s="22" t="s">
        <v>61</v>
      </c>
      <c r="AG31" s="22" t="s">
        <v>58</v>
      </c>
      <c r="AH31" s="22">
        <v>50.0</v>
      </c>
      <c r="AI31" s="22">
        <v>2000.0</v>
      </c>
      <c r="AJ31" s="22">
        <v>50.0</v>
      </c>
      <c r="AK31" s="22">
        <v>0.0</v>
      </c>
      <c r="AL31" s="22"/>
      <c r="AM31" s="22"/>
      <c r="AN31" s="24" t="s">
        <v>65</v>
      </c>
      <c r="AO31" s="22"/>
    </row>
    <row r="32" ht="15.75" customHeight="1">
      <c r="A32" s="22">
        <v>26.0</v>
      </c>
      <c r="B32" s="22" t="s">
        <v>93</v>
      </c>
      <c r="C32" s="22" t="s">
        <v>94</v>
      </c>
      <c r="D32" s="22" t="s">
        <v>95</v>
      </c>
      <c r="E32" s="22" t="s">
        <v>49</v>
      </c>
      <c r="F32" s="42" t="s">
        <v>430</v>
      </c>
      <c r="G32" s="24" t="s">
        <v>439</v>
      </c>
      <c r="H32" s="22" t="s">
        <v>107</v>
      </c>
      <c r="I32" s="22" t="s">
        <v>109</v>
      </c>
      <c r="J32" s="22" t="s">
        <v>74</v>
      </c>
      <c r="K32" s="22" t="s">
        <v>55</v>
      </c>
      <c r="L32" s="22" t="s">
        <v>56</v>
      </c>
      <c r="M32" s="22" t="s">
        <v>57</v>
      </c>
      <c r="N32" s="22" t="s">
        <v>58</v>
      </c>
      <c r="O32" s="22">
        <v>1000.0</v>
      </c>
      <c r="P32" s="22"/>
      <c r="Q32" s="22" t="s">
        <v>59</v>
      </c>
      <c r="R32" s="22" t="s">
        <v>58</v>
      </c>
      <c r="S32" s="22" t="s">
        <v>58</v>
      </c>
      <c r="T32" s="22"/>
      <c r="U32" s="22"/>
      <c r="V32" s="22" t="s">
        <v>61</v>
      </c>
      <c r="W32" s="22" t="s">
        <v>58</v>
      </c>
      <c r="X32" s="22" t="s">
        <v>58</v>
      </c>
      <c r="Y32" s="22" t="s">
        <v>58</v>
      </c>
      <c r="Z32" s="22" t="s">
        <v>58</v>
      </c>
      <c r="AA32" s="22" t="s">
        <v>58</v>
      </c>
      <c r="AB32" s="22" t="s">
        <v>58</v>
      </c>
      <c r="AC32" s="22" t="s">
        <v>58</v>
      </c>
      <c r="AD32" s="22" t="s">
        <v>58</v>
      </c>
      <c r="AE32" s="22" t="s">
        <v>61</v>
      </c>
      <c r="AF32" s="22" t="s">
        <v>61</v>
      </c>
      <c r="AG32" s="22" t="s">
        <v>58</v>
      </c>
      <c r="AH32" s="22">
        <v>100.0</v>
      </c>
      <c r="AI32" s="22">
        <v>50000.0</v>
      </c>
      <c r="AJ32" s="22">
        <v>100.0</v>
      </c>
      <c r="AK32" s="22">
        <v>0.0</v>
      </c>
      <c r="AL32" s="22"/>
      <c r="AM32" s="22"/>
      <c r="AN32" s="24" t="s">
        <v>65</v>
      </c>
      <c r="AO32" s="22"/>
    </row>
    <row r="33" ht="30.0" customHeight="1">
      <c r="A33" s="22">
        <v>27.0</v>
      </c>
      <c r="B33" s="22" t="s">
        <v>444</v>
      </c>
      <c r="C33" s="22" t="s">
        <v>445</v>
      </c>
      <c r="D33" s="22" t="s">
        <v>446</v>
      </c>
      <c r="E33" s="22" t="s">
        <v>49</v>
      </c>
      <c r="F33" s="24" t="s">
        <v>447</v>
      </c>
      <c r="G33" s="24" t="s">
        <v>448</v>
      </c>
      <c r="H33" s="22" t="s">
        <v>449</v>
      </c>
      <c r="I33" s="22" t="s">
        <v>450</v>
      </c>
      <c r="J33" s="22" t="s">
        <v>74</v>
      </c>
      <c r="K33" s="22" t="s">
        <v>55</v>
      </c>
      <c r="L33" s="22" t="s">
        <v>56</v>
      </c>
      <c r="M33" s="22" t="s">
        <v>57</v>
      </c>
      <c r="N33" s="22" t="s">
        <v>58</v>
      </c>
      <c r="O33" s="22">
        <v>1500.0</v>
      </c>
      <c r="P33" s="22">
        <v>2000.0</v>
      </c>
      <c r="Q33" s="22" t="s">
        <v>59</v>
      </c>
      <c r="R33" s="22" t="s">
        <v>58</v>
      </c>
      <c r="S33" s="22" t="s">
        <v>58</v>
      </c>
      <c r="T33" s="24" t="s">
        <v>451</v>
      </c>
      <c r="U33" s="22"/>
      <c r="V33" s="22" t="s">
        <v>61</v>
      </c>
      <c r="W33" s="22" t="s">
        <v>58</v>
      </c>
      <c r="X33" s="22" t="s">
        <v>58</v>
      </c>
      <c r="Y33" s="22" t="s">
        <v>58</v>
      </c>
      <c r="Z33" s="22" t="s">
        <v>58</v>
      </c>
      <c r="AA33" s="22" t="s">
        <v>58</v>
      </c>
      <c r="AB33" s="22" t="s">
        <v>58</v>
      </c>
      <c r="AC33" s="22" t="s">
        <v>58</v>
      </c>
      <c r="AD33" s="22" t="s">
        <v>58</v>
      </c>
      <c r="AE33" s="22" t="s">
        <v>61</v>
      </c>
      <c r="AF33" s="22" t="s">
        <v>61</v>
      </c>
      <c r="AG33" s="22" t="s">
        <v>58</v>
      </c>
      <c r="AH33" s="22">
        <v>50.0</v>
      </c>
      <c r="AI33" s="22">
        <v>2000.0</v>
      </c>
      <c r="AJ33" s="22">
        <v>50.0</v>
      </c>
      <c r="AK33" s="22">
        <v>0.0</v>
      </c>
      <c r="AL33" s="22"/>
      <c r="AM33" s="22"/>
      <c r="AN33" s="24" t="s">
        <v>65</v>
      </c>
      <c r="AO33" s="22"/>
    </row>
    <row r="34" ht="15.75" customHeight="1">
      <c r="A34" s="22">
        <v>28.0</v>
      </c>
      <c r="B34" s="22" t="s">
        <v>64</v>
      </c>
      <c r="C34" s="22" t="s">
        <v>66</v>
      </c>
      <c r="D34" s="22" t="s">
        <v>67</v>
      </c>
      <c r="E34" s="22" t="s">
        <v>49</v>
      </c>
      <c r="F34" s="24" t="s">
        <v>454</v>
      </c>
      <c r="G34" s="24">
        <v>7.947429474E9</v>
      </c>
      <c r="H34" s="22" t="s">
        <v>72</v>
      </c>
      <c r="I34" s="22" t="s">
        <v>73</v>
      </c>
      <c r="J34" s="22" t="s">
        <v>74</v>
      </c>
      <c r="K34" s="22" t="s">
        <v>55</v>
      </c>
      <c r="L34" s="22" t="s">
        <v>56</v>
      </c>
      <c r="M34" s="22" t="s">
        <v>57</v>
      </c>
      <c r="N34" s="22" t="s">
        <v>58</v>
      </c>
      <c r="O34" s="22">
        <v>2999.0</v>
      </c>
      <c r="P34" s="22">
        <v>2999.0</v>
      </c>
      <c r="Q34" s="22" t="s">
        <v>59</v>
      </c>
      <c r="R34" s="22" t="s">
        <v>58</v>
      </c>
      <c r="S34" s="22" t="s">
        <v>58</v>
      </c>
      <c r="T34" s="22"/>
      <c r="U34" s="22"/>
      <c r="V34" s="22" t="s">
        <v>61</v>
      </c>
      <c r="W34" s="22" t="s">
        <v>58</v>
      </c>
      <c r="X34" s="22" t="s">
        <v>58</v>
      </c>
      <c r="Y34" s="22" t="s">
        <v>58</v>
      </c>
      <c r="Z34" s="22" t="s">
        <v>58</v>
      </c>
      <c r="AA34" s="22" t="s">
        <v>58</v>
      </c>
      <c r="AB34" s="22" t="s">
        <v>58</v>
      </c>
      <c r="AC34" s="22" t="s">
        <v>58</v>
      </c>
      <c r="AD34" s="22" t="s">
        <v>58</v>
      </c>
      <c r="AE34" s="22" t="s">
        <v>61</v>
      </c>
      <c r="AF34" s="22" t="s">
        <v>61</v>
      </c>
      <c r="AG34" s="22" t="s">
        <v>58</v>
      </c>
      <c r="AH34" s="22">
        <v>50.0</v>
      </c>
      <c r="AI34" s="22">
        <v>1500.0</v>
      </c>
      <c r="AJ34" s="22">
        <v>50.0</v>
      </c>
      <c r="AK34" s="22">
        <v>0.0</v>
      </c>
      <c r="AL34" s="22"/>
      <c r="AM34" s="22"/>
      <c r="AN34" s="24" t="s">
        <v>65</v>
      </c>
      <c r="AO34" s="22"/>
    </row>
    <row r="35" ht="15.75" customHeight="1">
      <c r="A35" s="22">
        <v>29.0</v>
      </c>
      <c r="B35" s="22" t="s">
        <v>456</v>
      </c>
      <c r="C35" s="22" t="s">
        <v>457</v>
      </c>
      <c r="D35" s="22" t="s">
        <v>458</v>
      </c>
      <c r="E35" s="22" t="s">
        <v>49</v>
      </c>
      <c r="F35" s="24" t="s">
        <v>459</v>
      </c>
      <c r="G35" s="24" t="s">
        <v>460</v>
      </c>
      <c r="H35" s="22" t="s">
        <v>123</v>
      </c>
      <c r="I35" s="22" t="s">
        <v>124</v>
      </c>
      <c r="J35" s="22" t="s">
        <v>74</v>
      </c>
      <c r="K35" s="22" t="s">
        <v>55</v>
      </c>
      <c r="L35" s="22" t="s">
        <v>56</v>
      </c>
      <c r="M35" s="22" t="s">
        <v>57</v>
      </c>
      <c r="N35" s="22" t="s">
        <v>58</v>
      </c>
      <c r="O35" s="22">
        <v>1200.0</v>
      </c>
      <c r="P35" s="22">
        <v>1200.0</v>
      </c>
      <c r="Q35" s="22" t="s">
        <v>59</v>
      </c>
      <c r="R35" s="22" t="s">
        <v>58</v>
      </c>
      <c r="S35" s="22" t="s">
        <v>61</v>
      </c>
      <c r="T35" s="24" t="s">
        <v>461</v>
      </c>
      <c r="U35" s="24" t="s">
        <v>462</v>
      </c>
      <c r="V35" s="22" t="s">
        <v>61</v>
      </c>
      <c r="W35" s="22" t="s">
        <v>58</v>
      </c>
      <c r="X35" s="22" t="s">
        <v>58</v>
      </c>
      <c r="Y35" s="22" t="s">
        <v>58</v>
      </c>
      <c r="Z35" s="22" t="s">
        <v>58</v>
      </c>
      <c r="AA35" s="22" t="s">
        <v>58</v>
      </c>
      <c r="AB35" s="22" t="s">
        <v>58</v>
      </c>
      <c r="AC35" s="22" t="s">
        <v>58</v>
      </c>
      <c r="AD35" s="22" t="s">
        <v>58</v>
      </c>
      <c r="AE35" s="22" t="s">
        <v>61</v>
      </c>
      <c r="AF35" s="22" t="s">
        <v>61</v>
      </c>
      <c r="AG35" s="22" t="s">
        <v>58</v>
      </c>
      <c r="AH35" s="22">
        <v>50.0</v>
      </c>
      <c r="AI35" s="22">
        <v>1000.0</v>
      </c>
      <c r="AJ35" s="22">
        <v>50.0</v>
      </c>
      <c r="AK35" s="22">
        <v>0.0</v>
      </c>
      <c r="AL35" s="22"/>
      <c r="AM35" s="22"/>
      <c r="AN35" s="24" t="s">
        <v>65</v>
      </c>
      <c r="AO35" s="22"/>
    </row>
    <row r="36" ht="15.75" customHeight="1">
      <c r="A36" s="22">
        <v>30.0</v>
      </c>
      <c r="B36" s="22" t="s">
        <v>467</v>
      </c>
      <c r="C36" s="22" t="s">
        <v>468</v>
      </c>
      <c r="D36" s="22" t="s">
        <v>469</v>
      </c>
      <c r="E36" s="22" t="s">
        <v>49</v>
      </c>
      <c r="F36" s="24" t="s">
        <v>470</v>
      </c>
      <c r="G36" s="24" t="s">
        <v>122</v>
      </c>
      <c r="H36" s="22" t="s">
        <v>472</v>
      </c>
      <c r="I36" s="22" t="s">
        <v>473</v>
      </c>
      <c r="J36" s="22" t="s">
        <v>74</v>
      </c>
      <c r="K36" s="22" t="s">
        <v>55</v>
      </c>
      <c r="L36" s="22" t="s">
        <v>56</v>
      </c>
      <c r="M36" s="22" t="s">
        <v>57</v>
      </c>
      <c r="N36" s="22" t="s">
        <v>58</v>
      </c>
      <c r="O36" s="22">
        <v>1600.0</v>
      </c>
      <c r="P36" s="22">
        <v>1700.0</v>
      </c>
      <c r="Q36" s="22" t="s">
        <v>59</v>
      </c>
      <c r="R36" s="22" t="s">
        <v>58</v>
      </c>
      <c r="S36" s="22" t="s">
        <v>58</v>
      </c>
      <c r="T36" s="22" t="s">
        <v>275</v>
      </c>
      <c r="U36" s="22"/>
      <c r="V36" s="22" t="s">
        <v>61</v>
      </c>
      <c r="W36" s="22" t="s">
        <v>58</v>
      </c>
      <c r="X36" s="22" t="s">
        <v>58</v>
      </c>
      <c r="Y36" s="22" t="s">
        <v>58</v>
      </c>
      <c r="Z36" s="22" t="s">
        <v>58</v>
      </c>
      <c r="AA36" s="22" t="s">
        <v>58</v>
      </c>
      <c r="AB36" s="22" t="s">
        <v>58</v>
      </c>
      <c r="AC36" s="22" t="s">
        <v>58</v>
      </c>
      <c r="AD36" s="22" t="s">
        <v>58</v>
      </c>
      <c r="AE36" s="22" t="s">
        <v>61</v>
      </c>
      <c r="AF36" s="22" t="s">
        <v>61</v>
      </c>
      <c r="AG36" s="22" t="s">
        <v>58</v>
      </c>
      <c r="AH36" s="22">
        <v>40.0</v>
      </c>
      <c r="AI36" s="22">
        <v>800.0</v>
      </c>
      <c r="AJ36" s="22">
        <v>40.0</v>
      </c>
      <c r="AK36" s="22">
        <v>0.0</v>
      </c>
      <c r="AL36" s="22"/>
      <c r="AM36" s="22"/>
      <c r="AN36" s="24" t="s">
        <v>65</v>
      </c>
      <c r="AO36" s="22"/>
    </row>
    <row r="37" ht="30.0" customHeight="1">
      <c r="A37" s="22">
        <v>31.0</v>
      </c>
      <c r="B37" s="22" t="s">
        <v>475</v>
      </c>
      <c r="C37" s="22" t="s">
        <v>476</v>
      </c>
      <c r="D37" s="22" t="s">
        <v>477</v>
      </c>
      <c r="E37" s="22" t="s">
        <v>49</v>
      </c>
      <c r="F37" s="24" t="s">
        <v>478</v>
      </c>
      <c r="G37" s="24" t="s">
        <v>122</v>
      </c>
      <c r="H37" s="22" t="s">
        <v>123</v>
      </c>
      <c r="I37" s="22" t="s">
        <v>124</v>
      </c>
      <c r="J37" s="22" t="s">
        <v>74</v>
      </c>
      <c r="K37" s="22" t="s">
        <v>55</v>
      </c>
      <c r="L37" s="22" t="s">
        <v>56</v>
      </c>
      <c r="M37" s="22" t="s">
        <v>57</v>
      </c>
      <c r="N37" s="22" t="s">
        <v>58</v>
      </c>
      <c r="O37" s="22">
        <v>750.0</v>
      </c>
      <c r="P37" s="22">
        <v>850.0</v>
      </c>
      <c r="Q37" s="22" t="s">
        <v>59</v>
      </c>
      <c r="R37" s="22" t="s">
        <v>58</v>
      </c>
      <c r="S37" s="22" t="s">
        <v>58</v>
      </c>
      <c r="T37" s="24" t="s">
        <v>485</v>
      </c>
      <c r="U37" s="24" t="s">
        <v>487</v>
      </c>
      <c r="V37" s="22" t="s">
        <v>61</v>
      </c>
      <c r="W37" s="22" t="s">
        <v>58</v>
      </c>
      <c r="X37" s="22" t="s">
        <v>58</v>
      </c>
      <c r="Y37" s="22" t="s">
        <v>58</v>
      </c>
      <c r="Z37" s="22" t="s">
        <v>58</v>
      </c>
      <c r="AA37" s="22" t="s">
        <v>58</v>
      </c>
      <c r="AB37" s="22" t="s">
        <v>58</v>
      </c>
      <c r="AC37" s="22" t="s">
        <v>58</v>
      </c>
      <c r="AD37" s="22" t="s">
        <v>58</v>
      </c>
      <c r="AE37" s="22" t="s">
        <v>61</v>
      </c>
      <c r="AF37" s="22" t="s">
        <v>61</v>
      </c>
      <c r="AG37" s="22" t="s">
        <v>58</v>
      </c>
      <c r="AH37" s="22">
        <v>200.0</v>
      </c>
      <c r="AI37" s="22">
        <v>5000.0</v>
      </c>
      <c r="AJ37" s="22">
        <v>200.0</v>
      </c>
      <c r="AK37" s="22">
        <v>0.0</v>
      </c>
      <c r="AL37" s="22"/>
      <c r="AM37" s="22"/>
      <c r="AN37" s="24" t="s">
        <v>65</v>
      </c>
      <c r="AO37" s="22"/>
    </row>
    <row r="38" ht="15.75" customHeight="1">
      <c r="A38" s="22">
        <v>32.0</v>
      </c>
      <c r="B38" s="22" t="s">
        <v>488</v>
      </c>
      <c r="C38" s="22" t="s">
        <v>489</v>
      </c>
      <c r="D38" s="22" t="s">
        <v>490</v>
      </c>
      <c r="E38" s="22" t="s">
        <v>49</v>
      </c>
      <c r="F38" s="24" t="s">
        <v>491</v>
      </c>
      <c r="G38" s="24" t="s">
        <v>122</v>
      </c>
      <c r="H38" s="22" t="s">
        <v>123</v>
      </c>
      <c r="I38" s="22" t="s">
        <v>124</v>
      </c>
      <c r="J38" s="22" t="s">
        <v>74</v>
      </c>
      <c r="K38" s="22" t="s">
        <v>55</v>
      </c>
      <c r="L38" s="22" t="s">
        <v>56</v>
      </c>
      <c r="M38" s="22" t="s">
        <v>57</v>
      </c>
      <c r="N38" s="22" t="s">
        <v>58</v>
      </c>
      <c r="O38" s="22">
        <v>1500.0</v>
      </c>
      <c r="P38" s="22">
        <v>1800.0</v>
      </c>
      <c r="Q38" s="22" t="s">
        <v>59</v>
      </c>
      <c r="R38" s="22" t="s">
        <v>58</v>
      </c>
      <c r="S38" s="22" t="s">
        <v>58</v>
      </c>
      <c r="T38" s="24" t="s">
        <v>492</v>
      </c>
      <c r="U38" s="22"/>
      <c r="V38" s="22" t="s">
        <v>61</v>
      </c>
      <c r="W38" s="22" t="s">
        <v>58</v>
      </c>
      <c r="X38" s="22" t="s">
        <v>58</v>
      </c>
      <c r="Y38" s="22" t="s">
        <v>58</v>
      </c>
      <c r="Z38" s="22" t="s">
        <v>58</v>
      </c>
      <c r="AA38" s="22" t="s">
        <v>58</v>
      </c>
      <c r="AB38" s="22" t="s">
        <v>58</v>
      </c>
      <c r="AC38" s="22" t="s">
        <v>58</v>
      </c>
      <c r="AD38" s="22" t="s">
        <v>58</v>
      </c>
      <c r="AE38" s="22" t="s">
        <v>61</v>
      </c>
      <c r="AF38" s="22" t="s">
        <v>61</v>
      </c>
      <c r="AG38" s="22" t="s">
        <v>58</v>
      </c>
      <c r="AH38" s="22">
        <v>100.0</v>
      </c>
      <c r="AI38" s="22">
        <v>4000.0</v>
      </c>
      <c r="AJ38" s="22">
        <v>100.0</v>
      </c>
      <c r="AK38" s="22">
        <v>0.0</v>
      </c>
      <c r="AL38" s="22"/>
      <c r="AM38" s="22"/>
      <c r="AN38" s="24" t="s">
        <v>65</v>
      </c>
      <c r="AO38" s="22"/>
    </row>
    <row r="39" ht="15.75" customHeight="1">
      <c r="A39" s="22">
        <v>33.0</v>
      </c>
      <c r="B39" s="22" t="s">
        <v>248</v>
      </c>
      <c r="C39" s="22" t="s">
        <v>249</v>
      </c>
      <c r="D39" s="24" t="s">
        <v>502</v>
      </c>
      <c r="E39" s="22" t="s">
        <v>49</v>
      </c>
      <c r="F39" s="24" t="s">
        <v>69</v>
      </c>
      <c r="G39" s="24" t="s">
        <v>503</v>
      </c>
      <c r="H39" s="22" t="s">
        <v>253</v>
      </c>
      <c r="I39" s="22" t="s">
        <v>254</v>
      </c>
      <c r="J39" s="22" t="s">
        <v>254</v>
      </c>
      <c r="K39" s="22" t="s">
        <v>55</v>
      </c>
      <c r="L39" s="22" t="s">
        <v>56</v>
      </c>
      <c r="M39" s="22" t="s">
        <v>57</v>
      </c>
      <c r="N39" s="22" t="s">
        <v>58</v>
      </c>
      <c r="O39" s="22">
        <v>1200.0</v>
      </c>
      <c r="P39" s="22"/>
      <c r="Q39" s="22" t="s">
        <v>59</v>
      </c>
      <c r="R39" s="22" t="s">
        <v>58</v>
      </c>
      <c r="S39" s="22" t="s">
        <v>58</v>
      </c>
      <c r="T39" s="22"/>
      <c r="U39" s="22"/>
      <c r="V39" s="22" t="s">
        <v>61</v>
      </c>
      <c r="W39" s="22" t="s">
        <v>58</v>
      </c>
      <c r="X39" s="22" t="s">
        <v>58</v>
      </c>
      <c r="Y39" s="22" t="s">
        <v>58</v>
      </c>
      <c r="Z39" s="22" t="s">
        <v>58</v>
      </c>
      <c r="AA39" s="22" t="s">
        <v>58</v>
      </c>
      <c r="AB39" s="22" t="s">
        <v>58</v>
      </c>
      <c r="AC39" s="22" t="s">
        <v>58</v>
      </c>
      <c r="AD39" s="22" t="s">
        <v>58</v>
      </c>
      <c r="AE39" s="22" t="s">
        <v>61</v>
      </c>
      <c r="AF39" s="22" t="s">
        <v>61</v>
      </c>
      <c r="AG39" s="22" t="s">
        <v>58</v>
      </c>
      <c r="AH39" s="22">
        <v>100.0</v>
      </c>
      <c r="AI39" s="22">
        <v>5000.0</v>
      </c>
      <c r="AJ39" s="22">
        <v>100.0</v>
      </c>
      <c r="AK39" s="22">
        <v>0.0</v>
      </c>
      <c r="AL39" s="22"/>
      <c r="AM39" s="22"/>
      <c r="AN39" s="24" t="s">
        <v>65</v>
      </c>
      <c r="AO39" s="22"/>
    </row>
    <row r="40" ht="15.75" customHeight="1">
      <c r="A40" s="15">
        <v>34.0</v>
      </c>
      <c r="B40" s="15" t="s">
        <v>505</v>
      </c>
      <c r="C40" s="15" t="s">
        <v>506</v>
      </c>
      <c r="D40" s="16" t="s">
        <v>508</v>
      </c>
      <c r="E40" s="15" t="s">
        <v>49</v>
      </c>
      <c r="F40" s="18" t="s">
        <v>510</v>
      </c>
      <c r="G40" s="16" t="s">
        <v>512</v>
      </c>
      <c r="H40" s="15" t="s">
        <v>513</v>
      </c>
      <c r="I40" s="15" t="s">
        <v>514</v>
      </c>
      <c r="J40" s="15" t="s">
        <v>74</v>
      </c>
      <c r="K40" s="15" t="s">
        <v>55</v>
      </c>
      <c r="L40" s="15" t="s">
        <v>56</v>
      </c>
      <c r="M40" s="15" t="s">
        <v>57</v>
      </c>
      <c r="N40" s="15" t="s">
        <v>58</v>
      </c>
      <c r="O40" s="15">
        <v>550.0</v>
      </c>
      <c r="P40" s="15">
        <v>800.0</v>
      </c>
      <c r="Q40" s="15" t="s">
        <v>59</v>
      </c>
      <c r="R40" s="15" t="s">
        <v>58</v>
      </c>
      <c r="S40" s="15" t="s">
        <v>58</v>
      </c>
      <c r="T40" s="15"/>
      <c r="U40" s="15"/>
      <c r="V40" s="15" t="s">
        <v>61</v>
      </c>
      <c r="W40" s="15" t="s">
        <v>58</v>
      </c>
      <c r="X40" s="15" t="s">
        <v>58</v>
      </c>
      <c r="Y40" s="15" t="s">
        <v>58</v>
      </c>
      <c r="Z40" s="15" t="s">
        <v>58</v>
      </c>
      <c r="AA40" s="15" t="s">
        <v>58</v>
      </c>
      <c r="AB40" s="15" t="s">
        <v>58</v>
      </c>
      <c r="AC40" s="15" t="s">
        <v>58</v>
      </c>
      <c r="AD40" s="15" t="s">
        <v>58</v>
      </c>
      <c r="AE40" s="15" t="s">
        <v>61</v>
      </c>
      <c r="AF40" s="15" t="s">
        <v>61</v>
      </c>
      <c r="AG40" s="15" t="s">
        <v>58</v>
      </c>
      <c r="AH40" s="15">
        <v>250.0</v>
      </c>
      <c r="AI40" s="15">
        <v>5000.0</v>
      </c>
      <c r="AJ40" s="15">
        <v>250.0</v>
      </c>
      <c r="AK40" s="15">
        <v>0.0</v>
      </c>
      <c r="AL40" s="15"/>
      <c r="AM40" s="15"/>
      <c r="AN40" s="16" t="s">
        <v>65</v>
      </c>
      <c r="AO40" s="21">
        <v>2.0</v>
      </c>
    </row>
    <row r="41" ht="15.75" customHeight="1">
      <c r="A41" s="22">
        <v>35.0</v>
      </c>
      <c r="B41" s="22" t="s">
        <v>527</v>
      </c>
      <c r="C41" s="22" t="s">
        <v>528</v>
      </c>
      <c r="D41" s="24" t="s">
        <v>529</v>
      </c>
      <c r="E41" s="22" t="s">
        <v>49</v>
      </c>
      <c r="F41" s="24" t="s">
        <v>69</v>
      </c>
      <c r="G41" s="24" t="s">
        <v>69</v>
      </c>
      <c r="H41" s="22" t="s">
        <v>303</v>
      </c>
      <c r="I41" s="22" t="s">
        <v>303</v>
      </c>
      <c r="J41" s="22" t="s">
        <v>74</v>
      </c>
      <c r="K41" s="22" t="s">
        <v>55</v>
      </c>
      <c r="L41" s="22" t="s">
        <v>56</v>
      </c>
      <c r="M41" s="22" t="s">
        <v>57</v>
      </c>
      <c r="N41" s="22" t="s">
        <v>58</v>
      </c>
      <c r="O41" s="22">
        <v>300.0</v>
      </c>
      <c r="P41" s="22">
        <v>600.0</v>
      </c>
      <c r="Q41" s="22" t="s">
        <v>59</v>
      </c>
      <c r="R41" s="22" t="s">
        <v>58</v>
      </c>
      <c r="S41" s="22" t="s">
        <v>58</v>
      </c>
      <c r="T41" s="22"/>
      <c r="U41" s="22"/>
      <c r="V41" s="22" t="s">
        <v>61</v>
      </c>
      <c r="W41" s="22" t="s">
        <v>58</v>
      </c>
      <c r="X41" s="22" t="s">
        <v>58</v>
      </c>
      <c r="Y41" s="22" t="s">
        <v>58</v>
      </c>
      <c r="Z41" s="22" t="s">
        <v>58</v>
      </c>
      <c r="AA41" s="22" t="s">
        <v>58</v>
      </c>
      <c r="AB41" s="22" t="s">
        <v>58</v>
      </c>
      <c r="AC41" s="22" t="s">
        <v>58</v>
      </c>
      <c r="AD41" s="22" t="s">
        <v>58</v>
      </c>
      <c r="AE41" s="22" t="s">
        <v>61</v>
      </c>
      <c r="AF41" s="22" t="s">
        <v>61</v>
      </c>
      <c r="AG41" s="22" t="s">
        <v>58</v>
      </c>
      <c r="AH41" s="22">
        <v>20.0</v>
      </c>
      <c r="AI41" s="22">
        <v>500.0</v>
      </c>
      <c r="AJ41" s="22">
        <v>20.0</v>
      </c>
      <c r="AK41" s="22">
        <v>0.0</v>
      </c>
      <c r="AL41" s="22"/>
      <c r="AM41" s="22"/>
      <c r="AN41" s="24" t="s">
        <v>65</v>
      </c>
      <c r="AO41" s="22"/>
    </row>
    <row r="42" ht="15.75" customHeight="1">
      <c r="A42" s="22">
        <v>36.0</v>
      </c>
      <c r="B42" s="22" t="s">
        <v>535</v>
      </c>
      <c r="C42" s="22" t="s">
        <v>536</v>
      </c>
      <c r="D42" s="24" t="s">
        <v>537</v>
      </c>
      <c r="E42" s="22" t="s">
        <v>49</v>
      </c>
      <c r="F42" s="24" t="s">
        <v>69</v>
      </c>
      <c r="G42" s="24" t="s">
        <v>539</v>
      </c>
      <c r="H42" s="22" t="s">
        <v>53</v>
      </c>
      <c r="I42" s="22" t="s">
        <v>54</v>
      </c>
      <c r="J42" s="22" t="s">
        <v>54</v>
      </c>
      <c r="K42" s="22" t="s">
        <v>55</v>
      </c>
      <c r="L42" s="22" t="s">
        <v>56</v>
      </c>
      <c r="M42" s="22" t="s">
        <v>57</v>
      </c>
      <c r="N42" s="22" t="s">
        <v>58</v>
      </c>
      <c r="O42" s="22">
        <v>500.0</v>
      </c>
      <c r="P42" s="22">
        <v>600.0</v>
      </c>
      <c r="Q42" s="22" t="s">
        <v>59</v>
      </c>
      <c r="R42" s="22" t="s">
        <v>58</v>
      </c>
      <c r="S42" s="22" t="s">
        <v>58</v>
      </c>
      <c r="T42" s="22"/>
      <c r="U42" s="22"/>
      <c r="V42" s="22" t="s">
        <v>61</v>
      </c>
      <c r="W42" s="22" t="s">
        <v>58</v>
      </c>
      <c r="X42" s="22" t="s">
        <v>58</v>
      </c>
      <c r="Y42" s="22" t="s">
        <v>58</v>
      </c>
      <c r="Z42" s="22" t="s">
        <v>58</v>
      </c>
      <c r="AA42" s="22" t="s">
        <v>58</v>
      </c>
      <c r="AB42" s="22" t="s">
        <v>58</v>
      </c>
      <c r="AC42" s="22" t="s">
        <v>58</v>
      </c>
      <c r="AD42" s="22" t="s">
        <v>58</v>
      </c>
      <c r="AE42" s="22" t="s">
        <v>61</v>
      </c>
      <c r="AF42" s="22" t="s">
        <v>61</v>
      </c>
      <c r="AG42" s="22" t="s">
        <v>58</v>
      </c>
      <c r="AH42" s="22">
        <v>50.0</v>
      </c>
      <c r="AI42" s="22">
        <v>1000.0</v>
      </c>
      <c r="AJ42" s="22">
        <v>50.0</v>
      </c>
      <c r="AK42" s="22">
        <v>0.0</v>
      </c>
      <c r="AL42" s="22"/>
      <c r="AM42" s="22"/>
      <c r="AN42" s="24" t="s">
        <v>65</v>
      </c>
      <c r="AO42" s="22"/>
    </row>
    <row r="43" ht="15.75" customHeight="1">
      <c r="A43" s="22">
        <v>37.0</v>
      </c>
      <c r="B43" s="22" t="s">
        <v>543</v>
      </c>
      <c r="C43" s="22" t="s">
        <v>544</v>
      </c>
      <c r="D43" s="22" t="s">
        <v>545</v>
      </c>
      <c r="E43" s="22" t="s">
        <v>49</v>
      </c>
      <c r="F43" s="24" t="s">
        <v>546</v>
      </c>
      <c r="G43" s="24" t="s">
        <v>122</v>
      </c>
      <c r="H43" s="22" t="s">
        <v>123</v>
      </c>
      <c r="I43" s="22" t="s">
        <v>124</v>
      </c>
      <c r="J43" s="22" t="s">
        <v>74</v>
      </c>
      <c r="K43" s="22" t="s">
        <v>55</v>
      </c>
      <c r="L43" s="22" t="s">
        <v>56</v>
      </c>
      <c r="M43" s="22" t="s">
        <v>57</v>
      </c>
      <c r="N43" s="22" t="s">
        <v>58</v>
      </c>
      <c r="O43" s="22">
        <v>1500.0</v>
      </c>
      <c r="P43" s="22">
        <v>1700.0</v>
      </c>
      <c r="Q43" s="22" t="s">
        <v>59</v>
      </c>
      <c r="R43" s="22" t="s">
        <v>58</v>
      </c>
      <c r="S43" s="22" t="s">
        <v>58</v>
      </c>
      <c r="T43" s="24" t="s">
        <v>549</v>
      </c>
      <c r="U43" s="22"/>
      <c r="V43" s="22" t="s">
        <v>61</v>
      </c>
      <c r="W43" s="22" t="s">
        <v>58</v>
      </c>
      <c r="X43" s="22" t="s">
        <v>58</v>
      </c>
      <c r="Y43" s="22" t="s">
        <v>58</v>
      </c>
      <c r="Z43" s="22" t="s">
        <v>58</v>
      </c>
      <c r="AA43" s="22" t="s">
        <v>58</v>
      </c>
      <c r="AB43" s="22" t="s">
        <v>58</v>
      </c>
      <c r="AC43" s="22" t="s">
        <v>58</v>
      </c>
      <c r="AD43" s="22" t="s">
        <v>58</v>
      </c>
      <c r="AE43" s="22" t="s">
        <v>61</v>
      </c>
      <c r="AF43" s="22" t="s">
        <v>61</v>
      </c>
      <c r="AG43" s="22" t="s">
        <v>58</v>
      </c>
      <c r="AH43" s="22">
        <v>50.0</v>
      </c>
      <c r="AI43" s="22">
        <v>5000.0</v>
      </c>
      <c r="AJ43" s="22">
        <v>50.0</v>
      </c>
      <c r="AK43" s="22">
        <v>0.0</v>
      </c>
      <c r="AL43" s="22"/>
      <c r="AM43" s="22"/>
      <c r="AN43" s="24" t="s">
        <v>65</v>
      </c>
      <c r="AO43" s="22"/>
    </row>
    <row r="44" ht="15.75" customHeight="1">
      <c r="A44" s="22">
        <v>38.0</v>
      </c>
      <c r="B44" s="22" t="s">
        <v>322</v>
      </c>
      <c r="C44" s="22" t="s">
        <v>323</v>
      </c>
      <c r="D44" s="24" t="s">
        <v>324</v>
      </c>
      <c r="E44" s="22" t="s">
        <v>49</v>
      </c>
      <c r="F44" s="24" t="s">
        <v>69</v>
      </c>
      <c r="G44" s="24" t="s">
        <v>69</v>
      </c>
      <c r="H44" s="22" t="s">
        <v>325</v>
      </c>
      <c r="I44" s="22" t="s">
        <v>326</v>
      </c>
      <c r="J44" s="22" t="s">
        <v>326</v>
      </c>
      <c r="K44" s="22" t="s">
        <v>55</v>
      </c>
      <c r="L44" s="22" t="s">
        <v>56</v>
      </c>
      <c r="M44" s="22" t="s">
        <v>57</v>
      </c>
      <c r="N44" s="22" t="s">
        <v>58</v>
      </c>
      <c r="O44" s="22">
        <v>3000.0</v>
      </c>
      <c r="P44" s="22">
        <v>800.0</v>
      </c>
      <c r="Q44" s="22" t="s">
        <v>59</v>
      </c>
      <c r="R44" s="22" t="s">
        <v>58</v>
      </c>
      <c r="S44" s="22" t="s">
        <v>58</v>
      </c>
      <c r="T44" s="22"/>
      <c r="U44" s="22"/>
      <c r="V44" s="22" t="s">
        <v>61</v>
      </c>
      <c r="W44" s="22" t="s">
        <v>58</v>
      </c>
      <c r="X44" s="22" t="s">
        <v>58</v>
      </c>
      <c r="Y44" s="22" t="s">
        <v>58</v>
      </c>
      <c r="Z44" s="22" t="s">
        <v>58</v>
      </c>
      <c r="AA44" s="22" t="s">
        <v>58</v>
      </c>
      <c r="AB44" s="22" t="s">
        <v>58</v>
      </c>
      <c r="AC44" s="22" t="s">
        <v>58</v>
      </c>
      <c r="AD44" s="22" t="s">
        <v>58</v>
      </c>
      <c r="AE44" s="22" t="s">
        <v>61</v>
      </c>
      <c r="AF44" s="22" t="s">
        <v>61</v>
      </c>
      <c r="AG44" s="22" t="s">
        <v>58</v>
      </c>
      <c r="AH44" s="22">
        <v>100.0</v>
      </c>
      <c r="AI44" s="22">
        <v>2500.0</v>
      </c>
      <c r="AJ44" s="22">
        <v>100.0</v>
      </c>
      <c r="AK44" s="22">
        <v>0.0</v>
      </c>
      <c r="AL44" s="22"/>
      <c r="AM44" s="22"/>
      <c r="AN44" s="24" t="s">
        <v>65</v>
      </c>
      <c r="AO44" s="22"/>
    </row>
    <row r="45" ht="15.75" customHeight="1">
      <c r="A45" s="15">
        <v>39.0</v>
      </c>
      <c r="B45" s="15" t="s">
        <v>557</v>
      </c>
      <c r="C45" s="15" t="s">
        <v>558</v>
      </c>
      <c r="D45" s="16" t="s">
        <v>559</v>
      </c>
      <c r="E45" s="15" t="s">
        <v>49</v>
      </c>
      <c r="F45" s="18" t="s">
        <v>560</v>
      </c>
      <c r="G45" s="16" t="s">
        <v>564</v>
      </c>
      <c r="H45" s="15" t="s">
        <v>303</v>
      </c>
      <c r="I45" s="15" t="s">
        <v>303</v>
      </c>
      <c r="J45" s="15" t="s">
        <v>74</v>
      </c>
      <c r="K45" s="15" t="s">
        <v>55</v>
      </c>
      <c r="L45" s="15" t="s">
        <v>56</v>
      </c>
      <c r="M45" s="15" t="s">
        <v>57</v>
      </c>
      <c r="N45" s="15" t="s">
        <v>58</v>
      </c>
      <c r="O45" s="15">
        <v>5500.0</v>
      </c>
      <c r="P45" s="15">
        <v>6000.0</v>
      </c>
      <c r="Q45" s="15" t="s">
        <v>59</v>
      </c>
      <c r="R45" s="15" t="s">
        <v>58</v>
      </c>
      <c r="S45" s="15" t="s">
        <v>58</v>
      </c>
      <c r="T45" s="15"/>
      <c r="U45" s="15"/>
      <c r="V45" s="15" t="s">
        <v>61</v>
      </c>
      <c r="W45" s="15" t="s">
        <v>58</v>
      </c>
      <c r="X45" s="15" t="s">
        <v>58</v>
      </c>
      <c r="Y45" s="15" t="s">
        <v>58</v>
      </c>
      <c r="Z45" s="15" t="s">
        <v>58</v>
      </c>
      <c r="AA45" s="15" t="s">
        <v>58</v>
      </c>
      <c r="AB45" s="15" t="s">
        <v>58</v>
      </c>
      <c r="AC45" s="15" t="s">
        <v>58</v>
      </c>
      <c r="AD45" s="15" t="s">
        <v>58</v>
      </c>
      <c r="AE45" s="15" t="s">
        <v>61</v>
      </c>
      <c r="AF45" s="15" t="s">
        <v>61</v>
      </c>
      <c r="AG45" s="15" t="s">
        <v>58</v>
      </c>
      <c r="AH45" s="15">
        <v>250.0</v>
      </c>
      <c r="AI45" s="15">
        <v>5000.0</v>
      </c>
      <c r="AJ45" s="15">
        <v>250.0</v>
      </c>
      <c r="AK45" s="15">
        <v>0.0</v>
      </c>
      <c r="AL45" s="15"/>
      <c r="AM45" s="15"/>
      <c r="AN45" s="16" t="s">
        <v>65</v>
      </c>
      <c r="AO45" s="21">
        <v>2.0</v>
      </c>
    </row>
    <row r="46" ht="15.75" customHeight="1">
      <c r="A46" s="22">
        <v>40.0</v>
      </c>
      <c r="B46" s="22" t="s">
        <v>573</v>
      </c>
      <c r="C46" s="22" t="s">
        <v>575</v>
      </c>
      <c r="D46" s="22" t="s">
        <v>576</v>
      </c>
      <c r="E46" s="22" t="s">
        <v>49</v>
      </c>
      <c r="F46" s="42" t="s">
        <v>578</v>
      </c>
      <c r="G46" s="24" t="s">
        <v>585</v>
      </c>
      <c r="H46" s="22" t="s">
        <v>586</v>
      </c>
      <c r="I46" s="22" t="s">
        <v>587</v>
      </c>
      <c r="J46" s="22" t="s">
        <v>74</v>
      </c>
      <c r="K46" s="22" t="s">
        <v>55</v>
      </c>
      <c r="L46" s="22" t="s">
        <v>56</v>
      </c>
      <c r="M46" s="22" t="s">
        <v>57</v>
      </c>
      <c r="N46" s="22" t="s">
        <v>58</v>
      </c>
      <c r="O46" s="22">
        <v>1000.0</v>
      </c>
      <c r="P46" s="22">
        <v>1400.0</v>
      </c>
      <c r="Q46" s="22" t="s">
        <v>59</v>
      </c>
      <c r="R46" s="22" t="s">
        <v>58</v>
      </c>
      <c r="S46" s="22" t="s">
        <v>58</v>
      </c>
      <c r="T46" s="24" t="s">
        <v>589</v>
      </c>
      <c r="U46" s="22"/>
      <c r="V46" s="22" t="s">
        <v>61</v>
      </c>
      <c r="W46" s="22" t="s">
        <v>58</v>
      </c>
      <c r="X46" s="22" t="s">
        <v>58</v>
      </c>
      <c r="Y46" s="22" t="s">
        <v>58</v>
      </c>
      <c r="Z46" s="22" t="s">
        <v>58</v>
      </c>
      <c r="AA46" s="22" t="s">
        <v>58</v>
      </c>
      <c r="AB46" s="22" t="s">
        <v>58</v>
      </c>
      <c r="AC46" s="22" t="s">
        <v>58</v>
      </c>
      <c r="AD46" s="22" t="s">
        <v>58</v>
      </c>
      <c r="AE46" s="22" t="s">
        <v>61</v>
      </c>
      <c r="AF46" s="22" t="s">
        <v>61</v>
      </c>
      <c r="AG46" s="22" t="s">
        <v>58</v>
      </c>
      <c r="AH46" s="22">
        <v>100.0</v>
      </c>
      <c r="AI46" s="22">
        <v>5000.0</v>
      </c>
      <c r="AJ46" s="22">
        <v>100.0</v>
      </c>
      <c r="AK46" s="22">
        <v>0.0</v>
      </c>
      <c r="AL46" s="22"/>
      <c r="AM46" s="22"/>
      <c r="AN46" s="24" t="s">
        <v>65</v>
      </c>
      <c r="AO46" s="22"/>
    </row>
    <row r="47" ht="15.75" customHeight="1">
      <c r="A47" s="15">
        <v>41.0</v>
      </c>
      <c r="B47" s="15" t="s">
        <v>591</v>
      </c>
      <c r="C47" s="15" t="s">
        <v>593</v>
      </c>
      <c r="D47" s="16" t="s">
        <v>594</v>
      </c>
      <c r="E47" s="15" t="s">
        <v>49</v>
      </c>
      <c r="F47" s="18" t="s">
        <v>597</v>
      </c>
      <c r="G47" s="16">
        <v>9.873162965E9</v>
      </c>
      <c r="H47" s="15" t="s">
        <v>142</v>
      </c>
      <c r="I47" s="15" t="s">
        <v>144</v>
      </c>
      <c r="J47" s="15" t="s">
        <v>74</v>
      </c>
      <c r="K47" s="15" t="s">
        <v>55</v>
      </c>
      <c r="L47" s="15" t="s">
        <v>56</v>
      </c>
      <c r="M47" s="15" t="s">
        <v>57</v>
      </c>
      <c r="N47" s="15" t="s">
        <v>58</v>
      </c>
      <c r="O47" s="15">
        <v>3000.0</v>
      </c>
      <c r="P47" s="15"/>
      <c r="Q47" s="15" t="s">
        <v>59</v>
      </c>
      <c r="R47" s="15" t="s">
        <v>58</v>
      </c>
      <c r="S47" s="15" t="s">
        <v>58</v>
      </c>
      <c r="T47" s="15"/>
      <c r="U47" s="15"/>
      <c r="V47" s="15" t="s">
        <v>61</v>
      </c>
      <c r="W47" s="15" t="s">
        <v>58</v>
      </c>
      <c r="X47" s="15" t="s">
        <v>58</v>
      </c>
      <c r="Y47" s="15" t="s">
        <v>58</v>
      </c>
      <c r="Z47" s="15" t="s">
        <v>58</v>
      </c>
      <c r="AA47" s="15" t="s">
        <v>58</v>
      </c>
      <c r="AB47" s="15" t="s">
        <v>58</v>
      </c>
      <c r="AC47" s="15" t="s">
        <v>58</v>
      </c>
      <c r="AD47" s="15" t="s">
        <v>58</v>
      </c>
      <c r="AE47" s="15" t="s">
        <v>61</v>
      </c>
      <c r="AF47" s="15" t="s">
        <v>61</v>
      </c>
      <c r="AG47" s="15" t="s">
        <v>58</v>
      </c>
      <c r="AH47" s="15">
        <v>150.0</v>
      </c>
      <c r="AI47" s="15">
        <v>2500.0</v>
      </c>
      <c r="AJ47" s="15">
        <v>150.0</v>
      </c>
      <c r="AK47" s="15">
        <v>0.0</v>
      </c>
      <c r="AL47" s="15"/>
      <c r="AM47" s="15"/>
      <c r="AN47" s="16" t="s">
        <v>65</v>
      </c>
      <c r="AO47" s="21">
        <v>2.0</v>
      </c>
    </row>
    <row r="48" ht="15.75" customHeight="1">
      <c r="A48" s="15">
        <v>42.0</v>
      </c>
      <c r="B48" s="15" t="s">
        <v>463</v>
      </c>
      <c r="C48" s="15" t="s">
        <v>464</v>
      </c>
      <c r="D48" s="16" t="s">
        <v>610</v>
      </c>
      <c r="E48" s="15" t="s">
        <v>49</v>
      </c>
      <c r="F48" s="18" t="s">
        <v>466</v>
      </c>
      <c r="G48" s="16" t="s">
        <v>611</v>
      </c>
      <c r="H48" s="15" t="s">
        <v>53</v>
      </c>
      <c r="I48" s="15" t="s">
        <v>54</v>
      </c>
      <c r="J48" s="15" t="s">
        <v>54</v>
      </c>
      <c r="K48" s="15" t="s">
        <v>55</v>
      </c>
      <c r="L48" s="15" t="s">
        <v>56</v>
      </c>
      <c r="M48" s="15" t="s">
        <v>57</v>
      </c>
      <c r="N48" s="15" t="s">
        <v>58</v>
      </c>
      <c r="O48" s="15">
        <v>1500.0</v>
      </c>
      <c r="P48" s="15">
        <v>1800.0</v>
      </c>
      <c r="Q48" s="15" t="s">
        <v>59</v>
      </c>
      <c r="R48" s="15" t="s">
        <v>58</v>
      </c>
      <c r="S48" s="15" t="s">
        <v>58</v>
      </c>
      <c r="T48" s="15"/>
      <c r="U48" s="15"/>
      <c r="V48" s="15" t="s">
        <v>61</v>
      </c>
      <c r="W48" s="15" t="s">
        <v>58</v>
      </c>
      <c r="X48" s="15" t="s">
        <v>58</v>
      </c>
      <c r="Y48" s="15" t="s">
        <v>58</v>
      </c>
      <c r="Z48" s="15" t="s">
        <v>58</v>
      </c>
      <c r="AA48" s="15" t="s">
        <v>58</v>
      </c>
      <c r="AB48" s="15" t="s">
        <v>58</v>
      </c>
      <c r="AC48" s="15" t="s">
        <v>58</v>
      </c>
      <c r="AD48" s="15" t="s">
        <v>58</v>
      </c>
      <c r="AE48" s="15" t="s">
        <v>61</v>
      </c>
      <c r="AF48" s="15" t="s">
        <v>61</v>
      </c>
      <c r="AG48" s="15" t="s">
        <v>58</v>
      </c>
      <c r="AH48" s="15">
        <v>25.0</v>
      </c>
      <c r="AI48" s="15">
        <v>5000.0</v>
      </c>
      <c r="AJ48" s="15">
        <v>25.0</v>
      </c>
      <c r="AK48" s="15">
        <v>0.0</v>
      </c>
      <c r="AL48" s="15"/>
      <c r="AM48" s="15"/>
      <c r="AN48" s="16" t="s">
        <v>65</v>
      </c>
      <c r="AO48" s="21">
        <v>2.0</v>
      </c>
    </row>
    <row r="49" ht="15.75" customHeight="1">
      <c r="A49" s="22">
        <v>43.0</v>
      </c>
      <c r="B49" s="22" t="s">
        <v>619</v>
      </c>
      <c r="C49" s="22" t="s">
        <v>620</v>
      </c>
      <c r="D49" s="22" t="s">
        <v>621</v>
      </c>
      <c r="E49" s="22" t="s">
        <v>49</v>
      </c>
      <c r="F49" s="27" t="s">
        <v>622</v>
      </c>
      <c r="G49" s="24" t="s">
        <v>625</v>
      </c>
      <c r="H49" s="22" t="s">
        <v>626</v>
      </c>
      <c r="I49" s="22" t="s">
        <v>627</v>
      </c>
      <c r="J49" s="22" t="s">
        <v>74</v>
      </c>
      <c r="K49" s="22" t="s">
        <v>55</v>
      </c>
      <c r="L49" s="22" t="s">
        <v>56</v>
      </c>
      <c r="M49" s="22" t="s">
        <v>57</v>
      </c>
      <c r="N49" s="22" t="s">
        <v>58</v>
      </c>
      <c r="O49" s="22">
        <v>5000.0</v>
      </c>
      <c r="P49" s="22"/>
      <c r="Q49" s="22" t="s">
        <v>59</v>
      </c>
      <c r="R49" s="22" t="s">
        <v>58</v>
      </c>
      <c r="S49" s="22" t="s">
        <v>58</v>
      </c>
      <c r="T49" s="22"/>
      <c r="U49" s="22"/>
      <c r="V49" s="22" t="s">
        <v>61</v>
      </c>
      <c r="W49" s="22" t="s">
        <v>58</v>
      </c>
      <c r="X49" s="22" t="s">
        <v>58</v>
      </c>
      <c r="Y49" s="22" t="s">
        <v>58</v>
      </c>
      <c r="Z49" s="22" t="s">
        <v>58</v>
      </c>
      <c r="AA49" s="22" t="s">
        <v>58</v>
      </c>
      <c r="AB49" s="22" t="s">
        <v>58</v>
      </c>
      <c r="AC49" s="22" t="s">
        <v>58</v>
      </c>
      <c r="AD49" s="22" t="s">
        <v>58</v>
      </c>
      <c r="AE49" s="22" t="s">
        <v>61</v>
      </c>
      <c r="AF49" s="22" t="s">
        <v>61</v>
      </c>
      <c r="AG49" s="22" t="s">
        <v>58</v>
      </c>
      <c r="AH49" s="22">
        <v>50.0</v>
      </c>
      <c r="AI49" s="22">
        <v>3000.0</v>
      </c>
      <c r="AJ49" s="22">
        <v>50.0</v>
      </c>
      <c r="AK49" s="22">
        <v>0.0</v>
      </c>
      <c r="AL49" s="22"/>
      <c r="AM49" s="22"/>
      <c r="AN49" s="24" t="s">
        <v>65</v>
      </c>
      <c r="AO49" s="22"/>
    </row>
    <row r="50" ht="15.75" customHeight="1">
      <c r="A50" s="22">
        <v>44.0</v>
      </c>
      <c r="B50" s="22" t="s">
        <v>635</v>
      </c>
      <c r="C50" s="22" t="s">
        <v>636</v>
      </c>
      <c r="D50" s="22" t="s">
        <v>637</v>
      </c>
      <c r="E50" s="22" t="s">
        <v>49</v>
      </c>
      <c r="F50" s="27" t="s">
        <v>638</v>
      </c>
      <c r="G50" s="24" t="s">
        <v>642</v>
      </c>
      <c r="H50" s="22" t="s">
        <v>303</v>
      </c>
      <c r="I50" s="22" t="s">
        <v>303</v>
      </c>
      <c r="J50" s="22" t="s">
        <v>74</v>
      </c>
      <c r="K50" s="22" t="s">
        <v>55</v>
      </c>
      <c r="L50" s="22" t="s">
        <v>56</v>
      </c>
      <c r="M50" s="22" t="s">
        <v>57</v>
      </c>
      <c r="N50" s="22" t="s">
        <v>58</v>
      </c>
      <c r="O50" s="22">
        <v>1100.0</v>
      </c>
      <c r="P50" s="22">
        <v>1300.0</v>
      </c>
      <c r="Q50" s="22" t="s">
        <v>59</v>
      </c>
      <c r="R50" s="22" t="s">
        <v>58</v>
      </c>
      <c r="S50" s="22" t="s">
        <v>58</v>
      </c>
      <c r="T50" s="22"/>
      <c r="U50" s="22"/>
      <c r="V50" s="22" t="s">
        <v>61</v>
      </c>
      <c r="W50" s="22" t="s">
        <v>58</v>
      </c>
      <c r="X50" s="22" t="s">
        <v>58</v>
      </c>
      <c r="Y50" s="22" t="s">
        <v>58</v>
      </c>
      <c r="Z50" s="22" t="s">
        <v>58</v>
      </c>
      <c r="AA50" s="22" t="s">
        <v>58</v>
      </c>
      <c r="AB50" s="22" t="s">
        <v>58</v>
      </c>
      <c r="AC50" s="22" t="s">
        <v>58</v>
      </c>
      <c r="AD50" s="22" t="s">
        <v>58</v>
      </c>
      <c r="AE50" s="22" t="s">
        <v>61</v>
      </c>
      <c r="AF50" s="22" t="s">
        <v>61</v>
      </c>
      <c r="AG50" s="22" t="s">
        <v>58</v>
      </c>
      <c r="AH50" s="22">
        <v>50.0</v>
      </c>
      <c r="AI50" s="22">
        <v>500.0</v>
      </c>
      <c r="AJ50" s="22">
        <v>50.0</v>
      </c>
      <c r="AK50" s="22">
        <v>0.0</v>
      </c>
      <c r="AL50" s="22"/>
      <c r="AM50" s="22"/>
      <c r="AN50" s="24" t="s">
        <v>65</v>
      </c>
      <c r="AO50" s="22"/>
    </row>
    <row r="51" ht="15.75" customHeight="1">
      <c r="A51" s="22">
        <v>45.0</v>
      </c>
      <c r="B51" s="22" t="s">
        <v>420</v>
      </c>
      <c r="C51" s="22" t="s">
        <v>421</v>
      </c>
      <c r="D51" s="24" t="s">
        <v>646</v>
      </c>
      <c r="E51" s="22" t="s">
        <v>49</v>
      </c>
      <c r="F51" s="24" t="s">
        <v>69</v>
      </c>
      <c r="G51" s="24" t="s">
        <v>69</v>
      </c>
      <c r="H51" s="22" t="s">
        <v>75</v>
      </c>
      <c r="I51" s="22" t="s">
        <v>76</v>
      </c>
      <c r="J51" s="22" t="s">
        <v>76</v>
      </c>
      <c r="K51" s="22" t="s">
        <v>55</v>
      </c>
      <c r="L51" s="22" t="s">
        <v>56</v>
      </c>
      <c r="M51" s="22" t="s">
        <v>57</v>
      </c>
      <c r="N51" s="22" t="s">
        <v>58</v>
      </c>
      <c r="O51" s="22">
        <v>1100.0</v>
      </c>
      <c r="P51" s="22">
        <v>1500.0</v>
      </c>
      <c r="Q51" s="22" t="s">
        <v>59</v>
      </c>
      <c r="R51" s="22" t="s">
        <v>58</v>
      </c>
      <c r="S51" s="22" t="s">
        <v>58</v>
      </c>
      <c r="T51" s="22"/>
      <c r="U51" s="22"/>
      <c r="V51" s="22" t="s">
        <v>61</v>
      </c>
      <c r="W51" s="22" t="s">
        <v>58</v>
      </c>
      <c r="X51" s="22" t="s">
        <v>58</v>
      </c>
      <c r="Y51" s="22" t="s">
        <v>58</v>
      </c>
      <c r="Z51" s="22" t="s">
        <v>58</v>
      </c>
      <c r="AA51" s="22" t="s">
        <v>58</v>
      </c>
      <c r="AB51" s="22" t="s">
        <v>58</v>
      </c>
      <c r="AC51" s="22" t="s">
        <v>58</v>
      </c>
      <c r="AD51" s="22" t="s">
        <v>58</v>
      </c>
      <c r="AE51" s="22" t="s">
        <v>61</v>
      </c>
      <c r="AF51" s="22" t="s">
        <v>61</v>
      </c>
      <c r="AG51" s="22" t="s">
        <v>58</v>
      </c>
      <c r="AH51" s="22">
        <v>30.0</v>
      </c>
      <c r="AI51" s="22">
        <v>3000.0</v>
      </c>
      <c r="AJ51" s="22">
        <v>30.0</v>
      </c>
      <c r="AK51" s="22">
        <v>0.0</v>
      </c>
      <c r="AL51" s="22"/>
      <c r="AM51" s="22"/>
      <c r="AN51" s="24" t="s">
        <v>65</v>
      </c>
      <c r="AO51" s="22"/>
    </row>
    <row r="52" ht="42.75" customHeight="1">
      <c r="A52" s="22">
        <v>46.0</v>
      </c>
      <c r="B52" s="22" t="s">
        <v>653</v>
      </c>
      <c r="C52" s="22" t="s">
        <v>654</v>
      </c>
      <c r="D52" s="22" t="s">
        <v>655</v>
      </c>
      <c r="E52" s="22" t="s">
        <v>49</v>
      </c>
      <c r="F52" s="27" t="s">
        <v>656</v>
      </c>
      <c r="G52" s="24" t="s">
        <v>666</v>
      </c>
      <c r="H52" s="22" t="s">
        <v>303</v>
      </c>
      <c r="I52" s="22" t="s">
        <v>303</v>
      </c>
      <c r="J52" s="22" t="s">
        <v>74</v>
      </c>
      <c r="K52" s="22" t="s">
        <v>55</v>
      </c>
      <c r="L52" s="22" t="s">
        <v>56</v>
      </c>
      <c r="M52" s="22" t="s">
        <v>57</v>
      </c>
      <c r="N52" s="22" t="s">
        <v>58</v>
      </c>
      <c r="O52" s="22">
        <v>1750.0</v>
      </c>
      <c r="P52" s="22">
        <v>2000.0</v>
      </c>
      <c r="Q52" s="22" t="s">
        <v>59</v>
      </c>
      <c r="R52" s="22" t="s">
        <v>58</v>
      </c>
      <c r="S52" s="22" t="s">
        <v>58</v>
      </c>
      <c r="T52" s="24" t="s">
        <v>667</v>
      </c>
      <c r="U52" s="22"/>
      <c r="V52" s="22" t="s">
        <v>61</v>
      </c>
      <c r="W52" s="22" t="s">
        <v>58</v>
      </c>
      <c r="X52" s="22" t="s">
        <v>58</v>
      </c>
      <c r="Y52" s="22" t="s">
        <v>58</v>
      </c>
      <c r="Z52" s="22" t="s">
        <v>58</v>
      </c>
      <c r="AA52" s="22" t="s">
        <v>58</v>
      </c>
      <c r="AB52" s="22" t="s">
        <v>58</v>
      </c>
      <c r="AC52" s="22" t="s">
        <v>58</v>
      </c>
      <c r="AD52" s="22" t="s">
        <v>58</v>
      </c>
      <c r="AE52" s="22" t="s">
        <v>61</v>
      </c>
      <c r="AF52" s="22" t="s">
        <v>61</v>
      </c>
      <c r="AG52" s="22" t="s">
        <v>58</v>
      </c>
      <c r="AH52" s="22">
        <v>50.0</v>
      </c>
      <c r="AI52" s="22">
        <v>2000.0</v>
      </c>
      <c r="AJ52" s="22">
        <v>50.0</v>
      </c>
      <c r="AK52" s="22">
        <v>0.0</v>
      </c>
      <c r="AL52" s="22"/>
      <c r="AM52" s="22"/>
      <c r="AN52" s="24" t="s">
        <v>65</v>
      </c>
      <c r="AO52" s="22"/>
    </row>
    <row r="53" ht="15.75" customHeight="1">
      <c r="A53" s="22">
        <v>47.0</v>
      </c>
      <c r="B53" s="22" t="s">
        <v>677</v>
      </c>
      <c r="C53" s="22" t="s">
        <v>678</v>
      </c>
      <c r="D53" s="22" t="s">
        <v>679</v>
      </c>
      <c r="E53" s="22" t="s">
        <v>49</v>
      </c>
      <c r="F53" s="27" t="s">
        <v>680</v>
      </c>
      <c r="G53" s="24" t="s">
        <v>122</v>
      </c>
      <c r="H53" s="22" t="s">
        <v>303</v>
      </c>
      <c r="I53" s="22" t="s">
        <v>303</v>
      </c>
      <c r="J53" s="22" t="s">
        <v>74</v>
      </c>
      <c r="K53" s="22" t="s">
        <v>55</v>
      </c>
      <c r="L53" s="22" t="s">
        <v>56</v>
      </c>
      <c r="M53" s="22" t="s">
        <v>57</v>
      </c>
      <c r="N53" s="22" t="s">
        <v>58</v>
      </c>
      <c r="O53" s="22">
        <v>2800.0</v>
      </c>
      <c r="P53" s="22">
        <v>3000.0</v>
      </c>
      <c r="Q53" s="22" t="s">
        <v>59</v>
      </c>
      <c r="R53" s="22" t="s">
        <v>58</v>
      </c>
      <c r="S53" s="22" t="s">
        <v>58</v>
      </c>
      <c r="T53" s="24" t="s">
        <v>686</v>
      </c>
      <c r="U53" s="22"/>
      <c r="V53" s="22" t="s">
        <v>61</v>
      </c>
      <c r="W53" s="22" t="s">
        <v>58</v>
      </c>
      <c r="X53" s="22" t="s">
        <v>58</v>
      </c>
      <c r="Y53" s="22" t="s">
        <v>58</v>
      </c>
      <c r="Z53" s="22" t="s">
        <v>58</v>
      </c>
      <c r="AA53" s="22" t="s">
        <v>58</v>
      </c>
      <c r="AB53" s="22" t="s">
        <v>58</v>
      </c>
      <c r="AC53" s="22" t="s">
        <v>58</v>
      </c>
      <c r="AD53" s="22" t="s">
        <v>58</v>
      </c>
      <c r="AE53" s="22" t="s">
        <v>61</v>
      </c>
      <c r="AF53" s="22" t="s">
        <v>61</v>
      </c>
      <c r="AG53" s="22" t="s">
        <v>58</v>
      </c>
      <c r="AH53" s="22">
        <v>0.0</v>
      </c>
      <c r="AI53" s="22">
        <v>0.0</v>
      </c>
      <c r="AJ53" s="22">
        <v>0.0</v>
      </c>
      <c r="AK53" s="22">
        <v>0.0</v>
      </c>
      <c r="AL53" s="22"/>
      <c r="AM53" s="22"/>
      <c r="AN53" s="24" t="s">
        <v>65</v>
      </c>
      <c r="AO53" s="22"/>
    </row>
    <row r="54" ht="15.75" customHeight="1">
      <c r="A54" s="22">
        <v>48.0</v>
      </c>
      <c r="B54" s="22" t="s">
        <v>181</v>
      </c>
      <c r="C54" s="22" t="s">
        <v>182</v>
      </c>
      <c r="D54" s="24" t="s">
        <v>688</v>
      </c>
      <c r="E54" s="22" t="s">
        <v>49</v>
      </c>
      <c r="F54" s="27" t="s">
        <v>691</v>
      </c>
      <c r="G54" s="24" t="s">
        <v>69</v>
      </c>
      <c r="H54" s="22" t="s">
        <v>75</v>
      </c>
      <c r="I54" s="22" t="s">
        <v>76</v>
      </c>
      <c r="J54" s="22" t="s">
        <v>76</v>
      </c>
      <c r="K54" s="22" t="s">
        <v>55</v>
      </c>
      <c r="L54" s="22" t="s">
        <v>56</v>
      </c>
      <c r="M54" s="22" t="s">
        <v>57</v>
      </c>
      <c r="N54" s="22" t="s">
        <v>58</v>
      </c>
      <c r="O54" s="22">
        <v>1000.0</v>
      </c>
      <c r="P54" s="22">
        <v>1900.0</v>
      </c>
      <c r="Q54" s="22" t="s">
        <v>59</v>
      </c>
      <c r="R54" s="22" t="s">
        <v>58</v>
      </c>
      <c r="S54" s="22" t="s">
        <v>58</v>
      </c>
      <c r="T54" s="22"/>
      <c r="U54" s="22"/>
      <c r="V54" s="22" t="s">
        <v>61</v>
      </c>
      <c r="W54" s="22" t="s">
        <v>58</v>
      </c>
      <c r="X54" s="22" t="s">
        <v>58</v>
      </c>
      <c r="Y54" s="22" t="s">
        <v>58</v>
      </c>
      <c r="Z54" s="22" t="s">
        <v>58</v>
      </c>
      <c r="AA54" s="22" t="s">
        <v>58</v>
      </c>
      <c r="AB54" s="22" t="s">
        <v>58</v>
      </c>
      <c r="AC54" s="22" t="s">
        <v>58</v>
      </c>
      <c r="AD54" s="22" t="s">
        <v>58</v>
      </c>
      <c r="AE54" s="22" t="s">
        <v>61</v>
      </c>
      <c r="AF54" s="22" t="s">
        <v>61</v>
      </c>
      <c r="AG54" s="22" t="s">
        <v>58</v>
      </c>
      <c r="AH54" s="22">
        <v>20.0</v>
      </c>
      <c r="AI54" s="22">
        <v>500.0</v>
      </c>
      <c r="AJ54" s="22">
        <v>20.0</v>
      </c>
      <c r="AK54" s="22">
        <v>0.0</v>
      </c>
      <c r="AL54" s="22"/>
      <c r="AM54" s="22"/>
      <c r="AN54" s="24" t="s">
        <v>65</v>
      </c>
      <c r="AO54" s="22"/>
    </row>
    <row r="55" ht="15.75" customHeight="1">
      <c r="A55" s="22">
        <v>49.0</v>
      </c>
      <c r="B55" s="22" t="s">
        <v>482</v>
      </c>
      <c r="C55" s="22" t="s">
        <v>483</v>
      </c>
      <c r="D55" s="24" t="s">
        <v>703</v>
      </c>
      <c r="E55" s="22" t="s">
        <v>49</v>
      </c>
      <c r="F55" s="24" t="s">
        <v>69</v>
      </c>
      <c r="G55" s="24" t="s">
        <v>704</v>
      </c>
      <c r="H55" s="22" t="s">
        <v>75</v>
      </c>
      <c r="I55" s="22" t="s">
        <v>76</v>
      </c>
      <c r="J55" s="22" t="s">
        <v>76</v>
      </c>
      <c r="K55" s="22" t="s">
        <v>55</v>
      </c>
      <c r="L55" s="22" t="s">
        <v>56</v>
      </c>
      <c r="M55" s="22" t="s">
        <v>57</v>
      </c>
      <c r="N55" s="22" t="s">
        <v>58</v>
      </c>
      <c r="O55" s="22">
        <v>200.0</v>
      </c>
      <c r="P55" s="22">
        <v>200.0</v>
      </c>
      <c r="Q55" s="22" t="s">
        <v>59</v>
      </c>
      <c r="R55" s="22" t="s">
        <v>58</v>
      </c>
      <c r="S55" s="22" t="s">
        <v>58</v>
      </c>
      <c r="T55" s="22"/>
      <c r="U55" s="22"/>
      <c r="V55" s="22" t="s">
        <v>61</v>
      </c>
      <c r="W55" s="22" t="s">
        <v>58</v>
      </c>
      <c r="X55" s="22" t="s">
        <v>58</v>
      </c>
      <c r="Y55" s="22" t="s">
        <v>58</v>
      </c>
      <c r="Z55" s="22" t="s">
        <v>58</v>
      </c>
      <c r="AA55" s="22" t="s">
        <v>58</v>
      </c>
      <c r="AB55" s="22" t="s">
        <v>58</v>
      </c>
      <c r="AC55" s="22" t="s">
        <v>58</v>
      </c>
      <c r="AD55" s="22" t="s">
        <v>58</v>
      </c>
      <c r="AE55" s="22" t="s">
        <v>61</v>
      </c>
      <c r="AF55" s="22" t="s">
        <v>61</v>
      </c>
      <c r="AG55" s="22" t="s">
        <v>58</v>
      </c>
      <c r="AH55" s="22">
        <v>50.0</v>
      </c>
      <c r="AI55" s="22">
        <v>5000.0</v>
      </c>
      <c r="AJ55" s="22">
        <v>50.0</v>
      </c>
      <c r="AK55" s="22">
        <v>0.0</v>
      </c>
      <c r="AL55" s="22"/>
      <c r="AM55" s="22"/>
      <c r="AN55" s="24" t="s">
        <v>65</v>
      </c>
      <c r="AO55" s="22"/>
    </row>
    <row r="56" ht="15.75" customHeight="1">
      <c r="A56" s="22">
        <v>50.0</v>
      </c>
      <c r="B56" s="22" t="s">
        <v>711</v>
      </c>
      <c r="C56" s="22" t="s">
        <v>712</v>
      </c>
      <c r="D56" s="24" t="s">
        <v>713</v>
      </c>
      <c r="E56" s="22" t="s">
        <v>49</v>
      </c>
      <c r="F56" s="22"/>
      <c r="G56" s="24">
        <v>7.947423198E9</v>
      </c>
      <c r="H56" s="22" t="s">
        <v>123</v>
      </c>
      <c r="I56" s="22" t="s">
        <v>124</v>
      </c>
      <c r="J56" s="22" t="s">
        <v>74</v>
      </c>
      <c r="K56" s="22" t="s">
        <v>55</v>
      </c>
      <c r="L56" s="22" t="s">
        <v>56</v>
      </c>
      <c r="M56" s="22" t="s">
        <v>57</v>
      </c>
      <c r="N56" s="22" t="s">
        <v>58</v>
      </c>
      <c r="O56" s="22">
        <v>600.0</v>
      </c>
      <c r="P56" s="22">
        <v>800.0</v>
      </c>
      <c r="Q56" s="22" t="s">
        <v>59</v>
      </c>
      <c r="R56" s="22" t="s">
        <v>58</v>
      </c>
      <c r="S56" s="22" t="s">
        <v>58</v>
      </c>
      <c r="T56" s="22"/>
      <c r="U56" s="22"/>
      <c r="V56" s="22" t="s">
        <v>61</v>
      </c>
      <c r="W56" s="22" t="s">
        <v>58</v>
      </c>
      <c r="X56" s="22" t="s">
        <v>58</v>
      </c>
      <c r="Y56" s="22" t="s">
        <v>58</v>
      </c>
      <c r="Z56" s="22" t="s">
        <v>58</v>
      </c>
      <c r="AA56" s="22" t="s">
        <v>58</v>
      </c>
      <c r="AB56" s="22" t="s">
        <v>58</v>
      </c>
      <c r="AC56" s="22" t="s">
        <v>58</v>
      </c>
      <c r="AD56" s="22" t="s">
        <v>58</v>
      </c>
      <c r="AE56" s="22" t="s">
        <v>61</v>
      </c>
      <c r="AF56" s="22" t="s">
        <v>61</v>
      </c>
      <c r="AG56" s="22" t="s">
        <v>58</v>
      </c>
      <c r="AH56" s="22">
        <v>200.0</v>
      </c>
      <c r="AI56" s="22">
        <v>1500.0</v>
      </c>
      <c r="AJ56" s="22">
        <v>200.0</v>
      </c>
      <c r="AK56" s="22">
        <v>0.0</v>
      </c>
      <c r="AL56" s="22"/>
      <c r="AM56" s="22"/>
      <c r="AN56" s="24" t="s">
        <v>65</v>
      </c>
      <c r="AO56" s="22"/>
    </row>
    <row r="57" ht="15.75" customHeight="1">
      <c r="A57" s="15">
        <v>51.0</v>
      </c>
      <c r="B57" s="15" t="s">
        <v>720</v>
      </c>
      <c r="C57" s="15" t="s">
        <v>722</v>
      </c>
      <c r="D57" s="16" t="s">
        <v>724</v>
      </c>
      <c r="E57" s="15" t="s">
        <v>49</v>
      </c>
      <c r="F57" s="18" t="s">
        <v>725</v>
      </c>
      <c r="G57" s="16" t="s">
        <v>726</v>
      </c>
      <c r="H57" s="15" t="s">
        <v>727</v>
      </c>
      <c r="I57" s="15" t="s">
        <v>729</v>
      </c>
      <c r="J57" s="15" t="s">
        <v>74</v>
      </c>
      <c r="K57" s="15" t="s">
        <v>55</v>
      </c>
      <c r="L57" s="15" t="s">
        <v>56</v>
      </c>
      <c r="M57" s="15" t="s">
        <v>57</v>
      </c>
      <c r="N57" s="15" t="s">
        <v>58</v>
      </c>
      <c r="O57" s="15">
        <v>500.0</v>
      </c>
      <c r="P57" s="15"/>
      <c r="Q57" s="15" t="s">
        <v>59</v>
      </c>
      <c r="R57" s="15" t="s">
        <v>58</v>
      </c>
      <c r="S57" s="15" t="s">
        <v>58</v>
      </c>
      <c r="T57" s="15"/>
      <c r="U57" s="15"/>
      <c r="V57" s="15" t="s">
        <v>61</v>
      </c>
      <c r="W57" s="15" t="s">
        <v>58</v>
      </c>
      <c r="X57" s="15" t="s">
        <v>58</v>
      </c>
      <c r="Y57" s="15" t="s">
        <v>58</v>
      </c>
      <c r="Z57" s="15" t="s">
        <v>58</v>
      </c>
      <c r="AA57" s="15" t="s">
        <v>58</v>
      </c>
      <c r="AB57" s="15" t="s">
        <v>58</v>
      </c>
      <c r="AC57" s="15" t="s">
        <v>58</v>
      </c>
      <c r="AD57" s="15" t="s">
        <v>58</v>
      </c>
      <c r="AE57" s="15" t="s">
        <v>61</v>
      </c>
      <c r="AF57" s="15" t="s">
        <v>61</v>
      </c>
      <c r="AG57" s="15" t="s">
        <v>58</v>
      </c>
      <c r="AH57" s="15">
        <v>5000.0</v>
      </c>
      <c r="AI57" s="15">
        <v>100.0</v>
      </c>
      <c r="AJ57" s="15">
        <v>5000.0</v>
      </c>
      <c r="AK57" s="15">
        <v>0.0</v>
      </c>
      <c r="AL57" s="15"/>
      <c r="AM57" s="15"/>
      <c r="AN57" s="16" t="s">
        <v>65</v>
      </c>
      <c r="AO57" s="21">
        <v>2.0</v>
      </c>
    </row>
    <row r="58" ht="15.75" customHeight="1">
      <c r="A58" s="22">
        <v>52.0</v>
      </c>
      <c r="B58" s="22" t="s">
        <v>734</v>
      </c>
      <c r="C58" s="22" t="s">
        <v>735</v>
      </c>
      <c r="D58" s="24" t="s">
        <v>736</v>
      </c>
      <c r="E58" s="22" t="s">
        <v>49</v>
      </c>
      <c r="F58" s="24" t="s">
        <v>69</v>
      </c>
      <c r="G58" s="24" t="s">
        <v>737</v>
      </c>
      <c r="H58" s="22" t="s">
        <v>738</v>
      </c>
      <c r="I58" s="22" t="s">
        <v>739</v>
      </c>
      <c r="J58" s="22" t="s">
        <v>74</v>
      </c>
      <c r="K58" s="22" t="s">
        <v>55</v>
      </c>
      <c r="L58" s="22" t="s">
        <v>56</v>
      </c>
      <c r="M58" s="22" t="s">
        <v>57</v>
      </c>
      <c r="N58" s="22" t="s">
        <v>58</v>
      </c>
      <c r="O58" s="22">
        <v>2600.0</v>
      </c>
      <c r="P58" s="22">
        <v>2600.0</v>
      </c>
      <c r="Q58" s="22" t="s">
        <v>59</v>
      </c>
      <c r="R58" s="22" t="s">
        <v>58</v>
      </c>
      <c r="S58" s="22" t="s">
        <v>58</v>
      </c>
      <c r="T58" s="22"/>
      <c r="U58" s="22"/>
      <c r="V58" s="22" t="s">
        <v>61</v>
      </c>
      <c r="W58" s="22" t="s">
        <v>58</v>
      </c>
      <c r="X58" s="22" t="s">
        <v>58</v>
      </c>
      <c r="Y58" s="22" t="s">
        <v>58</v>
      </c>
      <c r="Z58" s="22" t="s">
        <v>58</v>
      </c>
      <c r="AA58" s="22" t="s">
        <v>58</v>
      </c>
      <c r="AB58" s="22" t="s">
        <v>58</v>
      </c>
      <c r="AC58" s="22" t="s">
        <v>58</v>
      </c>
      <c r="AD58" s="22" t="s">
        <v>58</v>
      </c>
      <c r="AE58" s="22" t="s">
        <v>61</v>
      </c>
      <c r="AF58" s="22" t="s">
        <v>61</v>
      </c>
      <c r="AG58" s="22" t="s">
        <v>58</v>
      </c>
      <c r="AH58" s="22">
        <v>100.0</v>
      </c>
      <c r="AI58" s="22">
        <v>1000.0</v>
      </c>
      <c r="AJ58" s="22">
        <v>100.0</v>
      </c>
      <c r="AK58" s="22">
        <v>0.0</v>
      </c>
      <c r="AL58" s="22"/>
      <c r="AM58" s="22"/>
      <c r="AN58" s="24" t="s">
        <v>65</v>
      </c>
      <c r="AO58" s="22"/>
    </row>
    <row r="59" ht="15.75" customHeight="1">
      <c r="A59" s="15">
        <v>53.0</v>
      </c>
      <c r="B59" s="15" t="s">
        <v>238</v>
      </c>
      <c r="C59" s="15" t="s">
        <v>239</v>
      </c>
      <c r="D59" s="48" t="s">
        <v>240</v>
      </c>
      <c r="E59" s="15" t="s">
        <v>49</v>
      </c>
      <c r="F59" s="49" t="s">
        <v>748</v>
      </c>
      <c r="G59" s="15" t="s">
        <v>251</v>
      </c>
      <c r="H59" s="15" t="s">
        <v>91</v>
      </c>
      <c r="I59" s="15" t="s">
        <v>92</v>
      </c>
      <c r="J59" s="15" t="s">
        <v>92</v>
      </c>
      <c r="K59" s="15" t="s">
        <v>55</v>
      </c>
      <c r="L59" s="15" t="s">
        <v>56</v>
      </c>
      <c r="M59" s="15" t="s">
        <v>57</v>
      </c>
      <c r="N59" s="15" t="s">
        <v>58</v>
      </c>
      <c r="O59" s="15">
        <v>500.0</v>
      </c>
      <c r="P59" s="15">
        <v>700.0</v>
      </c>
      <c r="Q59" s="15" t="s">
        <v>59</v>
      </c>
      <c r="R59" s="15" t="s">
        <v>58</v>
      </c>
      <c r="S59" s="15" t="s">
        <v>58</v>
      </c>
      <c r="T59" s="15"/>
      <c r="U59" s="15"/>
      <c r="V59" s="15" t="s">
        <v>61</v>
      </c>
      <c r="W59" s="15" t="s">
        <v>58</v>
      </c>
      <c r="X59" s="15" t="s">
        <v>58</v>
      </c>
      <c r="Y59" s="15" t="s">
        <v>58</v>
      </c>
      <c r="Z59" s="15" t="s">
        <v>58</v>
      </c>
      <c r="AA59" s="15" t="s">
        <v>58</v>
      </c>
      <c r="AB59" s="15" t="s">
        <v>58</v>
      </c>
      <c r="AC59" s="15" t="s">
        <v>58</v>
      </c>
      <c r="AD59" s="15" t="s">
        <v>58</v>
      </c>
      <c r="AE59" s="15" t="s">
        <v>61</v>
      </c>
      <c r="AF59" s="15" t="s">
        <v>61</v>
      </c>
      <c r="AG59" s="15" t="s">
        <v>58</v>
      </c>
      <c r="AH59" s="15">
        <v>100.0</v>
      </c>
      <c r="AI59" s="15">
        <v>5000.0</v>
      </c>
      <c r="AJ59" s="15">
        <v>100.0</v>
      </c>
      <c r="AK59" s="15">
        <v>0.0</v>
      </c>
      <c r="AL59" s="16"/>
      <c r="AM59" s="15"/>
      <c r="AN59" s="16" t="s">
        <v>757</v>
      </c>
      <c r="AO59" s="21">
        <v>2.0</v>
      </c>
    </row>
    <row r="60" ht="15.75" customHeight="1">
      <c r="A60" s="22">
        <v>54.0</v>
      </c>
      <c r="B60" s="22" t="s">
        <v>590</v>
      </c>
      <c r="C60" s="22" t="s">
        <v>592</v>
      </c>
      <c r="D60" s="22" t="s">
        <v>762</v>
      </c>
      <c r="E60" s="22" t="s">
        <v>49</v>
      </c>
      <c r="F60" s="27" t="s">
        <v>763</v>
      </c>
      <c r="G60" s="24">
        <v>9.8109049E9</v>
      </c>
      <c r="H60" s="22" t="s">
        <v>599</v>
      </c>
      <c r="I60" s="22" t="s">
        <v>601</v>
      </c>
      <c r="J60" s="22" t="s">
        <v>601</v>
      </c>
      <c r="K60" s="22" t="s">
        <v>55</v>
      </c>
      <c r="L60" s="22" t="s">
        <v>56</v>
      </c>
      <c r="M60" s="22" t="s">
        <v>57</v>
      </c>
      <c r="N60" s="22" t="s">
        <v>58</v>
      </c>
      <c r="O60" s="22">
        <v>1500.0</v>
      </c>
      <c r="P60" s="22">
        <v>1600.0</v>
      </c>
      <c r="Q60" s="22" t="s">
        <v>59</v>
      </c>
      <c r="R60" s="22" t="s">
        <v>58</v>
      </c>
      <c r="S60" s="22" t="s">
        <v>58</v>
      </c>
      <c r="T60" s="24" t="s">
        <v>603</v>
      </c>
      <c r="U60" s="22"/>
      <c r="V60" s="22" t="s">
        <v>61</v>
      </c>
      <c r="W60" s="22" t="s">
        <v>58</v>
      </c>
      <c r="X60" s="22" t="s">
        <v>58</v>
      </c>
      <c r="Y60" s="22" t="s">
        <v>58</v>
      </c>
      <c r="Z60" s="22" t="s">
        <v>58</v>
      </c>
      <c r="AA60" s="22" t="s">
        <v>58</v>
      </c>
      <c r="AB60" s="22" t="s">
        <v>58</v>
      </c>
      <c r="AC60" s="22" t="s">
        <v>58</v>
      </c>
      <c r="AD60" s="22" t="s">
        <v>58</v>
      </c>
      <c r="AE60" s="22" t="s">
        <v>61</v>
      </c>
      <c r="AF60" s="22" t="s">
        <v>61</v>
      </c>
      <c r="AG60" s="22" t="s">
        <v>58</v>
      </c>
      <c r="AH60" s="22">
        <v>25.0</v>
      </c>
      <c r="AI60" s="22">
        <v>1000.0</v>
      </c>
      <c r="AJ60" s="22">
        <v>25.0</v>
      </c>
      <c r="AK60" s="22">
        <v>0.0</v>
      </c>
      <c r="AL60" s="22"/>
      <c r="AM60" s="22"/>
      <c r="AN60" s="24" t="s">
        <v>65</v>
      </c>
      <c r="AO60" s="22"/>
    </row>
    <row r="61" ht="15.75" customHeight="1">
      <c r="A61" s="15">
        <v>55.0</v>
      </c>
      <c r="B61" s="15" t="s">
        <v>770</v>
      </c>
      <c r="C61" s="15" t="s">
        <v>771</v>
      </c>
      <c r="D61" s="16" t="s">
        <v>772</v>
      </c>
      <c r="E61" s="15" t="s">
        <v>49</v>
      </c>
      <c r="F61" s="18" t="s">
        <v>774</v>
      </c>
      <c r="G61" s="16" t="s">
        <v>778</v>
      </c>
      <c r="H61" s="15" t="s">
        <v>72</v>
      </c>
      <c r="I61" s="15" t="s">
        <v>73</v>
      </c>
      <c r="J61" s="15" t="s">
        <v>74</v>
      </c>
      <c r="K61" s="15" t="s">
        <v>55</v>
      </c>
      <c r="L61" s="15" t="s">
        <v>56</v>
      </c>
      <c r="M61" s="15" t="s">
        <v>57</v>
      </c>
      <c r="N61" s="15" t="s">
        <v>58</v>
      </c>
      <c r="O61" s="15">
        <v>400.0</v>
      </c>
      <c r="P61" s="15">
        <v>500.0</v>
      </c>
      <c r="Q61" s="15" t="s">
        <v>59</v>
      </c>
      <c r="R61" s="15" t="s">
        <v>58</v>
      </c>
      <c r="S61" s="15" t="s">
        <v>58</v>
      </c>
      <c r="T61" s="15"/>
      <c r="U61" s="15"/>
      <c r="V61" s="15" t="s">
        <v>61</v>
      </c>
      <c r="W61" s="15" t="s">
        <v>58</v>
      </c>
      <c r="X61" s="15" t="s">
        <v>58</v>
      </c>
      <c r="Y61" s="15" t="s">
        <v>58</v>
      </c>
      <c r="Z61" s="15" t="s">
        <v>58</v>
      </c>
      <c r="AA61" s="15" t="s">
        <v>58</v>
      </c>
      <c r="AB61" s="15" t="s">
        <v>58</v>
      </c>
      <c r="AC61" s="15" t="s">
        <v>58</v>
      </c>
      <c r="AD61" s="15" t="s">
        <v>58</v>
      </c>
      <c r="AE61" s="15" t="s">
        <v>61</v>
      </c>
      <c r="AF61" s="15" t="s">
        <v>61</v>
      </c>
      <c r="AG61" s="15" t="s">
        <v>58</v>
      </c>
      <c r="AH61" s="15">
        <v>15.0</v>
      </c>
      <c r="AI61" s="15">
        <v>3000.0</v>
      </c>
      <c r="AJ61" s="15">
        <v>15.0</v>
      </c>
      <c r="AK61" s="15">
        <v>0.0</v>
      </c>
      <c r="AL61" s="15"/>
      <c r="AM61" s="15"/>
      <c r="AN61" s="16" t="s">
        <v>65</v>
      </c>
      <c r="AO61" s="21">
        <v>2.0</v>
      </c>
    </row>
    <row r="62" ht="15.75" customHeight="1">
      <c r="A62" s="15">
        <v>56.0</v>
      </c>
      <c r="B62" s="15" t="s">
        <v>788</v>
      </c>
      <c r="C62" s="15" t="s">
        <v>789</v>
      </c>
      <c r="D62" s="50" t="s">
        <v>790</v>
      </c>
      <c r="E62" s="15" t="s">
        <v>49</v>
      </c>
      <c r="F62" s="18" t="s">
        <v>791</v>
      </c>
      <c r="G62" s="16" t="s">
        <v>801</v>
      </c>
      <c r="H62" s="15" t="s">
        <v>802</v>
      </c>
      <c r="I62" s="15" t="s">
        <v>803</v>
      </c>
      <c r="J62" s="15" t="s">
        <v>74</v>
      </c>
      <c r="K62" s="15" t="s">
        <v>55</v>
      </c>
      <c r="L62" s="15" t="s">
        <v>56</v>
      </c>
      <c r="M62" s="15" t="s">
        <v>57</v>
      </c>
      <c r="N62" s="15" t="s">
        <v>58</v>
      </c>
      <c r="O62" s="15">
        <v>1100.0</v>
      </c>
      <c r="P62" s="15">
        <v>1000.0</v>
      </c>
      <c r="Q62" s="15" t="s">
        <v>59</v>
      </c>
      <c r="R62" s="15" t="s">
        <v>58</v>
      </c>
      <c r="S62" s="15" t="s">
        <v>58</v>
      </c>
      <c r="T62" s="15"/>
      <c r="U62" s="15"/>
      <c r="V62" s="15" t="s">
        <v>61</v>
      </c>
      <c r="W62" s="15" t="s">
        <v>58</v>
      </c>
      <c r="X62" s="15" t="s">
        <v>58</v>
      </c>
      <c r="Y62" s="15" t="s">
        <v>58</v>
      </c>
      <c r="Z62" s="15" t="s">
        <v>58</v>
      </c>
      <c r="AA62" s="15" t="s">
        <v>58</v>
      </c>
      <c r="AB62" s="15" t="s">
        <v>58</v>
      </c>
      <c r="AC62" s="15" t="s">
        <v>58</v>
      </c>
      <c r="AD62" s="15" t="s">
        <v>58</v>
      </c>
      <c r="AE62" s="15" t="s">
        <v>61</v>
      </c>
      <c r="AF62" s="15" t="s">
        <v>61</v>
      </c>
      <c r="AG62" s="15" t="s">
        <v>58</v>
      </c>
      <c r="AH62" s="15">
        <v>50.0</v>
      </c>
      <c r="AI62" s="15">
        <v>1000.0</v>
      </c>
      <c r="AJ62" s="15">
        <v>50.0</v>
      </c>
      <c r="AK62" s="15">
        <v>0.0</v>
      </c>
      <c r="AL62" s="15"/>
      <c r="AM62" s="15"/>
      <c r="AN62" s="16" t="s">
        <v>65</v>
      </c>
      <c r="AO62" s="21">
        <v>2.0</v>
      </c>
    </row>
    <row r="63" ht="15.75" customHeight="1">
      <c r="A63" s="22">
        <v>57.0</v>
      </c>
      <c r="B63" s="22" t="s">
        <v>811</v>
      </c>
      <c r="C63" s="22" t="s">
        <v>812</v>
      </c>
      <c r="D63" s="22" t="s">
        <v>814</v>
      </c>
      <c r="E63" s="22" t="s">
        <v>49</v>
      </c>
      <c r="F63" s="24" t="s">
        <v>815</v>
      </c>
      <c r="G63" s="24" t="s">
        <v>69</v>
      </c>
      <c r="H63" s="22" t="s">
        <v>303</v>
      </c>
      <c r="I63" s="22" t="s">
        <v>303</v>
      </c>
      <c r="J63" s="22" t="s">
        <v>74</v>
      </c>
      <c r="K63" s="22" t="s">
        <v>55</v>
      </c>
      <c r="L63" s="22" t="s">
        <v>56</v>
      </c>
      <c r="M63" s="22" t="s">
        <v>57</v>
      </c>
      <c r="N63" s="22" t="s">
        <v>58</v>
      </c>
      <c r="O63" s="22">
        <v>1200.0</v>
      </c>
      <c r="P63" s="22">
        <v>1500.0</v>
      </c>
      <c r="Q63" s="22" t="s">
        <v>59</v>
      </c>
      <c r="R63" s="22" t="s">
        <v>58</v>
      </c>
      <c r="S63" s="22" t="s">
        <v>58</v>
      </c>
      <c r="T63" s="24" t="s">
        <v>816</v>
      </c>
      <c r="U63" s="22"/>
      <c r="V63" s="22" t="s">
        <v>61</v>
      </c>
      <c r="W63" s="22" t="s">
        <v>58</v>
      </c>
      <c r="X63" s="22" t="s">
        <v>58</v>
      </c>
      <c r="Y63" s="22" t="s">
        <v>58</v>
      </c>
      <c r="Z63" s="22" t="s">
        <v>58</v>
      </c>
      <c r="AA63" s="22" t="s">
        <v>58</v>
      </c>
      <c r="AB63" s="22" t="s">
        <v>58</v>
      </c>
      <c r="AC63" s="22" t="s">
        <v>58</v>
      </c>
      <c r="AD63" s="22" t="s">
        <v>58</v>
      </c>
      <c r="AE63" s="22" t="s">
        <v>61</v>
      </c>
      <c r="AF63" s="22" t="s">
        <v>61</v>
      </c>
      <c r="AG63" s="22" t="s">
        <v>58</v>
      </c>
      <c r="AH63" s="22">
        <v>50.0</v>
      </c>
      <c r="AI63" s="22">
        <v>10000.0</v>
      </c>
      <c r="AJ63" s="22">
        <v>50.0</v>
      </c>
      <c r="AK63" s="22">
        <v>0.0</v>
      </c>
      <c r="AL63" s="22"/>
      <c r="AM63" s="22"/>
      <c r="AN63" s="24" t="s">
        <v>65</v>
      </c>
      <c r="AO63" s="22"/>
    </row>
    <row r="64" ht="15.75" customHeight="1">
      <c r="A64" s="15">
        <v>58.0</v>
      </c>
      <c r="B64" s="15" t="s">
        <v>821</v>
      </c>
      <c r="C64" s="15" t="s">
        <v>822</v>
      </c>
      <c r="D64" s="16" t="s">
        <v>824</v>
      </c>
      <c r="E64" s="15" t="s">
        <v>49</v>
      </c>
      <c r="F64" s="18" t="s">
        <v>825</v>
      </c>
      <c r="G64" s="16" t="s">
        <v>826</v>
      </c>
      <c r="H64" s="15" t="s">
        <v>738</v>
      </c>
      <c r="I64" s="15" t="s">
        <v>739</v>
      </c>
      <c r="J64" s="15" t="s">
        <v>74</v>
      </c>
      <c r="K64" s="15" t="s">
        <v>55</v>
      </c>
      <c r="L64" s="15" t="s">
        <v>56</v>
      </c>
      <c r="M64" s="15" t="s">
        <v>57</v>
      </c>
      <c r="N64" s="15" t="s">
        <v>58</v>
      </c>
      <c r="O64" s="15">
        <v>1500.0</v>
      </c>
      <c r="P64" s="15"/>
      <c r="Q64" s="15" t="s">
        <v>59</v>
      </c>
      <c r="R64" s="15" t="s">
        <v>58</v>
      </c>
      <c r="S64" s="15" t="s">
        <v>58</v>
      </c>
      <c r="T64" s="15"/>
      <c r="U64" s="15"/>
      <c r="V64" s="15" t="s">
        <v>61</v>
      </c>
      <c r="W64" s="15" t="s">
        <v>58</v>
      </c>
      <c r="X64" s="15" t="s">
        <v>58</v>
      </c>
      <c r="Y64" s="15" t="s">
        <v>58</v>
      </c>
      <c r="Z64" s="15" t="s">
        <v>58</v>
      </c>
      <c r="AA64" s="15" t="s">
        <v>58</v>
      </c>
      <c r="AB64" s="15" t="s">
        <v>58</v>
      </c>
      <c r="AC64" s="15" t="s">
        <v>58</v>
      </c>
      <c r="AD64" s="15" t="s">
        <v>58</v>
      </c>
      <c r="AE64" s="15" t="s">
        <v>61</v>
      </c>
      <c r="AF64" s="15" t="s">
        <v>61</v>
      </c>
      <c r="AG64" s="15" t="s">
        <v>58</v>
      </c>
      <c r="AH64" s="15">
        <v>200.0</v>
      </c>
      <c r="AI64" s="15">
        <v>10000.0</v>
      </c>
      <c r="AJ64" s="15">
        <v>200.0</v>
      </c>
      <c r="AK64" s="15">
        <v>0.0</v>
      </c>
      <c r="AL64" s="15"/>
      <c r="AM64" s="15"/>
      <c r="AN64" s="16" t="s">
        <v>65</v>
      </c>
      <c r="AO64" s="21">
        <v>2.0</v>
      </c>
    </row>
    <row r="65" ht="15.75" customHeight="1">
      <c r="A65" s="15">
        <v>59.0</v>
      </c>
      <c r="B65" s="15" t="s">
        <v>833</v>
      </c>
      <c r="C65" s="15" t="s">
        <v>834</v>
      </c>
      <c r="D65" s="52" t="s">
        <v>835</v>
      </c>
      <c r="E65" s="15" t="s">
        <v>49</v>
      </c>
      <c r="F65" s="49" t="s">
        <v>837</v>
      </c>
      <c r="G65" s="15" t="s">
        <v>842</v>
      </c>
      <c r="H65" s="15" t="s">
        <v>570</v>
      </c>
      <c r="I65" s="15" t="s">
        <v>571</v>
      </c>
      <c r="J65" s="15" t="s">
        <v>571</v>
      </c>
      <c r="K65" s="15" t="s">
        <v>55</v>
      </c>
      <c r="L65" s="15" t="s">
        <v>56</v>
      </c>
      <c r="M65" s="15" t="s">
        <v>57</v>
      </c>
      <c r="N65" s="15" t="s">
        <v>58</v>
      </c>
      <c r="O65" s="15">
        <v>500.0</v>
      </c>
      <c r="P65" s="15">
        <v>750.0</v>
      </c>
      <c r="Q65" s="15" t="s">
        <v>59</v>
      </c>
      <c r="R65" s="15" t="s">
        <v>58</v>
      </c>
      <c r="S65" s="15" t="s">
        <v>58</v>
      </c>
      <c r="T65" s="15"/>
      <c r="U65" s="15"/>
      <c r="V65" s="15" t="s">
        <v>61</v>
      </c>
      <c r="W65" s="15" t="s">
        <v>58</v>
      </c>
      <c r="X65" s="15" t="s">
        <v>58</v>
      </c>
      <c r="Y65" s="15" t="s">
        <v>58</v>
      </c>
      <c r="Z65" s="15" t="s">
        <v>58</v>
      </c>
      <c r="AA65" s="15" t="s">
        <v>58</v>
      </c>
      <c r="AB65" s="15" t="s">
        <v>58</v>
      </c>
      <c r="AC65" s="15" t="s">
        <v>58</v>
      </c>
      <c r="AD65" s="15" t="s">
        <v>58</v>
      </c>
      <c r="AE65" s="15" t="s">
        <v>61</v>
      </c>
      <c r="AF65" s="15" t="s">
        <v>61</v>
      </c>
      <c r="AG65" s="15" t="s">
        <v>58</v>
      </c>
      <c r="AH65" s="15">
        <v>50.0</v>
      </c>
      <c r="AI65" s="15">
        <v>2000.0</v>
      </c>
      <c r="AJ65" s="15">
        <v>50.0</v>
      </c>
      <c r="AK65" s="15">
        <v>0.0</v>
      </c>
      <c r="AL65" s="15"/>
      <c r="AM65" s="15"/>
      <c r="AN65" s="16" t="s">
        <v>757</v>
      </c>
      <c r="AO65" s="21">
        <v>2.0</v>
      </c>
    </row>
    <row r="66" ht="15.75" customHeight="1">
      <c r="A66" s="22">
        <v>60.0</v>
      </c>
      <c r="B66" s="22" t="s">
        <v>846</v>
      </c>
      <c r="C66" s="22" t="s">
        <v>847</v>
      </c>
      <c r="D66" s="24" t="s">
        <v>848</v>
      </c>
      <c r="E66" s="22" t="s">
        <v>49</v>
      </c>
      <c r="F66" s="24" t="s">
        <v>69</v>
      </c>
      <c r="G66" s="24" t="s">
        <v>851</v>
      </c>
      <c r="H66" s="22" t="s">
        <v>314</v>
      </c>
      <c r="I66" s="22" t="s">
        <v>315</v>
      </c>
      <c r="J66" s="22" t="s">
        <v>74</v>
      </c>
      <c r="K66" s="22" t="s">
        <v>55</v>
      </c>
      <c r="L66" s="22" t="s">
        <v>56</v>
      </c>
      <c r="M66" s="22" t="s">
        <v>57</v>
      </c>
      <c r="N66" s="22" t="s">
        <v>58</v>
      </c>
      <c r="O66" s="22">
        <v>800.0</v>
      </c>
      <c r="P66" s="22">
        <v>1600.0</v>
      </c>
      <c r="Q66" s="22" t="s">
        <v>59</v>
      </c>
      <c r="R66" s="22" t="s">
        <v>58</v>
      </c>
      <c r="S66" s="22" t="s">
        <v>58</v>
      </c>
      <c r="T66" s="22"/>
      <c r="U66" s="22"/>
      <c r="V66" s="22" t="s">
        <v>61</v>
      </c>
      <c r="W66" s="22" t="s">
        <v>58</v>
      </c>
      <c r="X66" s="22" t="s">
        <v>58</v>
      </c>
      <c r="Y66" s="22" t="s">
        <v>58</v>
      </c>
      <c r="Z66" s="22" t="s">
        <v>58</v>
      </c>
      <c r="AA66" s="22" t="s">
        <v>58</v>
      </c>
      <c r="AB66" s="22" t="s">
        <v>58</v>
      </c>
      <c r="AC66" s="22" t="s">
        <v>58</v>
      </c>
      <c r="AD66" s="22" t="s">
        <v>58</v>
      </c>
      <c r="AE66" s="22" t="s">
        <v>61</v>
      </c>
      <c r="AF66" s="22" t="s">
        <v>61</v>
      </c>
      <c r="AG66" s="22" t="s">
        <v>58</v>
      </c>
      <c r="AH66" s="22">
        <v>30.0</v>
      </c>
      <c r="AI66" s="22">
        <v>10000.0</v>
      </c>
      <c r="AJ66" s="22">
        <v>30.0</v>
      </c>
      <c r="AK66" s="22">
        <v>0.0</v>
      </c>
      <c r="AL66" s="22"/>
      <c r="AM66" s="22"/>
      <c r="AN66" s="24" t="s">
        <v>65</v>
      </c>
      <c r="AO66" s="22"/>
    </row>
    <row r="67" ht="15.75" customHeight="1">
      <c r="A67" s="22">
        <v>61.0</v>
      </c>
      <c r="B67" s="22" t="s">
        <v>857</v>
      </c>
      <c r="C67" s="22" t="s">
        <v>858</v>
      </c>
      <c r="D67" s="24" t="s">
        <v>859</v>
      </c>
      <c r="E67" s="22" t="s">
        <v>49</v>
      </c>
      <c r="F67" s="24" t="s">
        <v>69</v>
      </c>
      <c r="G67" s="24">
        <v>7.94269902E9</v>
      </c>
      <c r="H67" s="22" t="s">
        <v>860</v>
      </c>
      <c r="I67" s="22" t="s">
        <v>861</v>
      </c>
      <c r="J67" s="22" t="s">
        <v>74</v>
      </c>
      <c r="K67" s="22" t="s">
        <v>55</v>
      </c>
      <c r="L67" s="22" t="s">
        <v>56</v>
      </c>
      <c r="M67" s="22" t="s">
        <v>57</v>
      </c>
      <c r="N67" s="22" t="s">
        <v>58</v>
      </c>
      <c r="O67" s="22">
        <v>1400.0</v>
      </c>
      <c r="P67" s="22">
        <v>1600.0</v>
      </c>
      <c r="Q67" s="22" t="s">
        <v>59</v>
      </c>
      <c r="R67" s="22" t="s">
        <v>58</v>
      </c>
      <c r="S67" s="22" t="s">
        <v>58</v>
      </c>
      <c r="T67" s="22"/>
      <c r="U67" s="22"/>
      <c r="V67" s="22" t="s">
        <v>61</v>
      </c>
      <c r="W67" s="22" t="s">
        <v>58</v>
      </c>
      <c r="X67" s="22" t="s">
        <v>58</v>
      </c>
      <c r="Y67" s="22" t="s">
        <v>58</v>
      </c>
      <c r="Z67" s="22" t="s">
        <v>58</v>
      </c>
      <c r="AA67" s="22" t="s">
        <v>58</v>
      </c>
      <c r="AB67" s="22" t="s">
        <v>58</v>
      </c>
      <c r="AC67" s="22" t="s">
        <v>58</v>
      </c>
      <c r="AD67" s="22" t="s">
        <v>58</v>
      </c>
      <c r="AE67" s="22" t="s">
        <v>61</v>
      </c>
      <c r="AF67" s="22" t="s">
        <v>61</v>
      </c>
      <c r="AG67" s="22" t="s">
        <v>58</v>
      </c>
      <c r="AH67" s="22">
        <v>30.0</v>
      </c>
      <c r="AI67" s="22">
        <v>500.0</v>
      </c>
      <c r="AJ67" s="22">
        <v>30.0</v>
      </c>
      <c r="AK67" s="22">
        <v>0.0</v>
      </c>
      <c r="AL67" s="22"/>
      <c r="AM67" s="22"/>
      <c r="AN67" s="24" t="s">
        <v>65</v>
      </c>
      <c r="AO67" s="22"/>
    </row>
    <row r="68" ht="33.0" customHeight="1">
      <c r="A68" s="22">
        <v>62.0</v>
      </c>
      <c r="B68" s="22" t="s">
        <v>869</v>
      </c>
      <c r="C68" s="22" t="s">
        <v>870</v>
      </c>
      <c r="D68" s="22" t="s">
        <v>871</v>
      </c>
      <c r="E68" s="22" t="s">
        <v>49</v>
      </c>
      <c r="F68" s="36" t="s">
        <v>872</v>
      </c>
      <c r="G68" s="24" t="s">
        <v>122</v>
      </c>
      <c r="H68" s="22" t="s">
        <v>303</v>
      </c>
      <c r="I68" s="22" t="s">
        <v>303</v>
      </c>
      <c r="J68" s="22" t="s">
        <v>74</v>
      </c>
      <c r="K68" s="22" t="s">
        <v>55</v>
      </c>
      <c r="L68" s="22" t="s">
        <v>56</v>
      </c>
      <c r="M68" s="22" t="s">
        <v>57</v>
      </c>
      <c r="N68" s="22" t="s">
        <v>58</v>
      </c>
      <c r="O68" s="22">
        <v>1150.0</v>
      </c>
      <c r="P68" s="22">
        <v>1350.0</v>
      </c>
      <c r="Q68" s="22" t="s">
        <v>59</v>
      </c>
      <c r="R68" s="22" t="s">
        <v>58</v>
      </c>
      <c r="S68" s="22" t="s">
        <v>58</v>
      </c>
      <c r="T68" s="24" t="s">
        <v>874</v>
      </c>
      <c r="U68" s="24" t="s">
        <v>876</v>
      </c>
      <c r="V68" s="22" t="s">
        <v>61</v>
      </c>
      <c r="W68" s="22" t="s">
        <v>58</v>
      </c>
      <c r="X68" s="22" t="s">
        <v>58</v>
      </c>
      <c r="Y68" s="22" t="s">
        <v>58</v>
      </c>
      <c r="Z68" s="22" t="s">
        <v>58</v>
      </c>
      <c r="AA68" s="22" t="s">
        <v>58</v>
      </c>
      <c r="AB68" s="22" t="s">
        <v>58</v>
      </c>
      <c r="AC68" s="22" t="s">
        <v>58</v>
      </c>
      <c r="AD68" s="22" t="s">
        <v>58</v>
      </c>
      <c r="AE68" s="22" t="s">
        <v>61</v>
      </c>
      <c r="AF68" s="22" t="s">
        <v>61</v>
      </c>
      <c r="AG68" s="22" t="s">
        <v>58</v>
      </c>
      <c r="AH68" s="22">
        <v>10.0</v>
      </c>
      <c r="AI68" s="22">
        <v>0.0</v>
      </c>
      <c r="AJ68" s="22">
        <v>10.0</v>
      </c>
      <c r="AK68" s="22">
        <v>0.0</v>
      </c>
      <c r="AL68" s="22"/>
      <c r="AM68" s="22"/>
      <c r="AN68" s="24" t="s">
        <v>65</v>
      </c>
      <c r="AO68" s="22"/>
    </row>
    <row r="69" ht="30.0" customHeight="1">
      <c r="A69" s="15">
        <v>63.0</v>
      </c>
      <c r="B69" s="15" t="s">
        <v>878</v>
      </c>
      <c r="C69" s="15" t="s">
        <v>879</v>
      </c>
      <c r="D69" s="16" t="s">
        <v>880</v>
      </c>
      <c r="E69" s="15" t="s">
        <v>49</v>
      </c>
      <c r="F69" s="18" t="s">
        <v>881</v>
      </c>
      <c r="G69" s="16" t="s">
        <v>886</v>
      </c>
      <c r="H69" s="15" t="s">
        <v>887</v>
      </c>
      <c r="I69" s="15" t="s">
        <v>888</v>
      </c>
      <c r="J69" s="15" t="s">
        <v>74</v>
      </c>
      <c r="K69" s="15" t="s">
        <v>55</v>
      </c>
      <c r="L69" s="15" t="s">
        <v>56</v>
      </c>
      <c r="M69" s="15" t="s">
        <v>57</v>
      </c>
      <c r="N69" s="15" t="s">
        <v>58</v>
      </c>
      <c r="O69" s="15">
        <v>2500.0</v>
      </c>
      <c r="P69" s="15">
        <v>3000.0</v>
      </c>
      <c r="Q69" s="15" t="s">
        <v>59</v>
      </c>
      <c r="R69" s="15" t="s">
        <v>58</v>
      </c>
      <c r="S69" s="15" t="s">
        <v>58</v>
      </c>
      <c r="T69" s="15"/>
      <c r="U69" s="15"/>
      <c r="V69" s="15" t="s">
        <v>61</v>
      </c>
      <c r="W69" s="15" t="s">
        <v>58</v>
      </c>
      <c r="X69" s="15" t="s">
        <v>58</v>
      </c>
      <c r="Y69" s="15" t="s">
        <v>58</v>
      </c>
      <c r="Z69" s="15" t="s">
        <v>58</v>
      </c>
      <c r="AA69" s="15" t="s">
        <v>58</v>
      </c>
      <c r="AB69" s="15" t="s">
        <v>58</v>
      </c>
      <c r="AC69" s="15" t="s">
        <v>58</v>
      </c>
      <c r="AD69" s="15" t="s">
        <v>58</v>
      </c>
      <c r="AE69" s="15" t="s">
        <v>61</v>
      </c>
      <c r="AF69" s="15" t="s">
        <v>61</v>
      </c>
      <c r="AG69" s="15" t="s">
        <v>58</v>
      </c>
      <c r="AH69" s="15">
        <v>50.0</v>
      </c>
      <c r="AI69" s="15">
        <v>100000.0</v>
      </c>
      <c r="AJ69" s="15">
        <v>50.0</v>
      </c>
      <c r="AK69" s="15">
        <v>0.0</v>
      </c>
      <c r="AL69" s="15"/>
      <c r="AM69" s="15"/>
      <c r="AN69" s="16" t="s">
        <v>65</v>
      </c>
      <c r="AO69" s="21">
        <v>2.0</v>
      </c>
    </row>
    <row r="70" ht="15.75" customHeight="1">
      <c r="A70" s="22">
        <v>64.0</v>
      </c>
      <c r="B70" s="22" t="s">
        <v>612</v>
      </c>
      <c r="C70" s="22" t="s">
        <v>613</v>
      </c>
      <c r="D70" s="24" t="s">
        <v>893</v>
      </c>
      <c r="E70" s="22" t="s">
        <v>49</v>
      </c>
      <c r="F70" s="27" t="s">
        <v>894</v>
      </c>
      <c r="G70" s="24" t="s">
        <v>69</v>
      </c>
      <c r="H70" s="22" t="s">
        <v>623</v>
      </c>
      <c r="I70" s="22" t="s">
        <v>624</v>
      </c>
      <c r="J70" s="22" t="s">
        <v>624</v>
      </c>
      <c r="K70" s="22" t="s">
        <v>55</v>
      </c>
      <c r="L70" s="22" t="s">
        <v>56</v>
      </c>
      <c r="M70" s="22" t="s">
        <v>57</v>
      </c>
      <c r="N70" s="22" t="s">
        <v>58</v>
      </c>
      <c r="O70" s="22">
        <v>1000.0</v>
      </c>
      <c r="P70" s="22">
        <v>1350.0</v>
      </c>
      <c r="Q70" s="22" t="s">
        <v>59</v>
      </c>
      <c r="R70" s="22" t="s">
        <v>58</v>
      </c>
      <c r="S70" s="22" t="s">
        <v>58</v>
      </c>
      <c r="T70" s="22"/>
      <c r="U70" s="22"/>
      <c r="V70" s="22" t="s">
        <v>61</v>
      </c>
      <c r="W70" s="22" t="s">
        <v>58</v>
      </c>
      <c r="X70" s="22" t="s">
        <v>58</v>
      </c>
      <c r="Y70" s="22" t="s">
        <v>58</v>
      </c>
      <c r="Z70" s="22" t="s">
        <v>58</v>
      </c>
      <c r="AA70" s="22" t="s">
        <v>58</v>
      </c>
      <c r="AB70" s="22" t="s">
        <v>58</v>
      </c>
      <c r="AC70" s="22" t="s">
        <v>58</v>
      </c>
      <c r="AD70" s="22" t="s">
        <v>58</v>
      </c>
      <c r="AE70" s="22" t="s">
        <v>61</v>
      </c>
      <c r="AF70" s="22" t="s">
        <v>61</v>
      </c>
      <c r="AG70" s="22" t="s">
        <v>58</v>
      </c>
      <c r="AH70" s="22">
        <v>200.0</v>
      </c>
      <c r="AI70" s="22">
        <v>5000.0</v>
      </c>
      <c r="AJ70" s="22">
        <v>200.0</v>
      </c>
      <c r="AK70" s="22">
        <v>0.0</v>
      </c>
      <c r="AL70" s="22"/>
      <c r="AM70" s="22"/>
      <c r="AN70" s="24" t="s">
        <v>65</v>
      </c>
      <c r="AO70" s="22"/>
    </row>
    <row r="71" ht="15.75" customHeight="1">
      <c r="A71" s="22">
        <v>65.0</v>
      </c>
      <c r="B71" s="22" t="s">
        <v>901</v>
      </c>
      <c r="C71" s="22" t="s">
        <v>902</v>
      </c>
      <c r="D71" s="24" t="s">
        <v>903</v>
      </c>
      <c r="E71" s="22" t="s">
        <v>49</v>
      </c>
      <c r="F71" s="24" t="s">
        <v>69</v>
      </c>
      <c r="G71" s="24" t="s">
        <v>904</v>
      </c>
      <c r="H71" s="22" t="s">
        <v>303</v>
      </c>
      <c r="I71" s="22" t="s">
        <v>303</v>
      </c>
      <c r="J71" s="22" t="s">
        <v>74</v>
      </c>
      <c r="K71" s="22" t="s">
        <v>55</v>
      </c>
      <c r="L71" s="22" t="s">
        <v>56</v>
      </c>
      <c r="M71" s="22" t="s">
        <v>57</v>
      </c>
      <c r="N71" s="22" t="s">
        <v>58</v>
      </c>
      <c r="O71" s="22">
        <v>1500.0</v>
      </c>
      <c r="P71" s="22">
        <v>1800.0</v>
      </c>
      <c r="Q71" s="22" t="s">
        <v>59</v>
      </c>
      <c r="R71" s="22" t="s">
        <v>58</v>
      </c>
      <c r="S71" s="22" t="s">
        <v>58</v>
      </c>
      <c r="T71" s="22"/>
      <c r="U71" s="22"/>
      <c r="V71" s="22" t="s">
        <v>61</v>
      </c>
      <c r="W71" s="22" t="s">
        <v>58</v>
      </c>
      <c r="X71" s="22" t="s">
        <v>58</v>
      </c>
      <c r="Y71" s="22" t="s">
        <v>58</v>
      </c>
      <c r="Z71" s="22" t="s">
        <v>58</v>
      </c>
      <c r="AA71" s="22" t="s">
        <v>58</v>
      </c>
      <c r="AB71" s="22" t="s">
        <v>58</v>
      </c>
      <c r="AC71" s="22" t="s">
        <v>58</v>
      </c>
      <c r="AD71" s="22" t="s">
        <v>58</v>
      </c>
      <c r="AE71" s="22" t="s">
        <v>61</v>
      </c>
      <c r="AF71" s="22" t="s">
        <v>61</v>
      </c>
      <c r="AG71" s="22" t="s">
        <v>58</v>
      </c>
      <c r="AH71" s="22">
        <v>200.0</v>
      </c>
      <c r="AI71" s="22">
        <v>5000.0</v>
      </c>
      <c r="AJ71" s="22">
        <v>200.0</v>
      </c>
      <c r="AK71" s="22">
        <v>0.0</v>
      </c>
      <c r="AL71" s="22"/>
      <c r="AM71" s="22"/>
      <c r="AN71" s="24" t="s">
        <v>65</v>
      </c>
      <c r="AO71" s="22"/>
    </row>
    <row r="72" ht="15.75" customHeight="1">
      <c r="A72" s="22">
        <v>66.0</v>
      </c>
      <c r="B72" s="22" t="s">
        <v>910</v>
      </c>
      <c r="C72" s="22" t="s">
        <v>911</v>
      </c>
      <c r="D72" s="24" t="s">
        <v>912</v>
      </c>
      <c r="E72" s="22" t="s">
        <v>49</v>
      </c>
      <c r="F72" s="24" t="s">
        <v>69</v>
      </c>
      <c r="G72" s="24" t="s">
        <v>913</v>
      </c>
      <c r="H72" s="22" t="s">
        <v>123</v>
      </c>
      <c r="I72" s="22" t="s">
        <v>124</v>
      </c>
      <c r="J72" s="22" t="s">
        <v>74</v>
      </c>
      <c r="K72" s="22" t="s">
        <v>55</v>
      </c>
      <c r="L72" s="22" t="s">
        <v>56</v>
      </c>
      <c r="M72" s="22" t="s">
        <v>57</v>
      </c>
      <c r="N72" s="22" t="s">
        <v>58</v>
      </c>
      <c r="O72" s="22">
        <v>650.0</v>
      </c>
      <c r="P72" s="22">
        <v>700.0</v>
      </c>
      <c r="Q72" s="22" t="s">
        <v>59</v>
      </c>
      <c r="R72" s="22" t="s">
        <v>58</v>
      </c>
      <c r="S72" s="22" t="s">
        <v>58</v>
      </c>
      <c r="T72" s="22"/>
      <c r="U72" s="22"/>
      <c r="V72" s="22" t="s">
        <v>61</v>
      </c>
      <c r="W72" s="22" t="s">
        <v>58</v>
      </c>
      <c r="X72" s="22" t="s">
        <v>58</v>
      </c>
      <c r="Y72" s="22" t="s">
        <v>58</v>
      </c>
      <c r="Z72" s="22" t="s">
        <v>58</v>
      </c>
      <c r="AA72" s="22" t="s">
        <v>58</v>
      </c>
      <c r="AB72" s="22" t="s">
        <v>58</v>
      </c>
      <c r="AC72" s="22" t="s">
        <v>58</v>
      </c>
      <c r="AD72" s="22" t="s">
        <v>58</v>
      </c>
      <c r="AE72" s="22" t="s">
        <v>61</v>
      </c>
      <c r="AF72" s="22" t="s">
        <v>61</v>
      </c>
      <c r="AG72" s="22" t="s">
        <v>58</v>
      </c>
      <c r="AH72" s="22">
        <v>500.0</v>
      </c>
      <c r="AI72" s="22">
        <v>1000.0</v>
      </c>
      <c r="AJ72" s="22">
        <v>500.0</v>
      </c>
      <c r="AK72" s="22">
        <v>0.0</v>
      </c>
      <c r="AL72" s="22"/>
      <c r="AM72" s="22"/>
      <c r="AN72" s="24" t="s">
        <v>65</v>
      </c>
      <c r="AO72" s="22"/>
    </row>
    <row r="73" ht="15.75" customHeight="1">
      <c r="A73" s="22">
        <v>67.0</v>
      </c>
      <c r="B73" s="22" t="s">
        <v>915</v>
      </c>
      <c r="C73" s="22" t="s">
        <v>917</v>
      </c>
      <c r="D73" s="24" t="s">
        <v>919</v>
      </c>
      <c r="E73" s="22" t="s">
        <v>49</v>
      </c>
      <c r="F73" s="24" t="s">
        <v>69</v>
      </c>
      <c r="G73" s="24">
        <v>7.947426726E9</v>
      </c>
      <c r="H73" s="22" t="s">
        <v>513</v>
      </c>
      <c r="I73" s="22" t="s">
        <v>514</v>
      </c>
      <c r="J73" s="22" t="s">
        <v>74</v>
      </c>
      <c r="K73" s="22" t="s">
        <v>55</v>
      </c>
      <c r="L73" s="22" t="s">
        <v>56</v>
      </c>
      <c r="M73" s="22" t="s">
        <v>57</v>
      </c>
      <c r="N73" s="22" t="s">
        <v>58</v>
      </c>
      <c r="O73" s="22">
        <v>850.0</v>
      </c>
      <c r="P73" s="22">
        <v>950.0</v>
      </c>
      <c r="Q73" s="22" t="s">
        <v>59</v>
      </c>
      <c r="R73" s="22" t="s">
        <v>58</v>
      </c>
      <c r="S73" s="22" t="s">
        <v>58</v>
      </c>
      <c r="T73" s="22"/>
      <c r="U73" s="22"/>
      <c r="V73" s="22" t="s">
        <v>61</v>
      </c>
      <c r="W73" s="22" t="s">
        <v>58</v>
      </c>
      <c r="X73" s="22" t="s">
        <v>58</v>
      </c>
      <c r="Y73" s="22" t="s">
        <v>58</v>
      </c>
      <c r="Z73" s="22" t="s">
        <v>58</v>
      </c>
      <c r="AA73" s="22" t="s">
        <v>58</v>
      </c>
      <c r="AB73" s="22" t="s">
        <v>58</v>
      </c>
      <c r="AC73" s="22" t="s">
        <v>58</v>
      </c>
      <c r="AD73" s="22" t="s">
        <v>58</v>
      </c>
      <c r="AE73" s="22" t="s">
        <v>61</v>
      </c>
      <c r="AF73" s="22" t="s">
        <v>61</v>
      </c>
      <c r="AG73" s="22" t="s">
        <v>58</v>
      </c>
      <c r="AH73" s="22">
        <v>250.0</v>
      </c>
      <c r="AI73" s="22">
        <v>5000.0</v>
      </c>
      <c r="AJ73" s="22">
        <v>250.0</v>
      </c>
      <c r="AK73" s="22">
        <v>0.0</v>
      </c>
      <c r="AL73" s="22"/>
      <c r="AM73" s="22"/>
      <c r="AN73" s="24" t="s">
        <v>65</v>
      </c>
      <c r="AO73" s="22"/>
    </row>
    <row r="74" ht="15.75" customHeight="1">
      <c r="A74" s="22">
        <v>68.0</v>
      </c>
      <c r="B74" s="22" t="s">
        <v>922</v>
      </c>
      <c r="C74" s="22" t="s">
        <v>923</v>
      </c>
      <c r="D74" s="24" t="s">
        <v>924</v>
      </c>
      <c r="E74" s="22" t="s">
        <v>49</v>
      </c>
      <c r="F74" s="24" t="s">
        <v>69</v>
      </c>
      <c r="G74" s="24" t="s">
        <v>925</v>
      </c>
      <c r="H74" s="22" t="s">
        <v>513</v>
      </c>
      <c r="I74" s="22" t="s">
        <v>514</v>
      </c>
      <c r="J74" s="22" t="s">
        <v>74</v>
      </c>
      <c r="K74" s="22" t="s">
        <v>55</v>
      </c>
      <c r="L74" s="22" t="s">
        <v>56</v>
      </c>
      <c r="M74" s="22" t="s">
        <v>57</v>
      </c>
      <c r="N74" s="22" t="s">
        <v>58</v>
      </c>
      <c r="O74" s="22">
        <v>250.0</v>
      </c>
      <c r="P74" s="22">
        <v>600.0</v>
      </c>
      <c r="Q74" s="22" t="s">
        <v>59</v>
      </c>
      <c r="R74" s="22" t="s">
        <v>58</v>
      </c>
      <c r="S74" s="22" t="s">
        <v>58</v>
      </c>
      <c r="T74" s="22"/>
      <c r="U74" s="22"/>
      <c r="V74" s="22" t="s">
        <v>61</v>
      </c>
      <c r="W74" s="22" t="s">
        <v>58</v>
      </c>
      <c r="X74" s="22" t="s">
        <v>58</v>
      </c>
      <c r="Y74" s="22" t="s">
        <v>58</v>
      </c>
      <c r="Z74" s="22" t="s">
        <v>58</v>
      </c>
      <c r="AA74" s="22" t="s">
        <v>58</v>
      </c>
      <c r="AB74" s="22" t="s">
        <v>58</v>
      </c>
      <c r="AC74" s="22" t="s">
        <v>58</v>
      </c>
      <c r="AD74" s="22" t="s">
        <v>58</v>
      </c>
      <c r="AE74" s="22" t="s">
        <v>61</v>
      </c>
      <c r="AF74" s="22" t="s">
        <v>61</v>
      </c>
      <c r="AG74" s="22" t="s">
        <v>58</v>
      </c>
      <c r="AH74" s="22">
        <v>25.0</v>
      </c>
      <c r="AI74" s="22">
        <v>10000.0</v>
      </c>
      <c r="AJ74" s="22">
        <v>25.0</v>
      </c>
      <c r="AK74" s="22">
        <v>0.0</v>
      </c>
      <c r="AL74" s="22"/>
      <c r="AM74" s="22"/>
      <c r="AN74" s="24" t="s">
        <v>65</v>
      </c>
      <c r="AO74" s="22"/>
    </row>
    <row r="75" ht="15.75" customHeight="1">
      <c r="A75" s="15">
        <v>69.0</v>
      </c>
      <c r="B75" s="15" t="s">
        <v>138</v>
      </c>
      <c r="C75" s="15" t="s">
        <v>140</v>
      </c>
      <c r="D75" s="16" t="s">
        <v>143</v>
      </c>
      <c r="E75" s="15" t="s">
        <v>49</v>
      </c>
      <c r="F75" s="18" t="s">
        <v>145</v>
      </c>
      <c r="G75" s="16">
        <v>8.048073745E9</v>
      </c>
      <c r="H75" s="15" t="s">
        <v>147</v>
      </c>
      <c r="I75" s="15" t="s">
        <v>148</v>
      </c>
      <c r="J75" s="15" t="s">
        <v>148</v>
      </c>
      <c r="K75" s="15" t="s">
        <v>55</v>
      </c>
      <c r="L75" s="15" t="s">
        <v>56</v>
      </c>
      <c r="M75" s="15" t="s">
        <v>57</v>
      </c>
      <c r="N75" s="15" t="s">
        <v>58</v>
      </c>
      <c r="O75" s="15">
        <v>500.0</v>
      </c>
      <c r="P75" s="15">
        <v>850.0</v>
      </c>
      <c r="Q75" s="15" t="s">
        <v>59</v>
      </c>
      <c r="R75" s="15" t="s">
        <v>58</v>
      </c>
      <c r="S75" s="15" t="s">
        <v>58</v>
      </c>
      <c r="T75" s="15"/>
      <c r="U75" s="15"/>
      <c r="V75" s="15" t="s">
        <v>61</v>
      </c>
      <c r="W75" s="15" t="s">
        <v>58</v>
      </c>
      <c r="X75" s="15" t="s">
        <v>58</v>
      </c>
      <c r="Y75" s="15" t="s">
        <v>58</v>
      </c>
      <c r="Z75" s="15" t="s">
        <v>58</v>
      </c>
      <c r="AA75" s="15" t="s">
        <v>58</v>
      </c>
      <c r="AB75" s="15" t="s">
        <v>58</v>
      </c>
      <c r="AC75" s="15" t="s">
        <v>58</v>
      </c>
      <c r="AD75" s="15" t="s">
        <v>58</v>
      </c>
      <c r="AE75" s="15" t="s">
        <v>61</v>
      </c>
      <c r="AF75" s="15" t="s">
        <v>61</v>
      </c>
      <c r="AG75" s="15" t="s">
        <v>58</v>
      </c>
      <c r="AH75" s="15">
        <v>20.0</v>
      </c>
      <c r="AI75" s="15">
        <v>1000.0</v>
      </c>
      <c r="AJ75" s="15">
        <v>20.0</v>
      </c>
      <c r="AK75" s="15">
        <v>0.0</v>
      </c>
      <c r="AL75" s="15"/>
      <c r="AM75" s="15"/>
      <c r="AN75" s="16" t="s">
        <v>65</v>
      </c>
      <c r="AO75" s="21">
        <v>2.0</v>
      </c>
    </row>
    <row r="76" ht="15.75" customHeight="1">
      <c r="A76" s="22">
        <v>70.0</v>
      </c>
      <c r="B76" s="22" t="s">
        <v>940</v>
      </c>
      <c r="C76" s="22" t="s">
        <v>941</v>
      </c>
      <c r="D76" s="22" t="s">
        <v>942</v>
      </c>
      <c r="E76" s="22" t="s">
        <v>49</v>
      </c>
      <c r="F76" s="24" t="s">
        <v>943</v>
      </c>
      <c r="G76" s="24" t="s">
        <v>945</v>
      </c>
      <c r="H76" s="22" t="s">
        <v>303</v>
      </c>
      <c r="I76" s="22" t="s">
        <v>303</v>
      </c>
      <c r="J76" s="22" t="s">
        <v>74</v>
      </c>
      <c r="K76" s="22" t="s">
        <v>55</v>
      </c>
      <c r="L76" s="22" t="s">
        <v>56</v>
      </c>
      <c r="M76" s="22" t="s">
        <v>57</v>
      </c>
      <c r="N76" s="22" t="s">
        <v>58</v>
      </c>
      <c r="O76" s="22">
        <v>500.0</v>
      </c>
      <c r="P76" s="22">
        <v>700.0</v>
      </c>
      <c r="Q76" s="22" t="s">
        <v>59</v>
      </c>
      <c r="R76" s="22" t="s">
        <v>58</v>
      </c>
      <c r="S76" s="22" t="s">
        <v>58</v>
      </c>
      <c r="T76" s="22" t="s">
        <v>948</v>
      </c>
      <c r="U76" s="22"/>
      <c r="V76" s="22" t="s">
        <v>61</v>
      </c>
      <c r="W76" s="22" t="s">
        <v>58</v>
      </c>
      <c r="X76" s="22" t="s">
        <v>58</v>
      </c>
      <c r="Y76" s="22" t="s">
        <v>58</v>
      </c>
      <c r="Z76" s="22" t="s">
        <v>58</v>
      </c>
      <c r="AA76" s="22" t="s">
        <v>58</v>
      </c>
      <c r="AB76" s="22" t="s">
        <v>58</v>
      </c>
      <c r="AC76" s="22" t="s">
        <v>58</v>
      </c>
      <c r="AD76" s="22" t="s">
        <v>58</v>
      </c>
      <c r="AE76" s="22" t="s">
        <v>61</v>
      </c>
      <c r="AF76" s="22" t="s">
        <v>61</v>
      </c>
      <c r="AG76" s="22" t="s">
        <v>58</v>
      </c>
      <c r="AH76" s="22">
        <v>50.0</v>
      </c>
      <c r="AI76" s="22">
        <v>10000.0</v>
      </c>
      <c r="AJ76" s="22">
        <v>50.0</v>
      </c>
      <c r="AK76" s="22">
        <v>0.0</v>
      </c>
      <c r="AL76" s="22"/>
      <c r="AM76" s="22"/>
      <c r="AN76" s="24" t="s">
        <v>65</v>
      </c>
      <c r="AO76" s="22"/>
    </row>
    <row r="77" ht="15.75" customHeight="1">
      <c r="A77" s="22">
        <v>71.0</v>
      </c>
      <c r="B77" s="22" t="s">
        <v>951</v>
      </c>
      <c r="C77" s="22" t="s">
        <v>953</v>
      </c>
      <c r="D77" s="24" t="s">
        <v>954</v>
      </c>
      <c r="E77" s="22" t="s">
        <v>49</v>
      </c>
      <c r="F77" s="27" t="s">
        <v>955</v>
      </c>
      <c r="G77" s="24" t="s">
        <v>69</v>
      </c>
      <c r="H77" s="22" t="s">
        <v>472</v>
      </c>
      <c r="I77" s="22" t="s">
        <v>473</v>
      </c>
      <c r="J77" s="22" t="s">
        <v>74</v>
      </c>
      <c r="K77" s="22" t="s">
        <v>55</v>
      </c>
      <c r="L77" s="22" t="s">
        <v>56</v>
      </c>
      <c r="M77" s="22" t="s">
        <v>57</v>
      </c>
      <c r="N77" s="22" t="s">
        <v>58</v>
      </c>
      <c r="O77" s="22">
        <v>1100.0</v>
      </c>
      <c r="P77" s="22"/>
      <c r="Q77" s="22" t="s">
        <v>59</v>
      </c>
      <c r="R77" s="22" t="s">
        <v>58</v>
      </c>
      <c r="S77" s="22" t="s">
        <v>58</v>
      </c>
      <c r="T77" s="22"/>
      <c r="U77" s="22"/>
      <c r="V77" s="22" t="s">
        <v>61</v>
      </c>
      <c r="W77" s="22" t="s">
        <v>58</v>
      </c>
      <c r="X77" s="22" t="s">
        <v>58</v>
      </c>
      <c r="Y77" s="22" t="s">
        <v>58</v>
      </c>
      <c r="Z77" s="22" t="s">
        <v>58</v>
      </c>
      <c r="AA77" s="22" t="s">
        <v>58</v>
      </c>
      <c r="AB77" s="22" t="s">
        <v>58</v>
      </c>
      <c r="AC77" s="22" t="s">
        <v>58</v>
      </c>
      <c r="AD77" s="22" t="s">
        <v>58</v>
      </c>
      <c r="AE77" s="22" t="s">
        <v>61</v>
      </c>
      <c r="AF77" s="22" t="s">
        <v>61</v>
      </c>
      <c r="AG77" s="22" t="s">
        <v>58</v>
      </c>
      <c r="AH77" s="22">
        <v>50.0</v>
      </c>
      <c r="AI77" s="22">
        <v>5000.0</v>
      </c>
      <c r="AJ77" s="22">
        <v>50.0</v>
      </c>
      <c r="AK77" s="22">
        <v>0.0</v>
      </c>
      <c r="AL77" s="22"/>
      <c r="AM77" s="22"/>
      <c r="AN77" s="24" t="s">
        <v>65</v>
      </c>
      <c r="AO77" s="22"/>
    </row>
    <row r="78" ht="15.75" customHeight="1">
      <c r="A78" s="22">
        <v>72.0</v>
      </c>
      <c r="B78" s="22" t="s">
        <v>960</v>
      </c>
      <c r="C78" s="22" t="s">
        <v>961</v>
      </c>
      <c r="D78" s="24" t="s">
        <v>962</v>
      </c>
      <c r="E78" s="22" t="s">
        <v>49</v>
      </c>
      <c r="F78" s="24" t="s">
        <v>69</v>
      </c>
      <c r="G78" s="24" t="s">
        <v>69</v>
      </c>
      <c r="H78" s="22" t="s">
        <v>142</v>
      </c>
      <c r="I78" s="22" t="s">
        <v>144</v>
      </c>
      <c r="J78" s="22" t="s">
        <v>74</v>
      </c>
      <c r="K78" s="22" t="s">
        <v>55</v>
      </c>
      <c r="L78" s="22" t="s">
        <v>56</v>
      </c>
      <c r="M78" s="22" t="s">
        <v>57</v>
      </c>
      <c r="N78" s="22" t="s">
        <v>58</v>
      </c>
      <c r="O78" s="22">
        <v>550.0</v>
      </c>
      <c r="P78" s="22"/>
      <c r="Q78" s="22" t="s">
        <v>59</v>
      </c>
      <c r="R78" s="22" t="s">
        <v>58</v>
      </c>
      <c r="S78" s="22" t="s">
        <v>58</v>
      </c>
      <c r="T78" s="22"/>
      <c r="U78" s="22"/>
      <c r="V78" s="22" t="s">
        <v>61</v>
      </c>
      <c r="W78" s="22" t="s">
        <v>58</v>
      </c>
      <c r="X78" s="22" t="s">
        <v>58</v>
      </c>
      <c r="Y78" s="22" t="s">
        <v>58</v>
      </c>
      <c r="Z78" s="22" t="s">
        <v>58</v>
      </c>
      <c r="AA78" s="22" t="s">
        <v>58</v>
      </c>
      <c r="AB78" s="22" t="s">
        <v>58</v>
      </c>
      <c r="AC78" s="22" t="s">
        <v>58</v>
      </c>
      <c r="AD78" s="22" t="s">
        <v>58</v>
      </c>
      <c r="AE78" s="22" t="s">
        <v>61</v>
      </c>
      <c r="AF78" s="22" t="s">
        <v>61</v>
      </c>
      <c r="AG78" s="22" t="s">
        <v>58</v>
      </c>
      <c r="AH78" s="22">
        <v>50.0</v>
      </c>
      <c r="AI78" s="22">
        <v>2000.0</v>
      </c>
      <c r="AJ78" s="22">
        <v>50.0</v>
      </c>
      <c r="AK78" s="22">
        <v>0.0</v>
      </c>
      <c r="AL78" s="22"/>
      <c r="AM78" s="22"/>
      <c r="AN78" s="24" t="s">
        <v>65</v>
      </c>
      <c r="AO78" s="22"/>
    </row>
    <row r="79" ht="15.75" customHeight="1">
      <c r="A79" s="15">
        <v>73.0</v>
      </c>
      <c r="B79" s="15" t="s">
        <v>231</v>
      </c>
      <c r="C79" s="15" t="s">
        <v>232</v>
      </c>
      <c r="D79" s="16" t="s">
        <v>969</v>
      </c>
      <c r="E79" s="15" t="s">
        <v>49</v>
      </c>
      <c r="F79" s="18" t="s">
        <v>233</v>
      </c>
      <c r="G79" s="16">
        <v>9.911243304E9</v>
      </c>
      <c r="H79" s="15" t="s">
        <v>75</v>
      </c>
      <c r="I79" s="15" t="s">
        <v>76</v>
      </c>
      <c r="J79" s="15" t="s">
        <v>76</v>
      </c>
      <c r="K79" s="15" t="s">
        <v>55</v>
      </c>
      <c r="L79" s="15" t="s">
        <v>56</v>
      </c>
      <c r="M79" s="15" t="s">
        <v>57</v>
      </c>
      <c r="N79" s="15" t="s">
        <v>58</v>
      </c>
      <c r="O79" s="15">
        <v>450.0</v>
      </c>
      <c r="P79" s="15">
        <v>900.0</v>
      </c>
      <c r="Q79" s="15" t="s">
        <v>59</v>
      </c>
      <c r="R79" s="15" t="s">
        <v>58</v>
      </c>
      <c r="S79" s="15" t="s">
        <v>58</v>
      </c>
      <c r="T79" s="15"/>
      <c r="U79" s="15"/>
      <c r="V79" s="15" t="s">
        <v>61</v>
      </c>
      <c r="W79" s="15" t="s">
        <v>58</v>
      </c>
      <c r="X79" s="15" t="s">
        <v>58</v>
      </c>
      <c r="Y79" s="15" t="s">
        <v>58</v>
      </c>
      <c r="Z79" s="15" t="s">
        <v>58</v>
      </c>
      <c r="AA79" s="15" t="s">
        <v>58</v>
      </c>
      <c r="AB79" s="15" t="s">
        <v>58</v>
      </c>
      <c r="AC79" s="15" t="s">
        <v>58</v>
      </c>
      <c r="AD79" s="15" t="s">
        <v>58</v>
      </c>
      <c r="AE79" s="15" t="s">
        <v>61</v>
      </c>
      <c r="AF79" s="15" t="s">
        <v>61</v>
      </c>
      <c r="AG79" s="15" t="s">
        <v>58</v>
      </c>
      <c r="AH79" s="15">
        <v>50.0</v>
      </c>
      <c r="AI79" s="15">
        <v>1000.0</v>
      </c>
      <c r="AJ79" s="15">
        <v>50.0</v>
      </c>
      <c r="AK79" s="15">
        <v>0.0</v>
      </c>
      <c r="AL79" s="15"/>
      <c r="AM79" s="15"/>
      <c r="AN79" s="16" t="s">
        <v>65</v>
      </c>
      <c r="AO79" s="21">
        <v>2.0</v>
      </c>
    </row>
    <row r="80" ht="15.75" customHeight="1">
      <c r="A80" s="22">
        <v>74.0</v>
      </c>
      <c r="B80" s="22" t="s">
        <v>973</v>
      </c>
      <c r="C80" s="22" t="s">
        <v>974</v>
      </c>
      <c r="D80" s="24" t="s">
        <v>975</v>
      </c>
      <c r="E80" s="22" t="s">
        <v>49</v>
      </c>
      <c r="F80" s="24" t="s">
        <v>69</v>
      </c>
      <c r="G80" s="24" t="s">
        <v>69</v>
      </c>
      <c r="H80" s="22" t="s">
        <v>123</v>
      </c>
      <c r="I80" s="22" t="s">
        <v>124</v>
      </c>
      <c r="J80" s="22" t="s">
        <v>74</v>
      </c>
      <c r="K80" s="22" t="s">
        <v>55</v>
      </c>
      <c r="L80" s="22" t="s">
        <v>56</v>
      </c>
      <c r="M80" s="22" t="s">
        <v>57</v>
      </c>
      <c r="N80" s="22" t="s">
        <v>58</v>
      </c>
      <c r="O80" s="22">
        <v>450.0</v>
      </c>
      <c r="P80" s="22">
        <v>600.0</v>
      </c>
      <c r="Q80" s="22" t="s">
        <v>59</v>
      </c>
      <c r="R80" s="22" t="s">
        <v>58</v>
      </c>
      <c r="S80" s="22" t="s">
        <v>58</v>
      </c>
      <c r="T80" s="22"/>
      <c r="U80" s="22"/>
      <c r="V80" s="22" t="s">
        <v>61</v>
      </c>
      <c r="W80" s="22" t="s">
        <v>58</v>
      </c>
      <c r="X80" s="22" t="s">
        <v>58</v>
      </c>
      <c r="Y80" s="22" t="s">
        <v>58</v>
      </c>
      <c r="Z80" s="22" t="s">
        <v>58</v>
      </c>
      <c r="AA80" s="22" t="s">
        <v>58</v>
      </c>
      <c r="AB80" s="22" t="s">
        <v>58</v>
      </c>
      <c r="AC80" s="22" t="s">
        <v>58</v>
      </c>
      <c r="AD80" s="22" t="s">
        <v>58</v>
      </c>
      <c r="AE80" s="22" t="s">
        <v>61</v>
      </c>
      <c r="AF80" s="22" t="s">
        <v>61</v>
      </c>
      <c r="AG80" s="22" t="s">
        <v>58</v>
      </c>
      <c r="AH80" s="22">
        <v>25.0</v>
      </c>
      <c r="AI80" s="22">
        <v>1000.0</v>
      </c>
      <c r="AJ80" s="22">
        <v>25.0</v>
      </c>
      <c r="AK80" s="22">
        <v>0.0</v>
      </c>
      <c r="AL80" s="22"/>
      <c r="AM80" s="22"/>
      <c r="AN80" s="24" t="s">
        <v>65</v>
      </c>
      <c r="AO80" s="22"/>
    </row>
    <row r="81" ht="15.75" customHeight="1">
      <c r="A81" s="22">
        <v>75.0</v>
      </c>
      <c r="B81" s="22" t="s">
        <v>979</v>
      </c>
      <c r="C81" s="22" t="s">
        <v>980</v>
      </c>
      <c r="D81" s="22" t="s">
        <v>981</v>
      </c>
      <c r="E81" s="22" t="s">
        <v>49</v>
      </c>
      <c r="F81" s="27" t="s">
        <v>982</v>
      </c>
      <c r="G81" s="24" t="s">
        <v>122</v>
      </c>
      <c r="H81" s="22" t="s">
        <v>123</v>
      </c>
      <c r="I81" s="22" t="s">
        <v>124</v>
      </c>
      <c r="J81" s="22" t="s">
        <v>74</v>
      </c>
      <c r="K81" s="22" t="s">
        <v>55</v>
      </c>
      <c r="L81" s="22" t="s">
        <v>56</v>
      </c>
      <c r="M81" s="22" t="s">
        <v>57</v>
      </c>
      <c r="N81" s="22" t="s">
        <v>58</v>
      </c>
      <c r="O81" s="22">
        <v>800.0</v>
      </c>
      <c r="P81" s="22">
        <v>1000.0</v>
      </c>
      <c r="Q81" s="22" t="s">
        <v>59</v>
      </c>
      <c r="R81" s="22" t="s">
        <v>58</v>
      </c>
      <c r="S81" s="22" t="s">
        <v>58</v>
      </c>
      <c r="T81" s="22"/>
      <c r="U81" s="22"/>
      <c r="V81" s="22" t="s">
        <v>61</v>
      </c>
      <c r="W81" s="22" t="s">
        <v>58</v>
      </c>
      <c r="X81" s="22" t="s">
        <v>58</v>
      </c>
      <c r="Y81" s="22" t="s">
        <v>58</v>
      </c>
      <c r="Z81" s="22" t="s">
        <v>58</v>
      </c>
      <c r="AA81" s="22" t="s">
        <v>58</v>
      </c>
      <c r="AB81" s="22" t="s">
        <v>58</v>
      </c>
      <c r="AC81" s="22" t="s">
        <v>58</v>
      </c>
      <c r="AD81" s="22" t="s">
        <v>58</v>
      </c>
      <c r="AE81" s="22" t="s">
        <v>61</v>
      </c>
      <c r="AF81" s="22" t="s">
        <v>61</v>
      </c>
      <c r="AG81" s="22" t="s">
        <v>58</v>
      </c>
      <c r="AH81" s="22">
        <v>100.0</v>
      </c>
      <c r="AI81" s="22">
        <v>2000.0</v>
      </c>
      <c r="AJ81" s="22">
        <v>100.0</v>
      </c>
      <c r="AK81" s="22">
        <v>0.0</v>
      </c>
      <c r="AL81" s="22"/>
      <c r="AM81" s="22"/>
      <c r="AN81" s="24" t="s">
        <v>65</v>
      </c>
      <c r="AO81" s="22"/>
    </row>
    <row r="82" ht="15.75" customHeight="1">
      <c r="A82" s="15">
        <v>76.0</v>
      </c>
      <c r="B82" s="15" t="s">
        <v>572</v>
      </c>
      <c r="C82" s="15" t="s">
        <v>574</v>
      </c>
      <c r="D82" s="16" t="s">
        <v>991</v>
      </c>
      <c r="E82" s="15" t="s">
        <v>49</v>
      </c>
      <c r="F82" s="18" t="s">
        <v>579</v>
      </c>
      <c r="G82" s="16" t="s">
        <v>584</v>
      </c>
      <c r="H82" s="15" t="s">
        <v>75</v>
      </c>
      <c r="I82" s="15" t="s">
        <v>76</v>
      </c>
      <c r="J82" s="15" t="s">
        <v>76</v>
      </c>
      <c r="K82" s="15" t="s">
        <v>55</v>
      </c>
      <c r="L82" s="15" t="s">
        <v>56</v>
      </c>
      <c r="M82" s="15" t="s">
        <v>57</v>
      </c>
      <c r="N82" s="15" t="s">
        <v>58</v>
      </c>
      <c r="O82" s="15">
        <v>800.0</v>
      </c>
      <c r="P82" s="15">
        <v>1000.0</v>
      </c>
      <c r="Q82" s="15" t="s">
        <v>59</v>
      </c>
      <c r="R82" s="15" t="s">
        <v>58</v>
      </c>
      <c r="S82" s="15" t="s">
        <v>58</v>
      </c>
      <c r="T82" s="15"/>
      <c r="U82" s="15"/>
      <c r="V82" s="15" t="s">
        <v>61</v>
      </c>
      <c r="W82" s="15" t="s">
        <v>58</v>
      </c>
      <c r="X82" s="15" t="s">
        <v>58</v>
      </c>
      <c r="Y82" s="15" t="s">
        <v>58</v>
      </c>
      <c r="Z82" s="15" t="s">
        <v>58</v>
      </c>
      <c r="AA82" s="15" t="s">
        <v>58</v>
      </c>
      <c r="AB82" s="15" t="s">
        <v>58</v>
      </c>
      <c r="AC82" s="15" t="s">
        <v>58</v>
      </c>
      <c r="AD82" s="15" t="s">
        <v>58</v>
      </c>
      <c r="AE82" s="15" t="s">
        <v>61</v>
      </c>
      <c r="AF82" s="15" t="s">
        <v>61</v>
      </c>
      <c r="AG82" s="15" t="s">
        <v>58</v>
      </c>
      <c r="AH82" s="15">
        <v>50.0</v>
      </c>
      <c r="AI82" s="15">
        <v>2000.0</v>
      </c>
      <c r="AJ82" s="15">
        <v>50.0</v>
      </c>
      <c r="AK82" s="15">
        <v>0.0</v>
      </c>
      <c r="AL82" s="15"/>
      <c r="AM82" s="15"/>
      <c r="AN82" s="16" t="s">
        <v>65</v>
      </c>
      <c r="AO82" s="21">
        <v>2.0</v>
      </c>
    </row>
    <row r="83" ht="15.75" customHeight="1">
      <c r="A83" s="15">
        <v>77.0</v>
      </c>
      <c r="B83" s="15" t="s">
        <v>548</v>
      </c>
      <c r="C83" s="15" t="s">
        <v>550</v>
      </c>
      <c r="D83" s="16" t="s">
        <v>551</v>
      </c>
      <c r="E83" s="15" t="s">
        <v>49</v>
      </c>
      <c r="F83" s="18" t="s">
        <v>552</v>
      </c>
      <c r="G83" s="16" t="s">
        <v>1002</v>
      </c>
      <c r="H83" s="15" t="s">
        <v>53</v>
      </c>
      <c r="I83" s="15" t="s">
        <v>54</v>
      </c>
      <c r="J83" s="15" t="s">
        <v>54</v>
      </c>
      <c r="K83" s="15" t="s">
        <v>55</v>
      </c>
      <c r="L83" s="15" t="s">
        <v>56</v>
      </c>
      <c r="M83" s="15" t="s">
        <v>57</v>
      </c>
      <c r="N83" s="15" t="s">
        <v>58</v>
      </c>
      <c r="O83" s="15">
        <v>1000.0</v>
      </c>
      <c r="P83" s="15">
        <v>1300.0</v>
      </c>
      <c r="Q83" s="15" t="s">
        <v>59</v>
      </c>
      <c r="R83" s="15" t="s">
        <v>58</v>
      </c>
      <c r="S83" s="15" t="s">
        <v>58</v>
      </c>
      <c r="T83" s="15"/>
      <c r="U83" s="15"/>
      <c r="V83" s="15" t="s">
        <v>61</v>
      </c>
      <c r="W83" s="15" t="s">
        <v>58</v>
      </c>
      <c r="X83" s="15" t="s">
        <v>58</v>
      </c>
      <c r="Y83" s="15" t="s">
        <v>58</v>
      </c>
      <c r="Z83" s="15" t="s">
        <v>58</v>
      </c>
      <c r="AA83" s="15" t="s">
        <v>58</v>
      </c>
      <c r="AB83" s="15" t="s">
        <v>58</v>
      </c>
      <c r="AC83" s="15" t="s">
        <v>58</v>
      </c>
      <c r="AD83" s="15" t="s">
        <v>58</v>
      </c>
      <c r="AE83" s="15" t="s">
        <v>61</v>
      </c>
      <c r="AF83" s="15" t="s">
        <v>61</v>
      </c>
      <c r="AG83" s="15" t="s">
        <v>58</v>
      </c>
      <c r="AH83" s="15">
        <v>20.0</v>
      </c>
      <c r="AI83" s="15">
        <v>600.0</v>
      </c>
      <c r="AJ83" s="15">
        <v>20.0</v>
      </c>
      <c r="AK83" s="15">
        <v>0.0</v>
      </c>
      <c r="AL83" s="15"/>
      <c r="AM83" s="15"/>
      <c r="AN83" s="16" t="s">
        <v>65</v>
      </c>
      <c r="AO83" s="21">
        <v>2.0</v>
      </c>
    </row>
    <row r="84" ht="41.25" customHeight="1">
      <c r="A84" s="22">
        <v>78.0</v>
      </c>
      <c r="B84" s="22" t="s">
        <v>1007</v>
      </c>
      <c r="C84" s="22" t="s">
        <v>1008</v>
      </c>
      <c r="D84" s="22" t="s">
        <v>1009</v>
      </c>
      <c r="E84" s="22" t="s">
        <v>49</v>
      </c>
      <c r="F84" s="24" t="s">
        <v>1010</v>
      </c>
      <c r="G84" s="24" t="s">
        <v>122</v>
      </c>
      <c r="H84" s="22" t="s">
        <v>513</v>
      </c>
      <c r="I84" s="22" t="s">
        <v>514</v>
      </c>
      <c r="J84" s="22" t="s">
        <v>74</v>
      </c>
      <c r="K84" s="22" t="s">
        <v>55</v>
      </c>
      <c r="L84" s="22" t="s">
        <v>56</v>
      </c>
      <c r="M84" s="22" t="s">
        <v>57</v>
      </c>
      <c r="N84" s="22" t="s">
        <v>58</v>
      </c>
      <c r="O84" s="22">
        <v>1500.0</v>
      </c>
      <c r="P84" s="22"/>
      <c r="Q84" s="22" t="s">
        <v>59</v>
      </c>
      <c r="R84" s="22" t="s">
        <v>58</v>
      </c>
      <c r="S84" s="22" t="s">
        <v>58</v>
      </c>
      <c r="T84" s="24" t="s">
        <v>1011</v>
      </c>
      <c r="U84" s="22"/>
      <c r="V84" s="22" t="s">
        <v>61</v>
      </c>
      <c r="W84" s="22" t="s">
        <v>58</v>
      </c>
      <c r="X84" s="22" t="s">
        <v>58</v>
      </c>
      <c r="Y84" s="22" t="s">
        <v>58</v>
      </c>
      <c r="Z84" s="22" t="s">
        <v>58</v>
      </c>
      <c r="AA84" s="22" t="s">
        <v>58</v>
      </c>
      <c r="AB84" s="22" t="s">
        <v>58</v>
      </c>
      <c r="AC84" s="22" t="s">
        <v>58</v>
      </c>
      <c r="AD84" s="22" t="s">
        <v>58</v>
      </c>
      <c r="AE84" s="22" t="s">
        <v>61</v>
      </c>
      <c r="AF84" s="22" t="s">
        <v>61</v>
      </c>
      <c r="AG84" s="22" t="s">
        <v>58</v>
      </c>
      <c r="AH84" s="22">
        <v>100.0</v>
      </c>
      <c r="AI84" s="22">
        <v>5000.0</v>
      </c>
      <c r="AJ84" s="22">
        <v>100.0</v>
      </c>
      <c r="AK84" s="22">
        <v>0.0</v>
      </c>
      <c r="AL84" s="22"/>
      <c r="AM84" s="22"/>
      <c r="AN84" s="24" t="s">
        <v>65</v>
      </c>
      <c r="AO84" s="22"/>
    </row>
    <row r="85" ht="15.75" customHeight="1">
      <c r="A85" s="22">
        <v>79.0</v>
      </c>
      <c r="B85" s="22" t="s">
        <v>1015</v>
      </c>
      <c r="C85" s="22" t="s">
        <v>1016</v>
      </c>
      <c r="D85" s="22" t="s">
        <v>1017</v>
      </c>
      <c r="E85" s="22" t="s">
        <v>49</v>
      </c>
      <c r="F85" s="27" t="s">
        <v>1019</v>
      </c>
      <c r="G85" s="24" t="s">
        <v>69</v>
      </c>
      <c r="H85" s="22" t="s">
        <v>1020</v>
      </c>
      <c r="I85" s="22" t="s">
        <v>587</v>
      </c>
      <c r="J85" s="22" t="s">
        <v>74</v>
      </c>
      <c r="K85" s="22" t="s">
        <v>55</v>
      </c>
      <c r="L85" s="22" t="s">
        <v>56</v>
      </c>
      <c r="M85" s="22" t="s">
        <v>57</v>
      </c>
      <c r="N85" s="22" t="s">
        <v>58</v>
      </c>
      <c r="O85" s="22">
        <v>500.0</v>
      </c>
      <c r="P85" s="22">
        <v>800.0</v>
      </c>
      <c r="Q85" s="22" t="s">
        <v>59</v>
      </c>
      <c r="R85" s="22" t="s">
        <v>58</v>
      </c>
      <c r="S85" s="22" t="s">
        <v>58</v>
      </c>
      <c r="T85" s="24" t="s">
        <v>1024</v>
      </c>
      <c r="U85" s="24" t="s">
        <v>1027</v>
      </c>
      <c r="V85" s="22" t="s">
        <v>61</v>
      </c>
      <c r="W85" s="22" t="s">
        <v>58</v>
      </c>
      <c r="X85" s="22" t="s">
        <v>58</v>
      </c>
      <c r="Y85" s="22" t="s">
        <v>58</v>
      </c>
      <c r="Z85" s="22" t="s">
        <v>58</v>
      </c>
      <c r="AA85" s="22" t="s">
        <v>58</v>
      </c>
      <c r="AB85" s="22" t="s">
        <v>58</v>
      </c>
      <c r="AC85" s="22" t="s">
        <v>58</v>
      </c>
      <c r="AD85" s="22" t="s">
        <v>58</v>
      </c>
      <c r="AE85" s="22" t="s">
        <v>61</v>
      </c>
      <c r="AF85" s="22" t="s">
        <v>61</v>
      </c>
      <c r="AG85" s="22" t="s">
        <v>58</v>
      </c>
      <c r="AH85" s="22">
        <v>100.0</v>
      </c>
      <c r="AI85" s="22">
        <v>5000.0</v>
      </c>
      <c r="AJ85" s="22">
        <v>100.0</v>
      </c>
      <c r="AK85" s="22">
        <v>0.0</v>
      </c>
      <c r="AL85" s="22"/>
      <c r="AM85" s="22"/>
      <c r="AN85" s="24" t="s">
        <v>65</v>
      </c>
      <c r="AO85" s="22"/>
    </row>
    <row r="86" ht="30.75" customHeight="1">
      <c r="A86" s="22">
        <v>80.0</v>
      </c>
      <c r="B86" s="22" t="s">
        <v>561</v>
      </c>
      <c r="C86" s="22" t="s">
        <v>562</v>
      </c>
      <c r="D86" s="22" t="s">
        <v>563</v>
      </c>
      <c r="E86" s="22" t="s">
        <v>49</v>
      </c>
      <c r="F86" s="24" t="s">
        <v>69</v>
      </c>
      <c r="G86" s="24" t="s">
        <v>69</v>
      </c>
      <c r="H86" s="22" t="s">
        <v>53</v>
      </c>
      <c r="I86" s="22" t="s">
        <v>54</v>
      </c>
      <c r="J86" s="22" t="s">
        <v>54</v>
      </c>
      <c r="K86" s="22" t="s">
        <v>55</v>
      </c>
      <c r="L86" s="22" t="s">
        <v>56</v>
      </c>
      <c r="M86" s="22" t="s">
        <v>57</v>
      </c>
      <c r="N86" s="22" t="s">
        <v>58</v>
      </c>
      <c r="O86" s="22">
        <v>1100.0</v>
      </c>
      <c r="P86" s="22">
        <v>1200.0</v>
      </c>
      <c r="Q86" s="22" t="s">
        <v>59</v>
      </c>
      <c r="R86" s="22" t="s">
        <v>58</v>
      </c>
      <c r="S86" s="22" t="s">
        <v>58</v>
      </c>
      <c r="T86" s="61" t="s">
        <v>1032</v>
      </c>
      <c r="U86" s="24" t="s">
        <v>1036</v>
      </c>
      <c r="V86" s="22" t="s">
        <v>61</v>
      </c>
      <c r="W86" s="22" t="s">
        <v>58</v>
      </c>
      <c r="X86" s="22" t="s">
        <v>58</v>
      </c>
      <c r="Y86" s="22" t="s">
        <v>58</v>
      </c>
      <c r="Z86" s="22" t="s">
        <v>58</v>
      </c>
      <c r="AA86" s="22" t="s">
        <v>58</v>
      </c>
      <c r="AB86" s="22" t="s">
        <v>58</v>
      </c>
      <c r="AC86" s="22" t="s">
        <v>61</v>
      </c>
      <c r="AD86" s="22" t="s">
        <v>58</v>
      </c>
      <c r="AE86" s="22" t="s">
        <v>61</v>
      </c>
      <c r="AF86" s="22" t="s">
        <v>61</v>
      </c>
      <c r="AG86" s="22" t="s">
        <v>58</v>
      </c>
      <c r="AH86" s="22">
        <v>250.0</v>
      </c>
      <c r="AI86" s="22">
        <v>2500.0</v>
      </c>
      <c r="AJ86" s="22">
        <v>250.0</v>
      </c>
      <c r="AK86" s="22">
        <v>0.0</v>
      </c>
      <c r="AL86" s="22"/>
      <c r="AM86" s="22"/>
      <c r="AN86" s="24" t="s">
        <v>65</v>
      </c>
      <c r="AO86" s="22"/>
    </row>
    <row r="87" ht="25.5" customHeight="1">
      <c r="A87" s="15">
        <v>81.0</v>
      </c>
      <c r="B87" s="15" t="s">
        <v>1037</v>
      </c>
      <c r="C87" s="15" t="s">
        <v>1038</v>
      </c>
      <c r="D87" s="16" t="s">
        <v>1040</v>
      </c>
      <c r="E87" s="15" t="s">
        <v>49</v>
      </c>
      <c r="F87" s="18" t="s">
        <v>1041</v>
      </c>
      <c r="G87" s="16" t="s">
        <v>1043</v>
      </c>
      <c r="H87" s="15" t="s">
        <v>142</v>
      </c>
      <c r="I87" s="15" t="s">
        <v>144</v>
      </c>
      <c r="J87" s="15" t="s">
        <v>74</v>
      </c>
      <c r="K87" s="15" t="s">
        <v>55</v>
      </c>
      <c r="L87" s="15" t="s">
        <v>56</v>
      </c>
      <c r="M87" s="15" t="s">
        <v>57</v>
      </c>
      <c r="N87" s="15" t="s">
        <v>58</v>
      </c>
      <c r="O87" s="15">
        <v>5500.0</v>
      </c>
      <c r="P87" s="15">
        <v>5500.0</v>
      </c>
      <c r="Q87" s="15" t="s">
        <v>59</v>
      </c>
      <c r="R87" s="15" t="s">
        <v>58</v>
      </c>
      <c r="S87" s="15" t="s">
        <v>58</v>
      </c>
      <c r="T87" s="15"/>
      <c r="U87" s="15"/>
      <c r="V87" s="15" t="s">
        <v>61</v>
      </c>
      <c r="W87" s="15" t="s">
        <v>58</v>
      </c>
      <c r="X87" s="15" t="s">
        <v>58</v>
      </c>
      <c r="Y87" s="15" t="s">
        <v>58</v>
      </c>
      <c r="Z87" s="15" t="s">
        <v>58</v>
      </c>
      <c r="AA87" s="15" t="s">
        <v>58</v>
      </c>
      <c r="AB87" s="15" t="s">
        <v>58</v>
      </c>
      <c r="AC87" s="15" t="s">
        <v>58</v>
      </c>
      <c r="AD87" s="15" t="s">
        <v>58</v>
      </c>
      <c r="AE87" s="15" t="s">
        <v>61</v>
      </c>
      <c r="AF87" s="15" t="s">
        <v>61</v>
      </c>
      <c r="AG87" s="15" t="s">
        <v>58</v>
      </c>
      <c r="AH87" s="15">
        <v>0.0</v>
      </c>
      <c r="AI87" s="15">
        <v>5000.0</v>
      </c>
      <c r="AJ87" s="15">
        <v>0.0</v>
      </c>
      <c r="AK87" s="15">
        <v>0.0</v>
      </c>
      <c r="AL87" s="15"/>
      <c r="AM87" s="15"/>
      <c r="AN87" s="16" t="s">
        <v>65</v>
      </c>
      <c r="AO87" s="21">
        <v>2.0</v>
      </c>
    </row>
    <row r="88" ht="15.75" customHeight="1">
      <c r="A88" s="22">
        <v>82.0</v>
      </c>
      <c r="B88" s="22" t="s">
        <v>1048</v>
      </c>
      <c r="C88" s="22" t="s">
        <v>1049</v>
      </c>
      <c r="D88" s="24" t="s">
        <v>1050</v>
      </c>
      <c r="E88" s="22" t="s">
        <v>49</v>
      </c>
      <c r="F88" s="27" t="s">
        <v>1051</v>
      </c>
      <c r="G88" s="24" t="s">
        <v>122</v>
      </c>
      <c r="H88" s="22" t="s">
        <v>1055</v>
      </c>
      <c r="I88" s="22" t="s">
        <v>1057</v>
      </c>
      <c r="J88" s="22" t="s">
        <v>74</v>
      </c>
      <c r="K88" s="22" t="s">
        <v>55</v>
      </c>
      <c r="L88" s="22" t="s">
        <v>56</v>
      </c>
      <c r="M88" s="22" t="s">
        <v>57</v>
      </c>
      <c r="N88" s="22" t="s">
        <v>58</v>
      </c>
      <c r="O88" s="22">
        <v>1200.0</v>
      </c>
      <c r="P88" s="22">
        <v>2000.0</v>
      </c>
      <c r="Q88" s="22" t="s">
        <v>59</v>
      </c>
      <c r="R88" s="22" t="s">
        <v>58</v>
      </c>
      <c r="S88" s="22" t="s">
        <v>58</v>
      </c>
      <c r="T88" s="22"/>
      <c r="U88" s="22"/>
      <c r="V88" s="22" t="s">
        <v>61</v>
      </c>
      <c r="W88" s="22" t="s">
        <v>58</v>
      </c>
      <c r="X88" s="22" t="s">
        <v>58</v>
      </c>
      <c r="Y88" s="22" t="s">
        <v>58</v>
      </c>
      <c r="Z88" s="22" t="s">
        <v>58</v>
      </c>
      <c r="AA88" s="22" t="s">
        <v>58</v>
      </c>
      <c r="AB88" s="22" t="s">
        <v>58</v>
      </c>
      <c r="AC88" s="22" t="s">
        <v>58</v>
      </c>
      <c r="AD88" s="22" t="s">
        <v>58</v>
      </c>
      <c r="AE88" s="22" t="s">
        <v>61</v>
      </c>
      <c r="AF88" s="22" t="s">
        <v>61</v>
      </c>
      <c r="AG88" s="22" t="s">
        <v>58</v>
      </c>
      <c r="AH88" s="22">
        <v>150.0</v>
      </c>
      <c r="AI88" s="22">
        <v>25000.0</v>
      </c>
      <c r="AJ88" s="22">
        <v>150.0</v>
      </c>
      <c r="AK88" s="22">
        <v>0.0</v>
      </c>
      <c r="AL88" s="22"/>
      <c r="AM88" s="22"/>
      <c r="AN88" s="24" t="s">
        <v>65</v>
      </c>
      <c r="AO88" s="22"/>
    </row>
    <row r="89" ht="15.75" customHeight="1">
      <c r="A89" s="22">
        <v>83.0</v>
      </c>
      <c r="B89" s="22" t="s">
        <v>1060</v>
      </c>
      <c r="C89" s="22" t="s">
        <v>1061</v>
      </c>
      <c r="D89" s="24" t="s">
        <v>1062</v>
      </c>
      <c r="E89" s="22" t="s">
        <v>49</v>
      </c>
      <c r="F89" s="42" t="s">
        <v>1063</v>
      </c>
      <c r="G89" s="24" t="s">
        <v>69</v>
      </c>
      <c r="H89" s="22" t="s">
        <v>1067</v>
      </c>
      <c r="I89" s="22" t="s">
        <v>1068</v>
      </c>
      <c r="J89" s="22" t="s">
        <v>74</v>
      </c>
      <c r="K89" s="22" t="s">
        <v>55</v>
      </c>
      <c r="L89" s="22" t="s">
        <v>56</v>
      </c>
      <c r="M89" s="22" t="s">
        <v>57</v>
      </c>
      <c r="N89" s="22" t="s">
        <v>58</v>
      </c>
      <c r="O89" s="22">
        <v>2500.0</v>
      </c>
      <c r="P89" s="22">
        <v>2800.0</v>
      </c>
      <c r="Q89" s="22" t="s">
        <v>59</v>
      </c>
      <c r="R89" s="22" t="s">
        <v>58</v>
      </c>
      <c r="S89" s="22" t="s">
        <v>58</v>
      </c>
      <c r="T89" s="22"/>
      <c r="U89" s="22"/>
      <c r="V89" s="22" t="s">
        <v>61</v>
      </c>
      <c r="W89" s="22" t="s">
        <v>58</v>
      </c>
      <c r="X89" s="22" t="s">
        <v>58</v>
      </c>
      <c r="Y89" s="22" t="s">
        <v>58</v>
      </c>
      <c r="Z89" s="22" t="s">
        <v>58</v>
      </c>
      <c r="AA89" s="22" t="s">
        <v>58</v>
      </c>
      <c r="AB89" s="22" t="s">
        <v>58</v>
      </c>
      <c r="AC89" s="22" t="s">
        <v>58</v>
      </c>
      <c r="AD89" s="22" t="s">
        <v>58</v>
      </c>
      <c r="AE89" s="22" t="s">
        <v>61</v>
      </c>
      <c r="AF89" s="22" t="s">
        <v>61</v>
      </c>
      <c r="AG89" s="22" t="s">
        <v>58</v>
      </c>
      <c r="AH89" s="22">
        <v>100.0</v>
      </c>
      <c r="AI89" s="22">
        <v>5000.0</v>
      </c>
      <c r="AJ89" s="22">
        <v>100.0</v>
      </c>
      <c r="AK89" s="22">
        <v>0.0</v>
      </c>
      <c r="AL89" s="22"/>
      <c r="AM89" s="22"/>
      <c r="AN89" s="24" t="s">
        <v>65</v>
      </c>
      <c r="AO89" s="22"/>
    </row>
    <row r="90" ht="15.75" customHeight="1">
      <c r="A90" s="22">
        <v>84.0</v>
      </c>
      <c r="B90" s="22" t="s">
        <v>1073</v>
      </c>
      <c r="C90" s="22" t="s">
        <v>1075</v>
      </c>
      <c r="D90" s="24" t="s">
        <v>1076</v>
      </c>
      <c r="E90" s="22" t="s">
        <v>49</v>
      </c>
      <c r="F90" s="24" t="s">
        <v>122</v>
      </c>
      <c r="G90" s="24" t="s">
        <v>122</v>
      </c>
      <c r="H90" s="22" t="s">
        <v>389</v>
      </c>
      <c r="I90" s="22" t="s">
        <v>390</v>
      </c>
      <c r="J90" s="22" t="s">
        <v>390</v>
      </c>
      <c r="K90" s="22" t="s">
        <v>55</v>
      </c>
      <c r="L90" s="22" t="s">
        <v>56</v>
      </c>
      <c r="M90" s="22" t="s">
        <v>57</v>
      </c>
      <c r="N90" s="22" t="s">
        <v>58</v>
      </c>
      <c r="O90" s="22">
        <v>650.0</v>
      </c>
      <c r="P90" s="22">
        <v>850.0</v>
      </c>
      <c r="Q90" s="22" t="s">
        <v>59</v>
      </c>
      <c r="R90" s="22" t="s">
        <v>58</v>
      </c>
      <c r="S90" s="22" t="s">
        <v>58</v>
      </c>
      <c r="T90" s="22"/>
      <c r="U90" s="22"/>
      <c r="V90" s="22" t="s">
        <v>61</v>
      </c>
      <c r="W90" s="22" t="s">
        <v>58</v>
      </c>
      <c r="X90" s="22" t="s">
        <v>58</v>
      </c>
      <c r="Y90" s="22" t="s">
        <v>58</v>
      </c>
      <c r="Z90" s="22" t="s">
        <v>58</v>
      </c>
      <c r="AA90" s="22" t="s">
        <v>58</v>
      </c>
      <c r="AB90" s="22" t="s">
        <v>58</v>
      </c>
      <c r="AC90" s="22" t="s">
        <v>58</v>
      </c>
      <c r="AD90" s="22" t="s">
        <v>58</v>
      </c>
      <c r="AE90" s="22" t="s">
        <v>61</v>
      </c>
      <c r="AF90" s="22" t="s">
        <v>61</v>
      </c>
      <c r="AG90" s="22" t="s">
        <v>58</v>
      </c>
      <c r="AH90" s="22">
        <v>250.0</v>
      </c>
      <c r="AI90" s="22">
        <v>2500.0</v>
      </c>
      <c r="AJ90" s="22">
        <v>250.0</v>
      </c>
      <c r="AK90" s="22">
        <v>0.0</v>
      </c>
      <c r="AL90" s="22"/>
      <c r="AM90" s="22"/>
      <c r="AN90" s="24" t="s">
        <v>65</v>
      </c>
      <c r="AO90" s="22"/>
    </row>
    <row r="91" ht="15.75" customHeight="1">
      <c r="A91" s="22">
        <v>85.0</v>
      </c>
      <c r="B91" s="22" t="s">
        <v>262</v>
      </c>
      <c r="C91" s="22" t="s">
        <v>263</v>
      </c>
      <c r="D91" s="22" t="s">
        <v>264</v>
      </c>
      <c r="E91" s="22" t="s">
        <v>49</v>
      </c>
      <c r="F91" s="24" t="s">
        <v>1082</v>
      </c>
      <c r="G91" s="24" t="s">
        <v>122</v>
      </c>
      <c r="H91" s="22" t="s">
        <v>266</v>
      </c>
      <c r="I91" s="22" t="s">
        <v>267</v>
      </c>
      <c r="J91" s="22" t="s">
        <v>267</v>
      </c>
      <c r="K91" s="22" t="s">
        <v>55</v>
      </c>
      <c r="L91" s="22" t="s">
        <v>56</v>
      </c>
      <c r="M91" s="22" t="s">
        <v>57</v>
      </c>
      <c r="N91" s="22" t="s">
        <v>58</v>
      </c>
      <c r="O91" s="22">
        <v>1400.0</v>
      </c>
      <c r="P91" s="22">
        <v>1400.0</v>
      </c>
      <c r="Q91" s="22" t="s">
        <v>59</v>
      </c>
      <c r="R91" s="22" t="s">
        <v>58</v>
      </c>
      <c r="S91" s="22" t="s">
        <v>58</v>
      </c>
      <c r="T91" s="22" t="s">
        <v>275</v>
      </c>
      <c r="U91" s="22"/>
      <c r="V91" s="22" t="s">
        <v>61</v>
      </c>
      <c r="W91" s="22" t="s">
        <v>58</v>
      </c>
      <c r="X91" s="22" t="s">
        <v>58</v>
      </c>
      <c r="Y91" s="22" t="s">
        <v>58</v>
      </c>
      <c r="Z91" s="22" t="s">
        <v>58</v>
      </c>
      <c r="AA91" s="22" t="s">
        <v>58</v>
      </c>
      <c r="AB91" s="22" t="s">
        <v>58</v>
      </c>
      <c r="AC91" s="22" t="s">
        <v>58</v>
      </c>
      <c r="AD91" s="22" t="s">
        <v>58</v>
      </c>
      <c r="AE91" s="22" t="s">
        <v>61</v>
      </c>
      <c r="AF91" s="22" t="s">
        <v>61</v>
      </c>
      <c r="AG91" s="22" t="s">
        <v>58</v>
      </c>
      <c r="AH91" s="22">
        <v>25.0</v>
      </c>
      <c r="AI91" s="22">
        <v>5000.0</v>
      </c>
      <c r="AJ91" s="22">
        <v>25.0</v>
      </c>
      <c r="AK91" s="22">
        <v>0.0</v>
      </c>
      <c r="AL91" s="22"/>
      <c r="AM91" s="22"/>
      <c r="AN91" s="24" t="s">
        <v>65</v>
      </c>
      <c r="AO91" s="22"/>
    </row>
    <row r="92" ht="15.75" customHeight="1">
      <c r="A92" s="22">
        <v>86.0</v>
      </c>
      <c r="B92" s="22" t="s">
        <v>1088</v>
      </c>
      <c r="C92" s="22" t="s">
        <v>1089</v>
      </c>
      <c r="D92" s="24" t="s">
        <v>1090</v>
      </c>
      <c r="E92" s="22" t="s">
        <v>49</v>
      </c>
      <c r="F92" s="24" t="s">
        <v>122</v>
      </c>
      <c r="G92" s="24" t="s">
        <v>122</v>
      </c>
      <c r="H92" s="22" t="s">
        <v>1091</v>
      </c>
      <c r="I92" s="22" t="s">
        <v>1092</v>
      </c>
      <c r="J92" s="22" t="s">
        <v>74</v>
      </c>
      <c r="K92" s="22" t="s">
        <v>55</v>
      </c>
      <c r="L92" s="22" t="s">
        <v>56</v>
      </c>
      <c r="M92" s="22" t="s">
        <v>57</v>
      </c>
      <c r="N92" s="22" t="s">
        <v>58</v>
      </c>
      <c r="O92" s="22">
        <v>2000.0</v>
      </c>
      <c r="P92" s="22">
        <v>2300.0</v>
      </c>
      <c r="Q92" s="22" t="s">
        <v>59</v>
      </c>
      <c r="R92" s="22" t="s">
        <v>58</v>
      </c>
      <c r="S92" s="22" t="s">
        <v>58</v>
      </c>
      <c r="T92" s="22"/>
      <c r="U92" s="22"/>
      <c r="V92" s="22" t="s">
        <v>61</v>
      </c>
      <c r="W92" s="22" t="s">
        <v>58</v>
      </c>
      <c r="X92" s="22" t="s">
        <v>58</v>
      </c>
      <c r="Y92" s="22" t="s">
        <v>58</v>
      </c>
      <c r="Z92" s="22" t="s">
        <v>58</v>
      </c>
      <c r="AA92" s="22" t="s">
        <v>58</v>
      </c>
      <c r="AB92" s="22" t="s">
        <v>58</v>
      </c>
      <c r="AC92" s="22" t="s">
        <v>58</v>
      </c>
      <c r="AD92" s="22" t="s">
        <v>58</v>
      </c>
      <c r="AE92" s="22" t="s">
        <v>61</v>
      </c>
      <c r="AF92" s="22" t="s">
        <v>61</v>
      </c>
      <c r="AG92" s="22" t="s">
        <v>58</v>
      </c>
      <c r="AH92" s="22">
        <v>100.0</v>
      </c>
      <c r="AI92" s="22">
        <v>5000.0</v>
      </c>
      <c r="AJ92" s="22">
        <v>100.0</v>
      </c>
      <c r="AK92" s="22">
        <v>0.0</v>
      </c>
      <c r="AL92" s="22"/>
      <c r="AM92" s="22"/>
      <c r="AN92" s="24" t="s">
        <v>65</v>
      </c>
      <c r="AO92" s="22"/>
    </row>
    <row r="93" ht="15.75" customHeight="1">
      <c r="A93" s="22">
        <v>87.0</v>
      </c>
      <c r="B93" s="22" t="s">
        <v>1097</v>
      </c>
      <c r="C93" s="22" t="s">
        <v>1098</v>
      </c>
      <c r="D93" s="22" t="s">
        <v>1099</v>
      </c>
      <c r="E93" s="22" t="s">
        <v>49</v>
      </c>
      <c r="F93" s="24" t="s">
        <v>1101</v>
      </c>
      <c r="G93" s="24" t="s">
        <v>1102</v>
      </c>
      <c r="H93" s="22" t="s">
        <v>303</v>
      </c>
      <c r="I93" s="22" t="s">
        <v>303</v>
      </c>
      <c r="J93" s="22" t="s">
        <v>74</v>
      </c>
      <c r="K93" s="22" t="s">
        <v>55</v>
      </c>
      <c r="L93" s="22" t="s">
        <v>56</v>
      </c>
      <c r="M93" s="22" t="s">
        <v>57</v>
      </c>
      <c r="N93" s="22" t="s">
        <v>58</v>
      </c>
      <c r="O93" s="22">
        <v>2000.0</v>
      </c>
      <c r="P93" s="22">
        <v>2400.0</v>
      </c>
      <c r="Q93" s="22" t="s">
        <v>59</v>
      </c>
      <c r="R93" s="22" t="s">
        <v>58</v>
      </c>
      <c r="S93" s="22" t="s">
        <v>58</v>
      </c>
      <c r="T93" s="24" t="s">
        <v>1103</v>
      </c>
      <c r="U93" s="22"/>
      <c r="V93" s="22" t="s">
        <v>61</v>
      </c>
      <c r="W93" s="22" t="s">
        <v>58</v>
      </c>
      <c r="X93" s="22" t="s">
        <v>58</v>
      </c>
      <c r="Y93" s="22" t="s">
        <v>58</v>
      </c>
      <c r="Z93" s="22" t="s">
        <v>58</v>
      </c>
      <c r="AA93" s="22" t="s">
        <v>58</v>
      </c>
      <c r="AB93" s="22" t="s">
        <v>58</v>
      </c>
      <c r="AC93" s="22" t="s">
        <v>58</v>
      </c>
      <c r="AD93" s="22" t="s">
        <v>58</v>
      </c>
      <c r="AE93" s="22" t="s">
        <v>61</v>
      </c>
      <c r="AF93" s="22" t="s">
        <v>61</v>
      </c>
      <c r="AG93" s="22" t="s">
        <v>58</v>
      </c>
      <c r="AH93" s="22">
        <v>25.0</v>
      </c>
      <c r="AI93" s="22">
        <v>10000.0</v>
      </c>
      <c r="AJ93" s="22">
        <v>25.0</v>
      </c>
      <c r="AK93" s="22">
        <v>0.0</v>
      </c>
      <c r="AL93" s="22"/>
      <c r="AM93" s="22"/>
      <c r="AN93" s="24" t="s">
        <v>65</v>
      </c>
      <c r="AO93" s="22"/>
    </row>
    <row r="94" ht="15.75" customHeight="1">
      <c r="A94" s="22">
        <v>88.0</v>
      </c>
      <c r="B94" s="22" t="s">
        <v>1106</v>
      </c>
      <c r="C94" s="22" t="s">
        <v>1107</v>
      </c>
      <c r="D94" s="22" t="s">
        <v>1109</v>
      </c>
      <c r="E94" s="22" t="s">
        <v>49</v>
      </c>
      <c r="F94" s="24" t="s">
        <v>122</v>
      </c>
      <c r="G94" s="24" t="s">
        <v>122</v>
      </c>
      <c r="H94" s="22" t="s">
        <v>1110</v>
      </c>
      <c r="I94" s="22" t="s">
        <v>1111</v>
      </c>
      <c r="J94" s="22" t="s">
        <v>74</v>
      </c>
      <c r="K94" s="22" t="s">
        <v>55</v>
      </c>
      <c r="L94" s="22" t="s">
        <v>56</v>
      </c>
      <c r="M94" s="22" t="s">
        <v>57</v>
      </c>
      <c r="N94" s="22" t="s">
        <v>58</v>
      </c>
      <c r="O94" s="22">
        <v>800.0</v>
      </c>
      <c r="P94" s="22">
        <v>599.0</v>
      </c>
      <c r="Q94" s="22" t="s">
        <v>59</v>
      </c>
      <c r="R94" s="22" t="s">
        <v>58</v>
      </c>
      <c r="S94" s="22" t="s">
        <v>58</v>
      </c>
      <c r="T94" s="24" t="s">
        <v>1112</v>
      </c>
      <c r="U94" s="22"/>
      <c r="V94" s="22" t="s">
        <v>61</v>
      </c>
      <c r="W94" s="22" t="s">
        <v>58</v>
      </c>
      <c r="X94" s="22" t="s">
        <v>58</v>
      </c>
      <c r="Y94" s="22" t="s">
        <v>58</v>
      </c>
      <c r="Z94" s="22" t="s">
        <v>58</v>
      </c>
      <c r="AA94" s="22" t="s">
        <v>58</v>
      </c>
      <c r="AB94" s="22" t="s">
        <v>58</v>
      </c>
      <c r="AC94" s="22" t="s">
        <v>58</v>
      </c>
      <c r="AD94" s="22" t="s">
        <v>58</v>
      </c>
      <c r="AE94" s="22" t="s">
        <v>61</v>
      </c>
      <c r="AF94" s="22" t="s">
        <v>61</v>
      </c>
      <c r="AG94" s="22" t="s">
        <v>58</v>
      </c>
      <c r="AH94" s="22">
        <v>30.0</v>
      </c>
      <c r="AI94" s="22">
        <v>2000.0</v>
      </c>
      <c r="AJ94" s="22">
        <v>30.0</v>
      </c>
      <c r="AK94" s="22">
        <v>0.0</v>
      </c>
      <c r="AL94" s="22"/>
      <c r="AM94" s="22"/>
      <c r="AN94" s="24" t="s">
        <v>65</v>
      </c>
      <c r="AO94" s="22"/>
    </row>
    <row r="95" ht="15.75" customHeight="1">
      <c r="A95" s="22">
        <v>89.0</v>
      </c>
      <c r="B95" s="22" t="s">
        <v>1114</v>
      </c>
      <c r="C95" s="22" t="s">
        <v>1115</v>
      </c>
      <c r="D95" s="22" t="s">
        <v>1116</v>
      </c>
      <c r="E95" s="22" t="s">
        <v>49</v>
      </c>
      <c r="F95" s="27" t="s">
        <v>1117</v>
      </c>
      <c r="G95" s="24" t="s">
        <v>1121</v>
      </c>
      <c r="H95" s="22" t="s">
        <v>303</v>
      </c>
      <c r="I95" s="22" t="s">
        <v>303</v>
      </c>
      <c r="J95" s="22" t="s">
        <v>74</v>
      </c>
      <c r="K95" s="22" t="s">
        <v>55</v>
      </c>
      <c r="L95" s="22" t="s">
        <v>56</v>
      </c>
      <c r="M95" s="22" t="s">
        <v>57</v>
      </c>
      <c r="N95" s="22" t="s">
        <v>58</v>
      </c>
      <c r="O95" s="22">
        <v>2000.0</v>
      </c>
      <c r="P95" s="22">
        <v>2500.0</v>
      </c>
      <c r="Q95" s="22" t="s">
        <v>59</v>
      </c>
      <c r="R95" s="22" t="s">
        <v>58</v>
      </c>
      <c r="S95" s="22" t="s">
        <v>58</v>
      </c>
      <c r="T95" s="22" t="s">
        <v>275</v>
      </c>
      <c r="U95" s="22"/>
      <c r="V95" s="22" t="s">
        <v>61</v>
      </c>
      <c r="W95" s="22" t="s">
        <v>58</v>
      </c>
      <c r="X95" s="22" t="s">
        <v>58</v>
      </c>
      <c r="Y95" s="22" t="s">
        <v>58</v>
      </c>
      <c r="Z95" s="22" t="s">
        <v>58</v>
      </c>
      <c r="AA95" s="22" t="s">
        <v>58</v>
      </c>
      <c r="AB95" s="22" t="s">
        <v>58</v>
      </c>
      <c r="AC95" s="22" t="s">
        <v>58</v>
      </c>
      <c r="AD95" s="22" t="s">
        <v>58</v>
      </c>
      <c r="AE95" s="22" t="s">
        <v>61</v>
      </c>
      <c r="AF95" s="22" t="s">
        <v>61</v>
      </c>
      <c r="AG95" s="22" t="s">
        <v>58</v>
      </c>
      <c r="AH95" s="22">
        <v>30.0</v>
      </c>
      <c r="AI95" s="22">
        <v>1000.0</v>
      </c>
      <c r="AJ95" s="22">
        <v>30.0</v>
      </c>
      <c r="AK95" s="22">
        <v>0.0</v>
      </c>
      <c r="AL95" s="22"/>
      <c r="AM95" s="22"/>
      <c r="AN95" s="24" t="s">
        <v>65</v>
      </c>
      <c r="AO95" s="22"/>
    </row>
    <row r="96" ht="15.75" customHeight="1">
      <c r="A96" s="22">
        <v>90.0</v>
      </c>
      <c r="B96" s="22" t="s">
        <v>380</v>
      </c>
      <c r="C96" s="22" t="s">
        <v>381</v>
      </c>
      <c r="D96" s="24" t="s">
        <v>382</v>
      </c>
      <c r="E96" s="22" t="s">
        <v>49</v>
      </c>
      <c r="F96" s="27" t="s">
        <v>385</v>
      </c>
      <c r="G96" s="24" t="s">
        <v>1126</v>
      </c>
      <c r="H96" s="22" t="s">
        <v>147</v>
      </c>
      <c r="I96" s="22" t="s">
        <v>148</v>
      </c>
      <c r="J96" s="22" t="s">
        <v>148</v>
      </c>
      <c r="K96" s="22" t="s">
        <v>55</v>
      </c>
      <c r="L96" s="22" t="s">
        <v>56</v>
      </c>
      <c r="M96" s="22" t="s">
        <v>57</v>
      </c>
      <c r="N96" s="22" t="s">
        <v>58</v>
      </c>
      <c r="O96" s="22">
        <v>2300.0</v>
      </c>
      <c r="P96" s="22">
        <v>2500.0</v>
      </c>
      <c r="Q96" s="22" t="s">
        <v>59</v>
      </c>
      <c r="R96" s="22" t="s">
        <v>58</v>
      </c>
      <c r="S96" s="22" t="s">
        <v>58</v>
      </c>
      <c r="T96" s="22"/>
      <c r="U96" s="22"/>
      <c r="V96" s="22" t="s">
        <v>61</v>
      </c>
      <c r="W96" s="22" t="s">
        <v>58</v>
      </c>
      <c r="X96" s="22" t="s">
        <v>58</v>
      </c>
      <c r="Y96" s="22" t="s">
        <v>58</v>
      </c>
      <c r="Z96" s="22" t="s">
        <v>58</v>
      </c>
      <c r="AA96" s="22" t="s">
        <v>58</v>
      </c>
      <c r="AB96" s="22" t="s">
        <v>58</v>
      </c>
      <c r="AC96" s="22" t="s">
        <v>58</v>
      </c>
      <c r="AD96" s="22" t="s">
        <v>58</v>
      </c>
      <c r="AE96" s="22" t="s">
        <v>61</v>
      </c>
      <c r="AF96" s="22" t="s">
        <v>61</v>
      </c>
      <c r="AG96" s="22" t="s">
        <v>58</v>
      </c>
      <c r="AH96" s="22">
        <v>50.0</v>
      </c>
      <c r="AI96" s="22">
        <v>500.0</v>
      </c>
      <c r="AJ96" s="22">
        <v>50.0</v>
      </c>
      <c r="AK96" s="22">
        <v>0.0</v>
      </c>
      <c r="AL96" s="22"/>
      <c r="AM96" s="22"/>
      <c r="AN96" s="24" t="s">
        <v>65</v>
      </c>
      <c r="AO96" s="22"/>
    </row>
    <row r="97" ht="42.0" customHeight="1">
      <c r="A97" s="22">
        <v>91.0</v>
      </c>
      <c r="B97" s="22" t="s">
        <v>1131</v>
      </c>
      <c r="C97" s="22" t="s">
        <v>1132</v>
      </c>
      <c r="D97" s="22" t="s">
        <v>1133</v>
      </c>
      <c r="E97" s="22" t="s">
        <v>49</v>
      </c>
      <c r="F97" s="42" t="s">
        <v>114</v>
      </c>
      <c r="G97" s="24">
        <v>7.303757884E9</v>
      </c>
      <c r="H97" s="22" t="s">
        <v>203</v>
      </c>
      <c r="I97" s="22" t="s">
        <v>204</v>
      </c>
      <c r="J97" s="22" t="s">
        <v>74</v>
      </c>
      <c r="K97" s="22" t="s">
        <v>55</v>
      </c>
      <c r="L97" s="22" t="s">
        <v>56</v>
      </c>
      <c r="M97" s="22" t="s">
        <v>57</v>
      </c>
      <c r="N97" s="22" t="s">
        <v>58</v>
      </c>
      <c r="O97" s="22">
        <v>900.0</v>
      </c>
      <c r="P97" s="22">
        <v>1200.0</v>
      </c>
      <c r="Q97" s="22" t="s">
        <v>59</v>
      </c>
      <c r="R97" s="22" t="s">
        <v>58</v>
      </c>
      <c r="S97" s="22" t="s">
        <v>58</v>
      </c>
      <c r="T97" s="24" t="s">
        <v>1136</v>
      </c>
      <c r="U97" s="22"/>
      <c r="V97" s="22" t="s">
        <v>61</v>
      </c>
      <c r="W97" s="22" t="s">
        <v>58</v>
      </c>
      <c r="X97" s="22" t="s">
        <v>58</v>
      </c>
      <c r="Y97" s="22" t="s">
        <v>58</v>
      </c>
      <c r="Z97" s="22" t="s">
        <v>58</v>
      </c>
      <c r="AA97" s="22" t="s">
        <v>58</v>
      </c>
      <c r="AB97" s="22" t="s">
        <v>58</v>
      </c>
      <c r="AC97" s="22" t="s">
        <v>58</v>
      </c>
      <c r="AD97" s="22" t="s">
        <v>58</v>
      </c>
      <c r="AE97" s="22" t="s">
        <v>61</v>
      </c>
      <c r="AF97" s="22" t="s">
        <v>61</v>
      </c>
      <c r="AG97" s="22" t="s">
        <v>58</v>
      </c>
      <c r="AH97" s="22">
        <v>50.0</v>
      </c>
      <c r="AI97" s="22">
        <v>5000.0</v>
      </c>
      <c r="AJ97" s="22">
        <v>50.0</v>
      </c>
      <c r="AK97" s="22">
        <v>0.0</v>
      </c>
      <c r="AL97" s="22"/>
      <c r="AM97" s="22"/>
      <c r="AN97" s="24" t="s">
        <v>65</v>
      </c>
      <c r="AO97" s="22"/>
    </row>
    <row r="98" ht="15.75" customHeight="1">
      <c r="A98" s="22">
        <v>92.0</v>
      </c>
      <c r="B98" s="22" t="s">
        <v>1137</v>
      </c>
      <c r="C98" s="22" t="s">
        <v>1138</v>
      </c>
      <c r="D98" s="24" t="s">
        <v>1139</v>
      </c>
      <c r="E98" s="22" t="s">
        <v>49</v>
      </c>
      <c r="F98" s="24" t="s">
        <v>1142</v>
      </c>
      <c r="G98" s="24" t="s">
        <v>1144</v>
      </c>
      <c r="H98" s="22" t="s">
        <v>389</v>
      </c>
      <c r="I98" s="22" t="s">
        <v>390</v>
      </c>
      <c r="J98" s="22" t="s">
        <v>390</v>
      </c>
      <c r="K98" s="22" t="s">
        <v>55</v>
      </c>
      <c r="L98" s="22" t="s">
        <v>56</v>
      </c>
      <c r="M98" s="22" t="s">
        <v>57</v>
      </c>
      <c r="N98" s="22" t="s">
        <v>58</v>
      </c>
      <c r="O98" s="22">
        <v>800.0</v>
      </c>
      <c r="P98" s="22">
        <v>1200.0</v>
      </c>
      <c r="Q98" s="22" t="s">
        <v>59</v>
      </c>
      <c r="R98" s="22" t="s">
        <v>58</v>
      </c>
      <c r="S98" s="22" t="s">
        <v>58</v>
      </c>
      <c r="T98" s="22"/>
      <c r="U98" s="22"/>
      <c r="V98" s="22" t="s">
        <v>61</v>
      </c>
      <c r="W98" s="22" t="s">
        <v>58</v>
      </c>
      <c r="X98" s="22" t="s">
        <v>58</v>
      </c>
      <c r="Y98" s="22" t="s">
        <v>58</v>
      </c>
      <c r="Z98" s="22" t="s">
        <v>58</v>
      </c>
      <c r="AA98" s="22" t="s">
        <v>58</v>
      </c>
      <c r="AB98" s="22" t="s">
        <v>58</v>
      </c>
      <c r="AC98" s="22" t="s">
        <v>58</v>
      </c>
      <c r="AD98" s="22" t="s">
        <v>58</v>
      </c>
      <c r="AE98" s="22" t="s">
        <v>61</v>
      </c>
      <c r="AF98" s="22" t="s">
        <v>61</v>
      </c>
      <c r="AG98" s="22" t="s">
        <v>58</v>
      </c>
      <c r="AH98" s="22">
        <v>150.0</v>
      </c>
      <c r="AI98" s="22">
        <v>5000.0</v>
      </c>
      <c r="AJ98" s="22">
        <v>150.0</v>
      </c>
      <c r="AK98" s="22">
        <v>0.0</v>
      </c>
      <c r="AL98" s="22"/>
      <c r="AM98" s="22"/>
      <c r="AN98" s="24" t="s">
        <v>65</v>
      </c>
      <c r="AO98" s="22"/>
    </row>
    <row r="99" ht="15.75" customHeight="1">
      <c r="A99" s="22">
        <v>93.0</v>
      </c>
      <c r="B99" s="22" t="s">
        <v>1145</v>
      </c>
      <c r="C99" s="22" t="s">
        <v>1146</v>
      </c>
      <c r="D99" s="22" t="s">
        <v>1147</v>
      </c>
      <c r="E99" s="22" t="s">
        <v>49</v>
      </c>
      <c r="F99" s="24" t="s">
        <v>69</v>
      </c>
      <c r="G99" s="24" t="s">
        <v>122</v>
      </c>
      <c r="H99" s="22" t="s">
        <v>303</v>
      </c>
      <c r="I99" s="22" t="s">
        <v>303</v>
      </c>
      <c r="J99" s="22" t="s">
        <v>74</v>
      </c>
      <c r="K99" s="22" t="s">
        <v>55</v>
      </c>
      <c r="L99" s="22" t="s">
        <v>56</v>
      </c>
      <c r="M99" s="22" t="s">
        <v>57</v>
      </c>
      <c r="N99" s="22" t="s">
        <v>58</v>
      </c>
      <c r="O99" s="22">
        <v>1000.0</v>
      </c>
      <c r="P99" s="22">
        <v>1250.0</v>
      </c>
      <c r="Q99" s="22" t="s">
        <v>59</v>
      </c>
      <c r="R99" s="22" t="s">
        <v>58</v>
      </c>
      <c r="S99" s="22" t="s">
        <v>58</v>
      </c>
      <c r="T99" s="22"/>
      <c r="U99" s="22"/>
      <c r="V99" s="22" t="s">
        <v>61</v>
      </c>
      <c r="W99" s="22" t="s">
        <v>58</v>
      </c>
      <c r="X99" s="22" t="s">
        <v>58</v>
      </c>
      <c r="Y99" s="22" t="s">
        <v>58</v>
      </c>
      <c r="Z99" s="22" t="s">
        <v>58</v>
      </c>
      <c r="AA99" s="22" t="s">
        <v>58</v>
      </c>
      <c r="AB99" s="22" t="s">
        <v>58</v>
      </c>
      <c r="AC99" s="22" t="s">
        <v>58</v>
      </c>
      <c r="AD99" s="22" t="s">
        <v>58</v>
      </c>
      <c r="AE99" s="22" t="s">
        <v>61</v>
      </c>
      <c r="AF99" s="22" t="s">
        <v>61</v>
      </c>
      <c r="AG99" s="22" t="s">
        <v>58</v>
      </c>
      <c r="AH99" s="22">
        <v>0.0</v>
      </c>
      <c r="AI99" s="22">
        <v>0.0</v>
      </c>
      <c r="AJ99" s="22">
        <v>0.0</v>
      </c>
      <c r="AK99" s="22">
        <v>0.0</v>
      </c>
      <c r="AL99" s="22"/>
      <c r="AM99" s="22"/>
      <c r="AN99" s="24" t="s">
        <v>65</v>
      </c>
      <c r="AO99" s="22"/>
    </row>
    <row r="100" ht="15.75" customHeight="1">
      <c r="A100" s="22">
        <v>94.0</v>
      </c>
      <c r="B100" s="22" t="s">
        <v>363</v>
      </c>
      <c r="C100" s="22" t="s">
        <v>365</v>
      </c>
      <c r="D100" s="24" t="s">
        <v>367</v>
      </c>
      <c r="E100" s="22" t="s">
        <v>49</v>
      </c>
      <c r="F100" s="24" t="s">
        <v>1152</v>
      </c>
      <c r="G100" s="24" t="s">
        <v>122</v>
      </c>
      <c r="H100" s="22" t="s">
        <v>376</v>
      </c>
      <c r="I100" s="22" t="s">
        <v>377</v>
      </c>
      <c r="J100" s="22" t="s">
        <v>377</v>
      </c>
      <c r="K100" s="22" t="s">
        <v>55</v>
      </c>
      <c r="L100" s="22" t="s">
        <v>56</v>
      </c>
      <c r="M100" s="22" t="s">
        <v>57</v>
      </c>
      <c r="N100" s="22" t="s">
        <v>58</v>
      </c>
      <c r="O100" s="22">
        <v>1400.0</v>
      </c>
      <c r="P100" s="22">
        <v>1600.0</v>
      </c>
      <c r="Q100" s="22" t="s">
        <v>59</v>
      </c>
      <c r="R100" s="22" t="s">
        <v>58</v>
      </c>
      <c r="S100" s="22" t="s">
        <v>58</v>
      </c>
      <c r="T100" s="22"/>
      <c r="U100" s="22"/>
      <c r="V100" s="22" t="s">
        <v>61</v>
      </c>
      <c r="W100" s="22" t="s">
        <v>58</v>
      </c>
      <c r="X100" s="22" t="s">
        <v>58</v>
      </c>
      <c r="Y100" s="22" t="s">
        <v>58</v>
      </c>
      <c r="Z100" s="22" t="s">
        <v>58</v>
      </c>
      <c r="AA100" s="22" t="s">
        <v>58</v>
      </c>
      <c r="AB100" s="22" t="s">
        <v>58</v>
      </c>
      <c r="AC100" s="22" t="s">
        <v>58</v>
      </c>
      <c r="AD100" s="22" t="s">
        <v>58</v>
      </c>
      <c r="AE100" s="22" t="s">
        <v>61</v>
      </c>
      <c r="AF100" s="22" t="s">
        <v>61</v>
      </c>
      <c r="AG100" s="22" t="s">
        <v>58</v>
      </c>
      <c r="AH100" s="22">
        <v>25.0</v>
      </c>
      <c r="AI100" s="22">
        <v>1000.0</v>
      </c>
      <c r="AJ100" s="22">
        <v>25.0</v>
      </c>
      <c r="AK100" s="22">
        <v>0.0</v>
      </c>
      <c r="AL100" s="22"/>
      <c r="AM100" s="22"/>
      <c r="AN100" s="24" t="s">
        <v>65</v>
      </c>
      <c r="AO100" s="22"/>
    </row>
    <row r="101" ht="15.75" customHeight="1">
      <c r="A101" s="22">
        <v>95.0</v>
      </c>
      <c r="B101" s="22" t="s">
        <v>1156</v>
      </c>
      <c r="C101" s="22" t="s">
        <v>1157</v>
      </c>
      <c r="D101" s="22" t="s">
        <v>1158</v>
      </c>
      <c r="E101" s="22" t="s">
        <v>49</v>
      </c>
      <c r="F101" s="24" t="s">
        <v>69</v>
      </c>
      <c r="G101" s="24" t="s">
        <v>122</v>
      </c>
      <c r="H101" s="22" t="s">
        <v>1091</v>
      </c>
      <c r="I101" s="22" t="s">
        <v>1092</v>
      </c>
      <c r="J101" s="22" t="s">
        <v>74</v>
      </c>
      <c r="K101" s="22" t="s">
        <v>55</v>
      </c>
      <c r="L101" s="22" t="s">
        <v>56</v>
      </c>
      <c r="M101" s="22" t="s">
        <v>57</v>
      </c>
      <c r="N101" s="22" t="s">
        <v>58</v>
      </c>
      <c r="O101" s="22">
        <v>2600.0</v>
      </c>
      <c r="P101" s="22">
        <v>2800.0</v>
      </c>
      <c r="Q101" s="22" t="s">
        <v>59</v>
      </c>
      <c r="R101" s="22" t="s">
        <v>58</v>
      </c>
      <c r="S101" s="22" t="s">
        <v>58</v>
      </c>
      <c r="T101" s="24" t="s">
        <v>1160</v>
      </c>
      <c r="U101" s="22"/>
      <c r="V101" s="22" t="s">
        <v>61</v>
      </c>
      <c r="W101" s="22" t="s">
        <v>58</v>
      </c>
      <c r="X101" s="22" t="s">
        <v>58</v>
      </c>
      <c r="Y101" s="22" t="s">
        <v>58</v>
      </c>
      <c r="Z101" s="22" t="s">
        <v>58</v>
      </c>
      <c r="AA101" s="22" t="s">
        <v>58</v>
      </c>
      <c r="AB101" s="22" t="s">
        <v>58</v>
      </c>
      <c r="AC101" s="22" t="s">
        <v>58</v>
      </c>
      <c r="AD101" s="22" t="s">
        <v>58</v>
      </c>
      <c r="AE101" s="22" t="s">
        <v>61</v>
      </c>
      <c r="AF101" s="22" t="s">
        <v>61</v>
      </c>
      <c r="AG101" s="22" t="s">
        <v>58</v>
      </c>
      <c r="AH101" s="22">
        <v>100.0</v>
      </c>
      <c r="AI101" s="22">
        <v>5000.0</v>
      </c>
      <c r="AJ101" s="22">
        <v>100.0</v>
      </c>
      <c r="AK101" s="22">
        <v>0.0</v>
      </c>
      <c r="AL101" s="22"/>
      <c r="AM101" s="22"/>
      <c r="AN101" s="24" t="s">
        <v>65</v>
      </c>
      <c r="AO101" s="22"/>
    </row>
    <row r="102" ht="15.75" customHeight="1">
      <c r="A102" s="22">
        <v>96.0</v>
      </c>
      <c r="B102" s="22" t="s">
        <v>1165</v>
      </c>
      <c r="C102" s="22" t="s">
        <v>1166</v>
      </c>
      <c r="D102" s="24" t="s">
        <v>1167</v>
      </c>
      <c r="E102" s="22" t="s">
        <v>49</v>
      </c>
      <c r="F102" s="24" t="s">
        <v>1168</v>
      </c>
      <c r="G102" s="24" t="s">
        <v>1169</v>
      </c>
      <c r="H102" s="22" t="s">
        <v>389</v>
      </c>
      <c r="I102" s="22" t="s">
        <v>390</v>
      </c>
      <c r="J102" s="22" t="s">
        <v>390</v>
      </c>
      <c r="K102" s="22" t="s">
        <v>55</v>
      </c>
      <c r="L102" s="22" t="s">
        <v>56</v>
      </c>
      <c r="M102" s="22" t="s">
        <v>57</v>
      </c>
      <c r="N102" s="22" t="s">
        <v>58</v>
      </c>
      <c r="O102" s="22">
        <v>800.0</v>
      </c>
      <c r="P102" s="22">
        <v>1000.0</v>
      </c>
      <c r="Q102" s="22" t="s">
        <v>59</v>
      </c>
      <c r="R102" s="22" t="s">
        <v>58</v>
      </c>
      <c r="S102" s="22" t="s">
        <v>58</v>
      </c>
      <c r="T102" s="22"/>
      <c r="U102" s="22"/>
      <c r="V102" s="22" t="s">
        <v>61</v>
      </c>
      <c r="W102" s="22" t="s">
        <v>58</v>
      </c>
      <c r="X102" s="22" t="s">
        <v>58</v>
      </c>
      <c r="Y102" s="22" t="s">
        <v>58</v>
      </c>
      <c r="Z102" s="22" t="s">
        <v>58</v>
      </c>
      <c r="AA102" s="22" t="s">
        <v>58</v>
      </c>
      <c r="AB102" s="22" t="s">
        <v>58</v>
      </c>
      <c r="AC102" s="22" t="s">
        <v>58</v>
      </c>
      <c r="AD102" s="22" t="s">
        <v>58</v>
      </c>
      <c r="AE102" s="22" t="s">
        <v>61</v>
      </c>
      <c r="AF102" s="22" t="s">
        <v>61</v>
      </c>
      <c r="AG102" s="22" t="s">
        <v>58</v>
      </c>
      <c r="AH102" s="22">
        <v>200.0</v>
      </c>
      <c r="AI102" s="22">
        <v>2000.0</v>
      </c>
      <c r="AJ102" s="22">
        <v>200.0</v>
      </c>
      <c r="AK102" s="22">
        <v>0.0</v>
      </c>
      <c r="AL102" s="22"/>
      <c r="AM102" s="22"/>
      <c r="AN102" s="24" t="s">
        <v>65</v>
      </c>
      <c r="AO102" s="22"/>
    </row>
    <row r="103" ht="29.25" customHeight="1">
      <c r="A103" s="22">
        <v>97.0</v>
      </c>
      <c r="B103" s="22" t="s">
        <v>193</v>
      </c>
      <c r="C103" s="22" t="s">
        <v>195</v>
      </c>
      <c r="D103" s="22" t="s">
        <v>197</v>
      </c>
      <c r="E103" s="22" t="s">
        <v>49</v>
      </c>
      <c r="F103" s="27" t="s">
        <v>1174</v>
      </c>
      <c r="G103" s="24" t="s">
        <v>1175</v>
      </c>
      <c r="H103" s="22" t="s">
        <v>75</v>
      </c>
      <c r="I103" s="22" t="s">
        <v>76</v>
      </c>
      <c r="J103" s="22" t="s">
        <v>76</v>
      </c>
      <c r="K103" s="22" t="s">
        <v>55</v>
      </c>
      <c r="L103" s="22" t="s">
        <v>56</v>
      </c>
      <c r="M103" s="22" t="s">
        <v>57</v>
      </c>
      <c r="N103" s="22" t="s">
        <v>58</v>
      </c>
      <c r="O103" s="22">
        <v>1000.0</v>
      </c>
      <c r="P103" s="22">
        <v>1200.0</v>
      </c>
      <c r="Q103" s="22" t="s">
        <v>59</v>
      </c>
      <c r="R103" s="22" t="s">
        <v>58</v>
      </c>
      <c r="S103" s="22" t="s">
        <v>58</v>
      </c>
      <c r="T103" s="24" t="s">
        <v>1180</v>
      </c>
      <c r="U103" s="24" t="s">
        <v>1181</v>
      </c>
      <c r="V103" s="22" t="s">
        <v>61</v>
      </c>
      <c r="W103" s="22" t="s">
        <v>58</v>
      </c>
      <c r="X103" s="22" t="s">
        <v>58</v>
      </c>
      <c r="Y103" s="22" t="s">
        <v>58</v>
      </c>
      <c r="Z103" s="22" t="s">
        <v>58</v>
      </c>
      <c r="AA103" s="22" t="s">
        <v>58</v>
      </c>
      <c r="AB103" s="22" t="s">
        <v>58</v>
      </c>
      <c r="AC103" s="22" t="s">
        <v>58</v>
      </c>
      <c r="AD103" s="22" t="s">
        <v>58</v>
      </c>
      <c r="AE103" s="22" t="s">
        <v>61</v>
      </c>
      <c r="AF103" s="22" t="s">
        <v>61</v>
      </c>
      <c r="AG103" s="22" t="s">
        <v>58</v>
      </c>
      <c r="AH103" s="22">
        <v>50.0</v>
      </c>
      <c r="AI103" s="22">
        <v>1000.0</v>
      </c>
      <c r="AJ103" s="22">
        <v>50.0</v>
      </c>
      <c r="AK103" s="22">
        <v>0.0</v>
      </c>
      <c r="AL103" s="22"/>
      <c r="AM103" s="22"/>
      <c r="AN103" s="24" t="s">
        <v>65</v>
      </c>
      <c r="AO103" s="22"/>
    </row>
    <row r="104" ht="15.75" customHeight="1">
      <c r="A104" s="22">
        <v>98.0</v>
      </c>
      <c r="B104" s="22" t="s">
        <v>1182</v>
      </c>
      <c r="C104" s="22" t="s">
        <v>1183</v>
      </c>
      <c r="D104" s="22" t="s">
        <v>1185</v>
      </c>
      <c r="E104" s="22" t="s">
        <v>49</v>
      </c>
      <c r="F104" s="27" t="s">
        <v>1186</v>
      </c>
      <c r="G104" s="24" t="s">
        <v>1189</v>
      </c>
      <c r="H104" s="22" t="s">
        <v>142</v>
      </c>
      <c r="I104" s="22" t="s">
        <v>144</v>
      </c>
      <c r="J104" s="22" t="s">
        <v>74</v>
      </c>
      <c r="K104" s="22" t="s">
        <v>55</v>
      </c>
      <c r="L104" s="22" t="s">
        <v>56</v>
      </c>
      <c r="M104" s="22" t="s">
        <v>57</v>
      </c>
      <c r="N104" s="22" t="s">
        <v>58</v>
      </c>
      <c r="O104" s="22">
        <v>950.0</v>
      </c>
      <c r="P104" s="22">
        <v>1200.0</v>
      </c>
      <c r="Q104" s="22" t="s">
        <v>59</v>
      </c>
      <c r="R104" s="22" t="s">
        <v>58</v>
      </c>
      <c r="S104" s="22" t="s">
        <v>58</v>
      </c>
      <c r="T104" s="22" t="s">
        <v>275</v>
      </c>
      <c r="U104" s="22"/>
      <c r="V104" s="22" t="s">
        <v>61</v>
      </c>
      <c r="W104" s="22" t="s">
        <v>58</v>
      </c>
      <c r="X104" s="22" t="s">
        <v>58</v>
      </c>
      <c r="Y104" s="22" t="s">
        <v>58</v>
      </c>
      <c r="Z104" s="22" t="s">
        <v>58</v>
      </c>
      <c r="AA104" s="22" t="s">
        <v>58</v>
      </c>
      <c r="AB104" s="22" t="s">
        <v>58</v>
      </c>
      <c r="AC104" s="22" t="s">
        <v>58</v>
      </c>
      <c r="AD104" s="22" t="s">
        <v>58</v>
      </c>
      <c r="AE104" s="22" t="s">
        <v>61</v>
      </c>
      <c r="AF104" s="22" t="s">
        <v>61</v>
      </c>
      <c r="AG104" s="22" t="s">
        <v>58</v>
      </c>
      <c r="AH104" s="22">
        <v>100.0</v>
      </c>
      <c r="AI104" s="22">
        <v>5000.0</v>
      </c>
      <c r="AJ104" s="22">
        <v>100.0</v>
      </c>
      <c r="AK104" s="22">
        <v>0.0</v>
      </c>
      <c r="AL104" s="22"/>
      <c r="AM104" s="22"/>
      <c r="AN104" s="24" t="s">
        <v>65</v>
      </c>
      <c r="AO104" s="22"/>
    </row>
    <row r="105" ht="15.75" customHeight="1">
      <c r="A105" s="22">
        <v>99.0</v>
      </c>
      <c r="B105" s="22" t="s">
        <v>1190</v>
      </c>
      <c r="C105" s="22" t="s">
        <v>1191</v>
      </c>
      <c r="D105" s="24" t="s">
        <v>1193</v>
      </c>
      <c r="E105" s="22" t="s">
        <v>49</v>
      </c>
      <c r="F105" s="24" t="s">
        <v>1194</v>
      </c>
      <c r="G105" s="24">
        <v>7.947135226E9</v>
      </c>
      <c r="H105" s="22" t="s">
        <v>72</v>
      </c>
      <c r="I105" s="22" t="s">
        <v>73</v>
      </c>
      <c r="J105" s="22" t="s">
        <v>74</v>
      </c>
      <c r="K105" s="22" t="s">
        <v>55</v>
      </c>
      <c r="L105" s="22" t="s">
        <v>56</v>
      </c>
      <c r="M105" s="22" t="s">
        <v>57</v>
      </c>
      <c r="N105" s="22" t="s">
        <v>58</v>
      </c>
      <c r="O105" s="22">
        <v>800.0</v>
      </c>
      <c r="P105" s="22">
        <v>900.0</v>
      </c>
      <c r="Q105" s="22" t="s">
        <v>59</v>
      </c>
      <c r="R105" s="22" t="s">
        <v>58</v>
      </c>
      <c r="S105" s="22" t="s">
        <v>58</v>
      </c>
      <c r="T105" s="22"/>
      <c r="U105" s="22"/>
      <c r="V105" s="22" t="s">
        <v>61</v>
      </c>
      <c r="W105" s="22" t="s">
        <v>58</v>
      </c>
      <c r="X105" s="22" t="s">
        <v>58</v>
      </c>
      <c r="Y105" s="22" t="s">
        <v>58</v>
      </c>
      <c r="Z105" s="22" t="s">
        <v>58</v>
      </c>
      <c r="AA105" s="22" t="s">
        <v>58</v>
      </c>
      <c r="AB105" s="22" t="s">
        <v>58</v>
      </c>
      <c r="AC105" s="22" t="s">
        <v>58</v>
      </c>
      <c r="AD105" s="22" t="s">
        <v>58</v>
      </c>
      <c r="AE105" s="22" t="s">
        <v>61</v>
      </c>
      <c r="AF105" s="22" t="s">
        <v>61</v>
      </c>
      <c r="AG105" s="22" t="s">
        <v>58</v>
      </c>
      <c r="AH105" s="22">
        <v>15.0</v>
      </c>
      <c r="AI105" s="22">
        <v>250.0</v>
      </c>
      <c r="AJ105" s="22">
        <v>15.0</v>
      </c>
      <c r="AK105" s="22">
        <v>0.0</v>
      </c>
      <c r="AL105" s="22"/>
      <c r="AM105" s="22"/>
      <c r="AN105" s="24" t="s">
        <v>65</v>
      </c>
      <c r="AO105" s="22"/>
    </row>
    <row r="106" ht="15.75" customHeight="1">
      <c r="A106" s="22">
        <v>100.0</v>
      </c>
      <c r="B106" s="22" t="s">
        <v>1195</v>
      </c>
      <c r="C106" s="22" t="s">
        <v>1196</v>
      </c>
      <c r="D106" s="24" t="s">
        <v>1197</v>
      </c>
      <c r="E106" s="22" t="s">
        <v>49</v>
      </c>
      <c r="F106" s="24" t="s">
        <v>1198</v>
      </c>
      <c r="G106" s="24" t="s">
        <v>69</v>
      </c>
      <c r="H106" s="22" t="s">
        <v>389</v>
      </c>
      <c r="I106" s="22" t="s">
        <v>390</v>
      </c>
      <c r="J106" s="22" t="s">
        <v>390</v>
      </c>
      <c r="K106" s="22" t="s">
        <v>55</v>
      </c>
      <c r="L106" s="22" t="s">
        <v>56</v>
      </c>
      <c r="M106" s="22" t="s">
        <v>57</v>
      </c>
      <c r="N106" s="22" t="s">
        <v>58</v>
      </c>
      <c r="O106" s="22">
        <v>700.0</v>
      </c>
      <c r="P106" s="22">
        <v>1100.0</v>
      </c>
      <c r="Q106" s="22" t="s">
        <v>59</v>
      </c>
      <c r="R106" s="22" t="s">
        <v>58</v>
      </c>
      <c r="S106" s="22" t="s">
        <v>58</v>
      </c>
      <c r="T106" s="22"/>
      <c r="U106" s="22"/>
      <c r="V106" s="22" t="s">
        <v>61</v>
      </c>
      <c r="W106" s="22" t="s">
        <v>58</v>
      </c>
      <c r="X106" s="22" t="s">
        <v>58</v>
      </c>
      <c r="Y106" s="22" t="s">
        <v>58</v>
      </c>
      <c r="Z106" s="22" t="s">
        <v>58</v>
      </c>
      <c r="AA106" s="22" t="s">
        <v>58</v>
      </c>
      <c r="AB106" s="22" t="s">
        <v>58</v>
      </c>
      <c r="AC106" s="22" t="s">
        <v>58</v>
      </c>
      <c r="AD106" s="22" t="s">
        <v>58</v>
      </c>
      <c r="AE106" s="22" t="s">
        <v>61</v>
      </c>
      <c r="AF106" s="22" t="s">
        <v>61</v>
      </c>
      <c r="AG106" s="22" t="s">
        <v>58</v>
      </c>
      <c r="AH106" s="22">
        <v>50.0</v>
      </c>
      <c r="AI106" s="22">
        <v>3000.0</v>
      </c>
      <c r="AJ106" s="22">
        <v>50.0</v>
      </c>
      <c r="AK106" s="22">
        <v>0.0</v>
      </c>
      <c r="AL106" s="22"/>
      <c r="AM106" s="22"/>
      <c r="AN106" s="24"/>
      <c r="AO106" s="22"/>
    </row>
    <row r="107" ht="20.25" customHeight="1">
      <c r="A107" s="22">
        <v>101.0</v>
      </c>
      <c r="B107" s="22" t="s">
        <v>1204</v>
      </c>
      <c r="C107" s="22" t="s">
        <v>1205</v>
      </c>
      <c r="D107" s="24" t="s">
        <v>1206</v>
      </c>
      <c r="E107" s="22" t="s">
        <v>49</v>
      </c>
      <c r="F107" s="24" t="s">
        <v>1207</v>
      </c>
      <c r="G107" s="24">
        <v>7.947119319E9</v>
      </c>
      <c r="H107" s="22" t="s">
        <v>1208</v>
      </c>
      <c r="I107" s="22" t="s">
        <v>1209</v>
      </c>
      <c r="J107" s="22" t="s">
        <v>74</v>
      </c>
      <c r="K107" s="22" t="s">
        <v>55</v>
      </c>
      <c r="L107" s="22" t="s">
        <v>56</v>
      </c>
      <c r="M107" s="22" t="s">
        <v>57</v>
      </c>
      <c r="N107" s="22" t="s">
        <v>58</v>
      </c>
      <c r="O107" s="22">
        <v>2000.0</v>
      </c>
      <c r="P107" s="22">
        <v>3500.0</v>
      </c>
      <c r="Q107" s="22" t="s">
        <v>59</v>
      </c>
      <c r="R107" s="22" t="s">
        <v>58</v>
      </c>
      <c r="S107" s="22" t="s">
        <v>58</v>
      </c>
      <c r="T107" s="22"/>
      <c r="U107" s="22"/>
      <c r="V107" s="22" t="s">
        <v>61</v>
      </c>
      <c r="W107" s="22" t="s">
        <v>58</v>
      </c>
      <c r="X107" s="22" t="s">
        <v>58</v>
      </c>
      <c r="Y107" s="22" t="s">
        <v>58</v>
      </c>
      <c r="Z107" s="22" t="s">
        <v>58</v>
      </c>
      <c r="AA107" s="22" t="s">
        <v>58</v>
      </c>
      <c r="AB107" s="22" t="s">
        <v>58</v>
      </c>
      <c r="AC107" s="22" t="s">
        <v>58</v>
      </c>
      <c r="AD107" s="22" t="s">
        <v>58</v>
      </c>
      <c r="AE107" s="22" t="s">
        <v>61</v>
      </c>
      <c r="AF107" s="22" t="s">
        <v>61</v>
      </c>
      <c r="AG107" s="22" t="s">
        <v>58</v>
      </c>
      <c r="AH107" s="22">
        <v>100.0</v>
      </c>
      <c r="AI107" s="22">
        <v>100000.0</v>
      </c>
      <c r="AJ107" s="22">
        <v>100.0</v>
      </c>
      <c r="AK107" s="22">
        <v>0.0</v>
      </c>
      <c r="AL107" s="22"/>
      <c r="AM107" s="22"/>
      <c r="AN107" s="24"/>
      <c r="AO107" s="22"/>
    </row>
    <row r="108" ht="15.75" customHeight="1">
      <c r="A108" s="22">
        <v>102.0</v>
      </c>
      <c r="B108" s="22" t="s">
        <v>1210</v>
      </c>
      <c r="C108" s="22" t="s">
        <v>1212</v>
      </c>
      <c r="D108" s="24" t="s">
        <v>1213</v>
      </c>
      <c r="E108" s="22" t="s">
        <v>49</v>
      </c>
      <c r="F108" s="27" t="s">
        <v>1214</v>
      </c>
      <c r="G108" s="24" t="s">
        <v>69</v>
      </c>
      <c r="H108" s="22" t="s">
        <v>303</v>
      </c>
      <c r="I108" s="22" t="s">
        <v>303</v>
      </c>
      <c r="J108" s="22" t="s">
        <v>74</v>
      </c>
      <c r="K108" s="22" t="s">
        <v>55</v>
      </c>
      <c r="L108" s="22" t="s">
        <v>56</v>
      </c>
      <c r="M108" s="22" t="s">
        <v>57</v>
      </c>
      <c r="N108" s="22" t="s">
        <v>58</v>
      </c>
      <c r="O108" s="22">
        <v>1000.0</v>
      </c>
      <c r="P108" s="22"/>
      <c r="Q108" s="22" t="s">
        <v>59</v>
      </c>
      <c r="R108" s="22" t="s">
        <v>58</v>
      </c>
      <c r="S108" s="22" t="s">
        <v>58</v>
      </c>
      <c r="T108" s="22"/>
      <c r="U108" s="22"/>
      <c r="V108" s="22" t="s">
        <v>61</v>
      </c>
      <c r="W108" s="22" t="s">
        <v>58</v>
      </c>
      <c r="X108" s="22" t="s">
        <v>58</v>
      </c>
      <c r="Y108" s="22" t="s">
        <v>58</v>
      </c>
      <c r="Z108" s="22" t="s">
        <v>58</v>
      </c>
      <c r="AA108" s="22" t="s">
        <v>58</v>
      </c>
      <c r="AB108" s="22" t="s">
        <v>58</v>
      </c>
      <c r="AC108" s="22" t="s">
        <v>58</v>
      </c>
      <c r="AD108" s="22" t="s">
        <v>58</v>
      </c>
      <c r="AE108" s="22" t="s">
        <v>61</v>
      </c>
      <c r="AF108" s="22" t="s">
        <v>61</v>
      </c>
      <c r="AG108" s="22" t="s">
        <v>58</v>
      </c>
      <c r="AH108" s="22">
        <v>0.0</v>
      </c>
      <c r="AI108" s="22">
        <v>5000.0</v>
      </c>
      <c r="AJ108" s="22">
        <v>0.0</v>
      </c>
      <c r="AK108" s="22">
        <v>0.0</v>
      </c>
      <c r="AL108" s="22"/>
      <c r="AM108" s="22"/>
      <c r="AN108" s="24"/>
      <c r="AO108" s="22"/>
    </row>
    <row r="109" ht="15.75" customHeight="1">
      <c r="A109" s="22">
        <v>103.0</v>
      </c>
      <c r="B109" s="22" t="s">
        <v>1221</v>
      </c>
      <c r="C109" s="22" t="s">
        <v>1222</v>
      </c>
      <c r="D109" s="22" t="s">
        <v>1223</v>
      </c>
      <c r="E109" s="22" t="s">
        <v>49</v>
      </c>
      <c r="F109" s="27" t="s">
        <v>1224</v>
      </c>
      <c r="G109" s="24">
        <v>9.811052525E9</v>
      </c>
      <c r="H109" s="22" t="s">
        <v>142</v>
      </c>
      <c r="I109" s="22" t="s">
        <v>144</v>
      </c>
      <c r="J109" s="22" t="s">
        <v>74</v>
      </c>
      <c r="K109" s="22" t="s">
        <v>55</v>
      </c>
      <c r="L109" s="22" t="s">
        <v>56</v>
      </c>
      <c r="M109" s="22" t="s">
        <v>57</v>
      </c>
      <c r="N109" s="22" t="s">
        <v>58</v>
      </c>
      <c r="O109" s="22">
        <v>1500.0</v>
      </c>
      <c r="P109" s="22">
        <v>2000.0</v>
      </c>
      <c r="Q109" s="22" t="s">
        <v>59</v>
      </c>
      <c r="R109" s="22" t="s">
        <v>58</v>
      </c>
      <c r="S109" s="22" t="s">
        <v>58</v>
      </c>
      <c r="T109" s="22"/>
      <c r="U109" s="22"/>
      <c r="V109" s="22" t="s">
        <v>61</v>
      </c>
      <c r="W109" s="22" t="s">
        <v>58</v>
      </c>
      <c r="X109" s="22" t="s">
        <v>58</v>
      </c>
      <c r="Y109" s="22" t="s">
        <v>58</v>
      </c>
      <c r="Z109" s="22" t="s">
        <v>58</v>
      </c>
      <c r="AA109" s="22" t="s">
        <v>58</v>
      </c>
      <c r="AB109" s="22" t="s">
        <v>58</v>
      </c>
      <c r="AC109" s="22" t="s">
        <v>58</v>
      </c>
      <c r="AD109" s="22" t="s">
        <v>58</v>
      </c>
      <c r="AE109" s="22" t="s">
        <v>61</v>
      </c>
      <c r="AF109" s="22" t="s">
        <v>61</v>
      </c>
      <c r="AG109" s="22" t="s">
        <v>58</v>
      </c>
      <c r="AH109" s="22">
        <v>50.0</v>
      </c>
      <c r="AI109" s="22">
        <v>5000.0</v>
      </c>
      <c r="AJ109" s="22">
        <v>50.0</v>
      </c>
      <c r="AK109" s="22">
        <v>0.0</v>
      </c>
      <c r="AL109" s="22"/>
      <c r="AM109" s="22"/>
      <c r="AN109" s="24"/>
      <c r="AO109" s="22"/>
    </row>
    <row r="110" ht="15.75" customHeight="1">
      <c r="A110" s="22">
        <v>104.0</v>
      </c>
      <c r="B110" s="22" t="s">
        <v>1227</v>
      </c>
      <c r="C110" s="22" t="s">
        <v>1228</v>
      </c>
      <c r="D110" s="22" t="s">
        <v>1229</v>
      </c>
      <c r="E110" s="22" t="s">
        <v>49</v>
      </c>
      <c r="F110" s="27" t="s">
        <v>1230</v>
      </c>
      <c r="G110" s="24" t="s">
        <v>1231</v>
      </c>
      <c r="H110" s="22" t="s">
        <v>513</v>
      </c>
      <c r="I110" s="22" t="s">
        <v>514</v>
      </c>
      <c r="J110" s="22" t="s">
        <v>74</v>
      </c>
      <c r="K110" s="22" t="s">
        <v>55</v>
      </c>
      <c r="L110" s="22" t="s">
        <v>56</v>
      </c>
      <c r="M110" s="22" t="s">
        <v>57</v>
      </c>
      <c r="N110" s="22" t="s">
        <v>58</v>
      </c>
      <c r="O110" s="22">
        <v>1200.0</v>
      </c>
      <c r="P110" s="22">
        <v>1500.0</v>
      </c>
      <c r="Q110" s="22" t="s">
        <v>59</v>
      </c>
      <c r="R110" s="22" t="s">
        <v>58</v>
      </c>
      <c r="S110" s="22" t="s">
        <v>58</v>
      </c>
      <c r="T110" s="24" t="s">
        <v>1236</v>
      </c>
      <c r="U110" s="22"/>
      <c r="V110" s="22" t="s">
        <v>61</v>
      </c>
      <c r="W110" s="22" t="s">
        <v>58</v>
      </c>
      <c r="X110" s="22" t="s">
        <v>58</v>
      </c>
      <c r="Y110" s="22" t="s">
        <v>58</v>
      </c>
      <c r="Z110" s="22" t="s">
        <v>58</v>
      </c>
      <c r="AA110" s="22" t="s">
        <v>58</v>
      </c>
      <c r="AB110" s="22" t="s">
        <v>58</v>
      </c>
      <c r="AC110" s="22" t="s">
        <v>58</v>
      </c>
      <c r="AD110" s="22" t="s">
        <v>58</v>
      </c>
      <c r="AE110" s="22" t="s">
        <v>61</v>
      </c>
      <c r="AF110" s="22" t="s">
        <v>61</v>
      </c>
      <c r="AG110" s="22" t="s">
        <v>58</v>
      </c>
      <c r="AH110" s="22">
        <v>100.0</v>
      </c>
      <c r="AI110" s="22">
        <v>3000.0</v>
      </c>
      <c r="AJ110" s="22">
        <v>100.0</v>
      </c>
      <c r="AK110" s="22">
        <v>0.0</v>
      </c>
      <c r="AL110" s="22"/>
      <c r="AM110" s="22"/>
      <c r="AN110" s="24"/>
      <c r="AO110" s="22"/>
    </row>
    <row r="111" ht="15.75" customHeight="1">
      <c r="A111" s="22">
        <v>105.0</v>
      </c>
      <c r="B111" s="22" t="s">
        <v>1240</v>
      </c>
      <c r="C111" s="22" t="s">
        <v>1241</v>
      </c>
      <c r="D111" s="24" t="s">
        <v>1242</v>
      </c>
      <c r="E111" s="22" t="s">
        <v>49</v>
      </c>
      <c r="F111" s="24" t="s">
        <v>1243</v>
      </c>
      <c r="G111" s="24" t="s">
        <v>69</v>
      </c>
      <c r="H111" s="22" t="s">
        <v>303</v>
      </c>
      <c r="I111" s="22" t="s">
        <v>303</v>
      </c>
      <c r="J111" s="22" t="s">
        <v>74</v>
      </c>
      <c r="K111" s="22" t="s">
        <v>55</v>
      </c>
      <c r="L111" s="22" t="s">
        <v>56</v>
      </c>
      <c r="M111" s="22" t="s">
        <v>57</v>
      </c>
      <c r="N111" s="22" t="s">
        <v>58</v>
      </c>
      <c r="O111" s="22">
        <v>540.0</v>
      </c>
      <c r="P111" s="22">
        <v>800.0</v>
      </c>
      <c r="Q111" s="22" t="s">
        <v>59</v>
      </c>
      <c r="R111" s="22" t="s">
        <v>58</v>
      </c>
      <c r="S111" s="22" t="s">
        <v>58</v>
      </c>
      <c r="T111" s="22"/>
      <c r="U111" s="22"/>
      <c r="V111" s="22" t="s">
        <v>61</v>
      </c>
      <c r="W111" s="22" t="s">
        <v>58</v>
      </c>
      <c r="X111" s="22" t="s">
        <v>58</v>
      </c>
      <c r="Y111" s="22" t="s">
        <v>58</v>
      </c>
      <c r="Z111" s="22" t="s">
        <v>58</v>
      </c>
      <c r="AA111" s="22" t="s">
        <v>58</v>
      </c>
      <c r="AB111" s="22" t="s">
        <v>58</v>
      </c>
      <c r="AC111" s="22" t="s">
        <v>58</v>
      </c>
      <c r="AD111" s="22" t="s">
        <v>58</v>
      </c>
      <c r="AE111" s="22" t="s">
        <v>61</v>
      </c>
      <c r="AF111" s="22" t="s">
        <v>61</v>
      </c>
      <c r="AG111" s="22" t="s">
        <v>58</v>
      </c>
      <c r="AH111" s="22">
        <v>50.0</v>
      </c>
      <c r="AI111" s="22">
        <v>3500.0</v>
      </c>
      <c r="AJ111" s="22">
        <v>50.0</v>
      </c>
      <c r="AK111" s="22">
        <v>0.0</v>
      </c>
      <c r="AL111" s="22"/>
      <c r="AM111" s="22"/>
      <c r="AN111" s="24"/>
      <c r="AO111" s="22"/>
    </row>
    <row r="112" ht="15.75" customHeight="1">
      <c r="A112" s="22">
        <v>106.0</v>
      </c>
      <c r="B112" s="22" t="s">
        <v>1249</v>
      </c>
      <c r="C112" s="22" t="s">
        <v>1251</v>
      </c>
      <c r="D112" s="22" t="s">
        <v>1255</v>
      </c>
      <c r="E112" s="22" t="s">
        <v>49</v>
      </c>
      <c r="F112" s="27" t="s">
        <v>1257</v>
      </c>
      <c r="G112" s="24" t="s">
        <v>69</v>
      </c>
      <c r="H112" s="22" t="s">
        <v>303</v>
      </c>
      <c r="I112" s="22" t="s">
        <v>303</v>
      </c>
      <c r="J112" s="22" t="s">
        <v>74</v>
      </c>
      <c r="K112" s="22" t="s">
        <v>55</v>
      </c>
      <c r="L112" s="22" t="s">
        <v>56</v>
      </c>
      <c r="M112" s="22" t="s">
        <v>57</v>
      </c>
      <c r="N112" s="22" t="s">
        <v>58</v>
      </c>
      <c r="O112" s="22">
        <v>800.0</v>
      </c>
      <c r="P112" s="22">
        <v>950.0</v>
      </c>
      <c r="Q112" s="22" t="s">
        <v>59</v>
      </c>
      <c r="R112" s="22" t="s">
        <v>58</v>
      </c>
      <c r="S112" s="22" t="s">
        <v>58</v>
      </c>
      <c r="T112" s="24" t="s">
        <v>1266</v>
      </c>
      <c r="U112" s="22"/>
      <c r="V112" s="22" t="s">
        <v>61</v>
      </c>
      <c r="W112" s="22" t="s">
        <v>58</v>
      </c>
      <c r="X112" s="22" t="s">
        <v>58</v>
      </c>
      <c r="Y112" s="22" t="s">
        <v>58</v>
      </c>
      <c r="Z112" s="22" t="s">
        <v>58</v>
      </c>
      <c r="AA112" s="22" t="s">
        <v>58</v>
      </c>
      <c r="AB112" s="22" t="s">
        <v>58</v>
      </c>
      <c r="AC112" s="22" t="s">
        <v>58</v>
      </c>
      <c r="AD112" s="22" t="s">
        <v>58</v>
      </c>
      <c r="AE112" s="22" t="s">
        <v>61</v>
      </c>
      <c r="AF112" s="22" t="s">
        <v>61</v>
      </c>
      <c r="AG112" s="22" t="s">
        <v>58</v>
      </c>
      <c r="AH112" s="22">
        <v>50.0</v>
      </c>
      <c r="AI112" s="22">
        <v>0.0</v>
      </c>
      <c r="AJ112" s="22">
        <v>50.0</v>
      </c>
      <c r="AK112" s="22">
        <v>0.0</v>
      </c>
      <c r="AL112" s="22"/>
      <c r="AM112" s="22"/>
      <c r="AN112" s="24"/>
      <c r="AO112" s="22"/>
    </row>
    <row r="113" ht="15.75" customHeight="1">
      <c r="A113" s="22">
        <v>107.0</v>
      </c>
      <c r="B113" s="22" t="s">
        <v>1271</v>
      </c>
      <c r="C113" s="22" t="s">
        <v>1272</v>
      </c>
      <c r="D113" s="22" t="s">
        <v>1273</v>
      </c>
      <c r="E113" s="22" t="s">
        <v>49</v>
      </c>
      <c r="F113" s="24" t="s">
        <v>69</v>
      </c>
      <c r="G113" s="24" t="s">
        <v>122</v>
      </c>
      <c r="H113" s="22" t="s">
        <v>303</v>
      </c>
      <c r="I113" s="22" t="s">
        <v>303</v>
      </c>
      <c r="J113" s="22" t="s">
        <v>74</v>
      </c>
      <c r="K113" s="22" t="s">
        <v>55</v>
      </c>
      <c r="L113" s="22" t="s">
        <v>56</v>
      </c>
      <c r="M113" s="22" t="s">
        <v>57</v>
      </c>
      <c r="N113" s="22" t="s">
        <v>58</v>
      </c>
      <c r="O113" s="22">
        <v>2000.0</v>
      </c>
      <c r="P113" s="22">
        <v>2400.0</v>
      </c>
      <c r="Q113" s="22" t="s">
        <v>59</v>
      </c>
      <c r="R113" s="22" t="s">
        <v>58</v>
      </c>
      <c r="S113" s="22" t="s">
        <v>58</v>
      </c>
      <c r="T113" s="24" t="s">
        <v>1275</v>
      </c>
      <c r="U113" s="22"/>
      <c r="V113" s="22" t="s">
        <v>61</v>
      </c>
      <c r="W113" s="22" t="s">
        <v>58</v>
      </c>
      <c r="X113" s="22" t="s">
        <v>58</v>
      </c>
      <c r="Y113" s="22" t="s">
        <v>58</v>
      </c>
      <c r="Z113" s="22" t="s">
        <v>58</v>
      </c>
      <c r="AA113" s="22" t="s">
        <v>58</v>
      </c>
      <c r="AB113" s="22" t="s">
        <v>58</v>
      </c>
      <c r="AC113" s="22" t="s">
        <v>58</v>
      </c>
      <c r="AD113" s="22" t="s">
        <v>58</v>
      </c>
      <c r="AE113" s="22" t="s">
        <v>61</v>
      </c>
      <c r="AF113" s="22" t="s">
        <v>61</v>
      </c>
      <c r="AG113" s="22" t="s">
        <v>58</v>
      </c>
      <c r="AH113" s="22">
        <v>50.0</v>
      </c>
      <c r="AI113" s="22">
        <v>2000.0</v>
      </c>
      <c r="AJ113" s="22">
        <v>50.0</v>
      </c>
      <c r="AK113" s="22">
        <v>0.0</v>
      </c>
      <c r="AL113" s="22"/>
      <c r="AM113" s="22"/>
      <c r="AN113" s="24"/>
      <c r="AO113" s="22"/>
    </row>
    <row r="114" ht="15.75" customHeight="1">
      <c r="A114" s="22">
        <v>108.0</v>
      </c>
      <c r="B114" s="22" t="s">
        <v>1279</v>
      </c>
      <c r="C114" s="22" t="s">
        <v>1280</v>
      </c>
      <c r="D114" s="24" t="s">
        <v>1282</v>
      </c>
      <c r="E114" s="22" t="s">
        <v>49</v>
      </c>
      <c r="F114" s="27" t="s">
        <v>1284</v>
      </c>
      <c r="G114" s="24">
        <v>9.818109865E9</v>
      </c>
      <c r="H114" s="22" t="s">
        <v>860</v>
      </c>
      <c r="I114" s="22" t="s">
        <v>861</v>
      </c>
      <c r="J114" s="22" t="s">
        <v>74</v>
      </c>
      <c r="K114" s="22" t="s">
        <v>55</v>
      </c>
      <c r="L114" s="22" t="s">
        <v>56</v>
      </c>
      <c r="M114" s="22" t="s">
        <v>57</v>
      </c>
      <c r="N114" s="22" t="s">
        <v>58</v>
      </c>
      <c r="O114" s="22">
        <v>450.0</v>
      </c>
      <c r="P114" s="22">
        <v>500.0</v>
      </c>
      <c r="Q114" s="22" t="s">
        <v>59</v>
      </c>
      <c r="R114" s="22" t="s">
        <v>58</v>
      </c>
      <c r="S114" s="22" t="s">
        <v>58</v>
      </c>
      <c r="T114" s="22"/>
      <c r="U114" s="22"/>
      <c r="V114" s="22" t="s">
        <v>61</v>
      </c>
      <c r="W114" s="22" t="s">
        <v>58</v>
      </c>
      <c r="X114" s="22" t="s">
        <v>58</v>
      </c>
      <c r="Y114" s="22" t="s">
        <v>58</v>
      </c>
      <c r="Z114" s="22" t="s">
        <v>58</v>
      </c>
      <c r="AA114" s="22" t="s">
        <v>58</v>
      </c>
      <c r="AB114" s="22" t="s">
        <v>58</v>
      </c>
      <c r="AC114" s="22" t="s">
        <v>58</v>
      </c>
      <c r="AD114" s="22" t="s">
        <v>58</v>
      </c>
      <c r="AE114" s="22" t="s">
        <v>61</v>
      </c>
      <c r="AF114" s="22" t="s">
        <v>61</v>
      </c>
      <c r="AG114" s="22" t="s">
        <v>58</v>
      </c>
      <c r="AH114" s="22">
        <v>100.0</v>
      </c>
      <c r="AI114" s="22">
        <v>2000.0</v>
      </c>
      <c r="AJ114" s="22">
        <v>100.0</v>
      </c>
      <c r="AK114" s="22">
        <v>0.0</v>
      </c>
      <c r="AL114" s="22"/>
      <c r="AM114" s="22"/>
      <c r="AN114" s="24"/>
      <c r="AO114" s="22"/>
    </row>
    <row r="115" ht="15.75" customHeight="1">
      <c r="A115" s="22">
        <v>109.0</v>
      </c>
      <c r="B115" s="22" t="s">
        <v>1290</v>
      </c>
      <c r="C115" s="22" t="s">
        <v>1291</v>
      </c>
      <c r="D115" s="24" t="s">
        <v>1292</v>
      </c>
      <c r="E115" s="22" t="s">
        <v>49</v>
      </c>
      <c r="F115" s="27" t="s">
        <v>1293</v>
      </c>
      <c r="G115" s="24">
        <v>6.375456851E9</v>
      </c>
      <c r="H115" s="22" t="s">
        <v>123</v>
      </c>
      <c r="I115" s="22" t="s">
        <v>124</v>
      </c>
      <c r="J115" s="22" t="s">
        <v>74</v>
      </c>
      <c r="K115" s="22" t="s">
        <v>55</v>
      </c>
      <c r="L115" s="22" t="s">
        <v>56</v>
      </c>
      <c r="M115" s="22" t="s">
        <v>57</v>
      </c>
      <c r="N115" s="22" t="s">
        <v>58</v>
      </c>
      <c r="O115" s="22">
        <v>1500.0</v>
      </c>
      <c r="P115" s="22">
        <v>2000.0</v>
      </c>
      <c r="Q115" s="22" t="s">
        <v>59</v>
      </c>
      <c r="R115" s="22" t="s">
        <v>58</v>
      </c>
      <c r="S115" s="22" t="s">
        <v>58</v>
      </c>
      <c r="T115" s="22"/>
      <c r="U115" s="22"/>
      <c r="V115" s="22" t="s">
        <v>61</v>
      </c>
      <c r="W115" s="22" t="s">
        <v>58</v>
      </c>
      <c r="X115" s="22" t="s">
        <v>58</v>
      </c>
      <c r="Y115" s="22" t="s">
        <v>58</v>
      </c>
      <c r="Z115" s="22" t="s">
        <v>58</v>
      </c>
      <c r="AA115" s="22" t="s">
        <v>58</v>
      </c>
      <c r="AB115" s="22" t="s">
        <v>58</v>
      </c>
      <c r="AC115" s="22" t="s">
        <v>58</v>
      </c>
      <c r="AD115" s="22" t="s">
        <v>58</v>
      </c>
      <c r="AE115" s="22" t="s">
        <v>61</v>
      </c>
      <c r="AF115" s="22" t="s">
        <v>61</v>
      </c>
      <c r="AG115" s="22" t="s">
        <v>58</v>
      </c>
      <c r="AH115" s="22">
        <v>50.0</v>
      </c>
      <c r="AI115" s="22">
        <v>50.0</v>
      </c>
      <c r="AJ115" s="22">
        <v>50.0</v>
      </c>
      <c r="AK115" s="22">
        <v>0.0</v>
      </c>
      <c r="AL115" s="22"/>
      <c r="AM115" s="22"/>
      <c r="AN115" s="24"/>
      <c r="AO115" s="22"/>
    </row>
    <row r="116" ht="15.75" customHeight="1">
      <c r="A116" s="22">
        <v>110.0</v>
      </c>
      <c r="B116" s="22" t="s">
        <v>1297</v>
      </c>
      <c r="C116" s="22" t="s">
        <v>1298</v>
      </c>
      <c r="D116" s="66" t="s">
        <v>1299</v>
      </c>
      <c r="E116" s="22" t="s">
        <v>49</v>
      </c>
      <c r="F116" s="24" t="s">
        <v>1301</v>
      </c>
      <c r="G116" s="24" t="s">
        <v>1303</v>
      </c>
      <c r="H116" s="22" t="s">
        <v>303</v>
      </c>
      <c r="I116" s="22" t="s">
        <v>303</v>
      </c>
      <c r="J116" s="22" t="s">
        <v>74</v>
      </c>
      <c r="K116" s="22" t="s">
        <v>55</v>
      </c>
      <c r="L116" s="22" t="s">
        <v>56</v>
      </c>
      <c r="M116" s="22" t="s">
        <v>57</v>
      </c>
      <c r="N116" s="22" t="s">
        <v>58</v>
      </c>
      <c r="O116" s="22">
        <v>950.0</v>
      </c>
      <c r="P116" s="22">
        <v>1100.0</v>
      </c>
      <c r="Q116" s="22" t="s">
        <v>59</v>
      </c>
      <c r="R116" s="22" t="s">
        <v>58</v>
      </c>
      <c r="S116" s="22" t="s">
        <v>58</v>
      </c>
      <c r="T116" s="22"/>
      <c r="U116" s="22"/>
      <c r="V116" s="22" t="s">
        <v>61</v>
      </c>
      <c r="W116" s="22" t="s">
        <v>58</v>
      </c>
      <c r="X116" s="22" t="s">
        <v>58</v>
      </c>
      <c r="Y116" s="22" t="s">
        <v>58</v>
      </c>
      <c r="Z116" s="22" t="s">
        <v>58</v>
      </c>
      <c r="AA116" s="22" t="s">
        <v>58</v>
      </c>
      <c r="AB116" s="22" t="s">
        <v>58</v>
      </c>
      <c r="AC116" s="22" t="s">
        <v>58</v>
      </c>
      <c r="AD116" s="22" t="s">
        <v>58</v>
      </c>
      <c r="AE116" s="22" t="s">
        <v>61</v>
      </c>
      <c r="AF116" s="22" t="s">
        <v>61</v>
      </c>
      <c r="AG116" s="22" t="s">
        <v>58</v>
      </c>
      <c r="AH116" s="22">
        <v>25.0</v>
      </c>
      <c r="AI116" s="22">
        <v>5000.0</v>
      </c>
      <c r="AJ116" s="22">
        <v>25.0</v>
      </c>
      <c r="AK116" s="22">
        <v>0.0</v>
      </c>
      <c r="AL116" s="22"/>
      <c r="AM116" s="22"/>
      <c r="AN116" s="24"/>
      <c r="AO116" s="22"/>
    </row>
    <row r="117" ht="15.75" customHeight="1">
      <c r="A117" s="22">
        <v>111.0</v>
      </c>
      <c r="B117" s="22" t="s">
        <v>1305</v>
      </c>
      <c r="C117" s="22" t="s">
        <v>1306</v>
      </c>
      <c r="D117" s="54" t="s">
        <v>1307</v>
      </c>
      <c r="E117" s="22" t="s">
        <v>49</v>
      </c>
      <c r="F117" s="67" t="s">
        <v>1308</v>
      </c>
      <c r="G117" s="68">
        <v>9.811035325E9</v>
      </c>
      <c r="H117" s="22" t="s">
        <v>303</v>
      </c>
      <c r="I117" s="22" t="s">
        <v>303</v>
      </c>
      <c r="J117" s="22" t="s">
        <v>74</v>
      </c>
      <c r="K117" s="22" t="s">
        <v>55</v>
      </c>
      <c r="L117" s="22" t="s">
        <v>56</v>
      </c>
      <c r="M117" s="22" t="s">
        <v>57</v>
      </c>
      <c r="N117" s="22" t="s">
        <v>58</v>
      </c>
      <c r="O117" s="22">
        <v>5000.0</v>
      </c>
      <c r="P117" s="22">
        <v>5500.0</v>
      </c>
      <c r="Q117" s="22" t="s">
        <v>59</v>
      </c>
      <c r="R117" s="22" t="s">
        <v>58</v>
      </c>
      <c r="S117" s="22" t="s">
        <v>58</v>
      </c>
      <c r="T117" s="22" t="s">
        <v>948</v>
      </c>
      <c r="U117" s="22"/>
      <c r="V117" s="22" t="s">
        <v>61</v>
      </c>
      <c r="W117" s="22" t="s">
        <v>58</v>
      </c>
      <c r="X117" s="22" t="s">
        <v>58</v>
      </c>
      <c r="Y117" s="22" t="s">
        <v>58</v>
      </c>
      <c r="Z117" s="22" t="s">
        <v>58</v>
      </c>
      <c r="AA117" s="22" t="s">
        <v>58</v>
      </c>
      <c r="AB117" s="22" t="s">
        <v>58</v>
      </c>
      <c r="AC117" s="22" t="s">
        <v>58</v>
      </c>
      <c r="AD117" s="22" t="s">
        <v>58</v>
      </c>
      <c r="AE117" s="22" t="s">
        <v>61</v>
      </c>
      <c r="AF117" s="22" t="s">
        <v>61</v>
      </c>
      <c r="AG117" s="22" t="s">
        <v>58</v>
      </c>
      <c r="AH117" s="22">
        <v>50.0</v>
      </c>
      <c r="AI117" s="22">
        <v>10000.0</v>
      </c>
      <c r="AJ117" s="22">
        <v>50.0</v>
      </c>
      <c r="AK117" s="22">
        <v>0.0</v>
      </c>
      <c r="AL117" s="22"/>
      <c r="AM117" s="22"/>
      <c r="AN117" s="24"/>
      <c r="AO117" s="22"/>
    </row>
    <row r="118" ht="15.75" customHeight="1">
      <c r="A118" s="22">
        <v>112.0</v>
      </c>
      <c r="B118" s="22" t="s">
        <v>1316</v>
      </c>
      <c r="C118" s="22" t="s">
        <v>1317</v>
      </c>
      <c r="D118" s="22" t="s">
        <v>1318</v>
      </c>
      <c r="E118" s="22" t="s">
        <v>49</v>
      </c>
      <c r="F118" s="42" t="s">
        <v>1319</v>
      </c>
      <c r="G118" s="69">
        <v>-8.755395095E9</v>
      </c>
      <c r="H118" s="22" t="s">
        <v>586</v>
      </c>
      <c r="I118" s="22" t="s">
        <v>587</v>
      </c>
      <c r="J118" s="22" t="s">
        <v>74</v>
      </c>
      <c r="K118" s="22" t="s">
        <v>55</v>
      </c>
      <c r="L118" s="22" t="s">
        <v>56</v>
      </c>
      <c r="M118" s="22" t="s">
        <v>57</v>
      </c>
      <c r="N118" s="22" t="s">
        <v>58</v>
      </c>
      <c r="O118" s="22">
        <v>1000.0</v>
      </c>
      <c r="P118" s="22">
        <v>1500.0</v>
      </c>
      <c r="Q118" s="22" t="s">
        <v>59</v>
      </c>
      <c r="R118" s="22" t="s">
        <v>58</v>
      </c>
      <c r="S118" s="22" t="s">
        <v>58</v>
      </c>
      <c r="T118" s="24" t="s">
        <v>1323</v>
      </c>
      <c r="U118" s="22"/>
      <c r="V118" s="22" t="s">
        <v>61</v>
      </c>
      <c r="W118" s="22" t="s">
        <v>58</v>
      </c>
      <c r="X118" s="22" t="s">
        <v>58</v>
      </c>
      <c r="Y118" s="22" t="s">
        <v>58</v>
      </c>
      <c r="Z118" s="22" t="s">
        <v>58</v>
      </c>
      <c r="AA118" s="22" t="s">
        <v>58</v>
      </c>
      <c r="AB118" s="22" t="s">
        <v>58</v>
      </c>
      <c r="AC118" s="22" t="s">
        <v>58</v>
      </c>
      <c r="AD118" s="22" t="s">
        <v>58</v>
      </c>
      <c r="AE118" s="22" t="s">
        <v>61</v>
      </c>
      <c r="AF118" s="22" t="s">
        <v>61</v>
      </c>
      <c r="AG118" s="22" t="s">
        <v>58</v>
      </c>
      <c r="AH118" s="22">
        <v>500.0</v>
      </c>
      <c r="AI118" s="22">
        <v>5000.0</v>
      </c>
      <c r="AJ118" s="22">
        <v>500.0</v>
      </c>
      <c r="AK118" s="22">
        <v>0.0</v>
      </c>
      <c r="AL118" s="22"/>
      <c r="AM118" s="22"/>
      <c r="AN118" s="24"/>
      <c r="AO118" s="22"/>
    </row>
    <row r="119" ht="15.75" customHeight="1">
      <c r="A119" s="22">
        <v>113.0</v>
      </c>
      <c r="B119" s="22" t="s">
        <v>1324</v>
      </c>
      <c r="C119" s="22" t="s">
        <v>1325</v>
      </c>
      <c r="D119" s="22"/>
      <c r="E119" s="22" t="s">
        <v>49</v>
      </c>
      <c r="F119" s="42" t="s">
        <v>1326</v>
      </c>
      <c r="G119" s="24" t="s">
        <v>1327</v>
      </c>
      <c r="H119" s="22" t="s">
        <v>142</v>
      </c>
      <c r="I119" s="22" t="s">
        <v>144</v>
      </c>
      <c r="J119" s="22" t="s">
        <v>74</v>
      </c>
      <c r="K119" s="22" t="s">
        <v>55</v>
      </c>
      <c r="L119" s="22" t="s">
        <v>56</v>
      </c>
      <c r="M119" s="22" t="s">
        <v>57</v>
      </c>
      <c r="N119" s="22" t="s">
        <v>58</v>
      </c>
      <c r="O119" s="22">
        <v>1200.0</v>
      </c>
      <c r="P119" s="22">
        <v>1400.0</v>
      </c>
      <c r="Q119" s="22" t="s">
        <v>59</v>
      </c>
      <c r="R119" s="22" t="s">
        <v>58</v>
      </c>
      <c r="S119" s="22" t="s">
        <v>58</v>
      </c>
      <c r="T119" s="22"/>
      <c r="U119" s="22"/>
      <c r="V119" s="22" t="s">
        <v>61</v>
      </c>
      <c r="W119" s="22" t="s">
        <v>58</v>
      </c>
      <c r="X119" s="22" t="s">
        <v>58</v>
      </c>
      <c r="Y119" s="22" t="s">
        <v>58</v>
      </c>
      <c r="Z119" s="22" t="s">
        <v>58</v>
      </c>
      <c r="AA119" s="22" t="s">
        <v>58</v>
      </c>
      <c r="AB119" s="22" t="s">
        <v>58</v>
      </c>
      <c r="AC119" s="22" t="s">
        <v>58</v>
      </c>
      <c r="AD119" s="22" t="s">
        <v>58</v>
      </c>
      <c r="AE119" s="22" t="s">
        <v>61</v>
      </c>
      <c r="AF119" s="22" t="s">
        <v>61</v>
      </c>
      <c r="AG119" s="22" t="s">
        <v>58</v>
      </c>
      <c r="AH119" s="22">
        <v>50.0</v>
      </c>
      <c r="AI119" s="22">
        <v>1000.0</v>
      </c>
      <c r="AJ119" s="22">
        <v>50.0</v>
      </c>
      <c r="AK119" s="22">
        <v>0.0</v>
      </c>
      <c r="AL119" s="22"/>
      <c r="AM119" s="22"/>
      <c r="AN119" s="24"/>
      <c r="AO119" s="22"/>
    </row>
    <row r="120" ht="15.75" customHeight="1">
      <c r="A120" s="15">
        <v>114.0</v>
      </c>
      <c r="B120" s="15" t="s">
        <v>403</v>
      </c>
      <c r="C120" s="15" t="s">
        <v>404</v>
      </c>
      <c r="D120" s="48" t="s">
        <v>1331</v>
      </c>
      <c r="E120" s="15" t="s">
        <v>49</v>
      </c>
      <c r="F120" s="49" t="s">
        <v>406</v>
      </c>
      <c r="G120" s="15" t="s">
        <v>409</v>
      </c>
      <c r="H120" s="15" t="s">
        <v>147</v>
      </c>
      <c r="I120" s="15" t="s">
        <v>148</v>
      </c>
      <c r="J120" s="15" t="s">
        <v>148</v>
      </c>
      <c r="K120" s="15" t="s">
        <v>55</v>
      </c>
      <c r="L120" s="15" t="s">
        <v>56</v>
      </c>
      <c r="M120" s="15" t="s">
        <v>57</v>
      </c>
      <c r="N120" s="15" t="s">
        <v>58</v>
      </c>
      <c r="O120" s="15">
        <v>350.0</v>
      </c>
      <c r="P120" s="15">
        <v>850.0</v>
      </c>
      <c r="Q120" s="15" t="s">
        <v>59</v>
      </c>
      <c r="R120" s="15" t="s">
        <v>58</v>
      </c>
      <c r="S120" s="15" t="s">
        <v>58</v>
      </c>
      <c r="T120" s="15"/>
      <c r="U120" s="15"/>
      <c r="V120" s="15" t="s">
        <v>61</v>
      </c>
      <c r="W120" s="15" t="s">
        <v>58</v>
      </c>
      <c r="X120" s="15" t="s">
        <v>58</v>
      </c>
      <c r="Y120" s="15" t="s">
        <v>58</v>
      </c>
      <c r="Z120" s="15" t="s">
        <v>58</v>
      </c>
      <c r="AA120" s="15" t="s">
        <v>58</v>
      </c>
      <c r="AB120" s="15" t="s">
        <v>58</v>
      </c>
      <c r="AC120" s="15" t="s">
        <v>58</v>
      </c>
      <c r="AD120" s="15" t="s">
        <v>58</v>
      </c>
      <c r="AE120" s="15" t="s">
        <v>61</v>
      </c>
      <c r="AF120" s="15" t="s">
        <v>61</v>
      </c>
      <c r="AG120" s="15" t="s">
        <v>58</v>
      </c>
      <c r="AH120" s="15">
        <v>20.0</v>
      </c>
      <c r="AI120" s="15">
        <v>5000.0</v>
      </c>
      <c r="AJ120" s="15">
        <v>20.0</v>
      </c>
      <c r="AK120" s="15">
        <v>0.0</v>
      </c>
      <c r="AL120" s="15"/>
      <c r="AM120" s="15"/>
      <c r="AN120" s="16"/>
      <c r="AO120" s="21">
        <v>2.0</v>
      </c>
    </row>
    <row r="121" ht="30.0" customHeight="1">
      <c r="A121" s="22">
        <v>115.0</v>
      </c>
      <c r="B121" s="22" t="s">
        <v>612</v>
      </c>
      <c r="C121" s="22" t="s">
        <v>613</v>
      </c>
      <c r="D121" s="24" t="s">
        <v>1335</v>
      </c>
      <c r="E121" s="22" t="s">
        <v>49</v>
      </c>
      <c r="F121" s="24" t="s">
        <v>69</v>
      </c>
      <c r="G121" s="24" t="s">
        <v>122</v>
      </c>
      <c r="H121" s="22" t="s">
        <v>1336</v>
      </c>
      <c r="I121" s="22" t="s">
        <v>1337</v>
      </c>
      <c r="J121" s="22" t="s">
        <v>74</v>
      </c>
      <c r="K121" s="22" t="s">
        <v>55</v>
      </c>
      <c r="L121" s="22" t="s">
        <v>56</v>
      </c>
      <c r="M121" s="22" t="s">
        <v>57</v>
      </c>
      <c r="N121" s="22" t="s">
        <v>58</v>
      </c>
      <c r="O121" s="22">
        <v>1200.0</v>
      </c>
      <c r="P121" s="22">
        <v>2500.0</v>
      </c>
      <c r="Q121" s="22" t="s">
        <v>59</v>
      </c>
      <c r="R121" s="22" t="s">
        <v>58</v>
      </c>
      <c r="S121" s="22" t="s">
        <v>58</v>
      </c>
      <c r="T121" s="22"/>
      <c r="U121" s="22"/>
      <c r="V121" s="22" t="s">
        <v>61</v>
      </c>
      <c r="W121" s="22" t="s">
        <v>58</v>
      </c>
      <c r="X121" s="22" t="s">
        <v>58</v>
      </c>
      <c r="Y121" s="22" t="s">
        <v>58</v>
      </c>
      <c r="Z121" s="22" t="s">
        <v>58</v>
      </c>
      <c r="AA121" s="22" t="s">
        <v>58</v>
      </c>
      <c r="AB121" s="22" t="s">
        <v>58</v>
      </c>
      <c r="AC121" s="22" t="s">
        <v>58</v>
      </c>
      <c r="AD121" s="22" t="s">
        <v>58</v>
      </c>
      <c r="AE121" s="22" t="s">
        <v>61</v>
      </c>
      <c r="AF121" s="22" t="s">
        <v>61</v>
      </c>
      <c r="AG121" s="22" t="s">
        <v>58</v>
      </c>
      <c r="AH121" s="22">
        <v>2000.0</v>
      </c>
      <c r="AI121" s="22">
        <v>10000.0</v>
      </c>
      <c r="AJ121" s="22">
        <v>2000.0</v>
      </c>
      <c r="AK121" s="22">
        <v>0.0</v>
      </c>
      <c r="AL121" s="22"/>
      <c r="AM121" s="22"/>
      <c r="AN121" s="24"/>
      <c r="AO121" s="22"/>
    </row>
    <row r="122" ht="15.75" customHeight="1">
      <c r="A122" s="22">
        <v>116.0</v>
      </c>
      <c r="B122" s="22" t="s">
        <v>1338</v>
      </c>
      <c r="C122" s="22" t="s">
        <v>1339</v>
      </c>
      <c r="D122" s="22" t="s">
        <v>1340</v>
      </c>
      <c r="E122" s="22" t="s">
        <v>49</v>
      </c>
      <c r="F122" s="42" t="s">
        <v>1341</v>
      </c>
      <c r="G122" s="24">
        <v>8.527294335E9</v>
      </c>
      <c r="H122" s="22" t="s">
        <v>303</v>
      </c>
      <c r="I122" s="22" t="s">
        <v>303</v>
      </c>
      <c r="J122" s="22" t="s">
        <v>74</v>
      </c>
      <c r="K122" s="22" t="s">
        <v>55</v>
      </c>
      <c r="L122" s="22" t="s">
        <v>56</v>
      </c>
      <c r="M122" s="22" t="s">
        <v>57</v>
      </c>
      <c r="N122" s="22" t="s">
        <v>58</v>
      </c>
      <c r="O122" s="22">
        <v>1200.0</v>
      </c>
      <c r="P122" s="22">
        <v>1600.0</v>
      </c>
      <c r="Q122" s="22" t="s">
        <v>59</v>
      </c>
      <c r="R122" s="22" t="s">
        <v>58</v>
      </c>
      <c r="S122" s="22" t="s">
        <v>58</v>
      </c>
      <c r="T122" s="22" t="s">
        <v>1345</v>
      </c>
      <c r="U122" s="22"/>
      <c r="V122" s="22" t="s">
        <v>61</v>
      </c>
      <c r="W122" s="22" t="s">
        <v>58</v>
      </c>
      <c r="X122" s="22" t="s">
        <v>58</v>
      </c>
      <c r="Y122" s="22" t="s">
        <v>58</v>
      </c>
      <c r="Z122" s="22" t="s">
        <v>58</v>
      </c>
      <c r="AA122" s="22" t="s">
        <v>58</v>
      </c>
      <c r="AB122" s="22" t="s">
        <v>58</v>
      </c>
      <c r="AC122" s="22" t="s">
        <v>58</v>
      </c>
      <c r="AD122" s="22" t="s">
        <v>58</v>
      </c>
      <c r="AE122" s="22" t="s">
        <v>61</v>
      </c>
      <c r="AF122" s="22" t="s">
        <v>61</v>
      </c>
      <c r="AG122" s="22" t="s">
        <v>58</v>
      </c>
      <c r="AH122" s="22">
        <v>0.0</v>
      </c>
      <c r="AI122" s="22">
        <v>0.0</v>
      </c>
      <c r="AJ122" s="22">
        <v>0.0</v>
      </c>
      <c r="AK122" s="22">
        <v>0.0</v>
      </c>
      <c r="AL122" s="22"/>
      <c r="AM122" s="22"/>
      <c r="AN122" s="24"/>
      <c r="AO122" s="22"/>
    </row>
    <row r="123" ht="15.75" customHeight="1">
      <c r="A123" s="22"/>
      <c r="B123" s="22"/>
      <c r="C123" s="22"/>
      <c r="D123" s="22"/>
      <c r="E123" s="22"/>
      <c r="F123" s="22"/>
      <c r="G123" s="22"/>
      <c r="H123" s="22"/>
      <c r="I123" s="22"/>
      <c r="J123" s="22"/>
      <c r="K123" s="22"/>
      <c r="L123" s="22"/>
      <c r="M123" s="22"/>
      <c r="N123" s="22"/>
      <c r="O123" s="22"/>
      <c r="P123" s="22"/>
      <c r="Q123" s="22"/>
      <c r="R123" s="22"/>
      <c r="S123" s="22"/>
      <c r="T123" s="22" t="s">
        <v>1347</v>
      </c>
      <c r="U123" s="22"/>
      <c r="V123" s="22"/>
      <c r="W123" s="22"/>
      <c r="X123" s="22"/>
      <c r="Y123" s="22"/>
      <c r="Z123" s="22"/>
      <c r="AA123" s="22"/>
      <c r="AB123" s="22"/>
      <c r="AC123" s="22"/>
      <c r="AD123" s="22"/>
      <c r="AE123" s="22"/>
      <c r="AF123" s="22"/>
      <c r="AG123" s="22"/>
      <c r="AH123" s="22"/>
      <c r="AI123" s="22"/>
      <c r="AJ123" s="22"/>
      <c r="AK123" s="22"/>
      <c r="AL123" s="22"/>
      <c r="AM123" s="22"/>
      <c r="AN123" s="24"/>
      <c r="AO123" s="22"/>
    </row>
    <row r="124" ht="15.75" customHeight="1">
      <c r="A124" s="22">
        <v>117.0</v>
      </c>
      <c r="B124" s="22" t="s">
        <v>1350</v>
      </c>
      <c r="C124" s="22" t="s">
        <v>1351</v>
      </c>
      <c r="D124" s="22" t="s">
        <v>1352</v>
      </c>
      <c r="E124" s="22" t="s">
        <v>49</v>
      </c>
      <c r="F124" s="27" t="s">
        <v>1353</v>
      </c>
      <c r="G124" s="24">
        <v>9.990111259E9</v>
      </c>
      <c r="H124" s="22" t="s">
        <v>303</v>
      </c>
      <c r="I124" s="22" t="s">
        <v>303</v>
      </c>
      <c r="J124" s="22" t="s">
        <v>74</v>
      </c>
      <c r="K124" s="22" t="s">
        <v>55</v>
      </c>
      <c r="L124" s="22" t="s">
        <v>56</v>
      </c>
      <c r="M124" s="22" t="s">
        <v>57</v>
      </c>
      <c r="N124" s="22" t="s">
        <v>58</v>
      </c>
      <c r="O124" s="22">
        <v>1699.0</v>
      </c>
      <c r="P124" s="22">
        <v>1899.0</v>
      </c>
      <c r="Q124" s="22" t="s">
        <v>59</v>
      </c>
      <c r="R124" s="22" t="s">
        <v>58</v>
      </c>
      <c r="S124" s="22" t="s">
        <v>58</v>
      </c>
      <c r="T124" s="22" t="s">
        <v>948</v>
      </c>
      <c r="U124" s="22"/>
      <c r="V124" s="22" t="s">
        <v>61</v>
      </c>
      <c r="W124" s="22" t="s">
        <v>58</v>
      </c>
      <c r="X124" s="22" t="s">
        <v>58</v>
      </c>
      <c r="Y124" s="22" t="s">
        <v>58</v>
      </c>
      <c r="Z124" s="22" t="s">
        <v>58</v>
      </c>
      <c r="AA124" s="22" t="s">
        <v>58</v>
      </c>
      <c r="AB124" s="22" t="s">
        <v>58</v>
      </c>
      <c r="AC124" s="22" t="s">
        <v>58</v>
      </c>
      <c r="AD124" s="22" t="s">
        <v>58</v>
      </c>
      <c r="AE124" s="22" t="s">
        <v>61</v>
      </c>
      <c r="AF124" s="22" t="s">
        <v>61</v>
      </c>
      <c r="AG124" s="22" t="s">
        <v>58</v>
      </c>
      <c r="AH124" s="22">
        <v>53.0</v>
      </c>
      <c r="AI124" s="22">
        <v>0.0</v>
      </c>
      <c r="AJ124" s="22">
        <v>53.0</v>
      </c>
      <c r="AK124" s="22">
        <v>0.0</v>
      </c>
      <c r="AL124" s="22"/>
      <c r="AM124" s="22"/>
      <c r="AN124" s="24"/>
      <c r="AO124" s="22"/>
    </row>
    <row r="125" ht="15.75" customHeight="1">
      <c r="A125" s="22"/>
      <c r="B125" s="22"/>
      <c r="C125" s="22"/>
      <c r="D125" s="22"/>
      <c r="E125" s="22"/>
      <c r="F125" s="22"/>
      <c r="G125" s="22"/>
      <c r="H125" s="22"/>
      <c r="I125" s="22"/>
      <c r="J125" s="22"/>
      <c r="K125" s="22"/>
      <c r="L125" s="22"/>
      <c r="M125" s="22"/>
      <c r="N125" s="22"/>
      <c r="O125" s="22"/>
      <c r="P125" s="22"/>
      <c r="Q125" s="22"/>
      <c r="R125" s="22"/>
      <c r="S125" s="22"/>
      <c r="T125" s="22" t="s">
        <v>1356</v>
      </c>
      <c r="U125" s="22"/>
      <c r="V125" s="22"/>
      <c r="W125" s="22"/>
      <c r="X125" s="22"/>
      <c r="Y125" s="22"/>
      <c r="Z125" s="22"/>
      <c r="AA125" s="22"/>
      <c r="AB125" s="22"/>
      <c r="AC125" s="22"/>
      <c r="AD125" s="22"/>
      <c r="AE125" s="22"/>
      <c r="AF125" s="22"/>
      <c r="AG125" s="22"/>
      <c r="AH125" s="22"/>
      <c r="AI125" s="22"/>
      <c r="AJ125" s="22"/>
      <c r="AK125" s="22"/>
      <c r="AL125" s="22"/>
      <c r="AM125" s="22"/>
      <c r="AN125" s="24"/>
      <c r="AO125" s="22"/>
    </row>
    <row r="126" ht="15.75" customHeight="1">
      <c r="A126" s="15">
        <v>118.0</v>
      </c>
      <c r="B126" s="15" t="s">
        <v>1360</v>
      </c>
      <c r="C126" s="15" t="s">
        <v>1361</v>
      </c>
      <c r="D126" s="16" t="s">
        <v>1362</v>
      </c>
      <c r="E126" s="15" t="s">
        <v>49</v>
      </c>
      <c r="F126" s="49" t="s">
        <v>1363</v>
      </c>
      <c r="G126" s="15" t="s">
        <v>1366</v>
      </c>
      <c r="H126" s="15" t="s">
        <v>1367</v>
      </c>
      <c r="I126" s="15" t="s">
        <v>1368</v>
      </c>
      <c r="J126" s="15" t="s">
        <v>74</v>
      </c>
      <c r="K126" s="15" t="s">
        <v>55</v>
      </c>
      <c r="L126" s="15" t="s">
        <v>56</v>
      </c>
      <c r="M126" s="15" t="s">
        <v>57</v>
      </c>
      <c r="N126" s="15" t="s">
        <v>58</v>
      </c>
      <c r="O126" s="15">
        <v>1800.0</v>
      </c>
      <c r="P126" s="15">
        <v>2000.0</v>
      </c>
      <c r="Q126" s="15" t="s">
        <v>59</v>
      </c>
      <c r="R126" s="15" t="s">
        <v>58</v>
      </c>
      <c r="S126" s="15" t="s">
        <v>58</v>
      </c>
      <c r="T126" s="15"/>
      <c r="U126" s="15"/>
      <c r="V126" s="15" t="s">
        <v>61</v>
      </c>
      <c r="W126" s="15" t="s">
        <v>58</v>
      </c>
      <c r="X126" s="15" t="s">
        <v>58</v>
      </c>
      <c r="Y126" s="15" t="s">
        <v>58</v>
      </c>
      <c r="Z126" s="15" t="s">
        <v>58</v>
      </c>
      <c r="AA126" s="15" t="s">
        <v>58</v>
      </c>
      <c r="AB126" s="15" t="s">
        <v>58</v>
      </c>
      <c r="AC126" s="15" t="s">
        <v>58</v>
      </c>
      <c r="AD126" s="15" t="s">
        <v>58</v>
      </c>
      <c r="AE126" s="15" t="s">
        <v>61</v>
      </c>
      <c r="AF126" s="15" t="s">
        <v>61</v>
      </c>
      <c r="AG126" s="15" t="s">
        <v>58</v>
      </c>
      <c r="AH126" s="15">
        <v>50.0</v>
      </c>
      <c r="AI126" s="15">
        <v>10000.0</v>
      </c>
      <c r="AJ126" s="15">
        <v>50.0</v>
      </c>
      <c r="AK126" s="15">
        <v>0.0</v>
      </c>
      <c r="AL126" s="15"/>
      <c r="AM126" s="15"/>
      <c r="AN126" s="16"/>
      <c r="AO126" s="21">
        <v>2.0</v>
      </c>
    </row>
    <row r="127" ht="15.75" customHeight="1">
      <c r="A127" s="22">
        <v>119.0</v>
      </c>
      <c r="B127" s="22" t="s">
        <v>493</v>
      </c>
      <c r="C127" s="22" t="s">
        <v>499</v>
      </c>
      <c r="D127" s="24" t="s">
        <v>500</v>
      </c>
      <c r="E127" s="22" t="s">
        <v>49</v>
      </c>
      <c r="F127" s="24" t="s">
        <v>69</v>
      </c>
      <c r="G127" s="24" t="s">
        <v>122</v>
      </c>
      <c r="H127" s="22" t="s">
        <v>147</v>
      </c>
      <c r="I127" s="22" t="s">
        <v>148</v>
      </c>
      <c r="J127" s="22" t="s">
        <v>148</v>
      </c>
      <c r="K127" s="22" t="s">
        <v>55</v>
      </c>
      <c r="L127" s="22" t="s">
        <v>56</v>
      </c>
      <c r="M127" s="22" t="s">
        <v>57</v>
      </c>
      <c r="N127" s="22" t="s">
        <v>58</v>
      </c>
      <c r="O127" s="22">
        <v>299.0</v>
      </c>
      <c r="P127" s="22">
        <v>399.0</v>
      </c>
      <c r="Q127" s="22" t="s">
        <v>59</v>
      </c>
      <c r="R127" s="22" t="s">
        <v>58</v>
      </c>
      <c r="S127" s="22" t="s">
        <v>58</v>
      </c>
      <c r="T127" s="22"/>
      <c r="U127" s="22"/>
      <c r="V127" s="22" t="s">
        <v>61</v>
      </c>
      <c r="W127" s="22" t="s">
        <v>58</v>
      </c>
      <c r="X127" s="22" t="s">
        <v>58</v>
      </c>
      <c r="Y127" s="22" t="s">
        <v>58</v>
      </c>
      <c r="Z127" s="22" t="s">
        <v>58</v>
      </c>
      <c r="AA127" s="22" t="s">
        <v>58</v>
      </c>
      <c r="AB127" s="22" t="s">
        <v>58</v>
      </c>
      <c r="AC127" s="22" t="s">
        <v>58</v>
      </c>
      <c r="AD127" s="22" t="s">
        <v>58</v>
      </c>
      <c r="AE127" s="22" t="s">
        <v>61</v>
      </c>
      <c r="AF127" s="22" t="s">
        <v>61</v>
      </c>
      <c r="AG127" s="22" t="s">
        <v>58</v>
      </c>
      <c r="AH127" s="22">
        <v>20.0</v>
      </c>
      <c r="AI127" s="22">
        <v>500.0</v>
      </c>
      <c r="AJ127" s="22">
        <v>20.0</v>
      </c>
      <c r="AK127" s="22">
        <v>0.0</v>
      </c>
      <c r="AL127" s="22"/>
      <c r="AM127" s="22"/>
      <c r="AN127" s="24"/>
      <c r="AO127" s="22"/>
    </row>
    <row r="128" ht="15.75" customHeight="1">
      <c r="A128" s="22">
        <v>120.0</v>
      </c>
      <c r="B128" s="22" t="s">
        <v>1372</v>
      </c>
      <c r="C128" s="22" t="s">
        <v>1373</v>
      </c>
      <c r="D128" s="24" t="s">
        <v>1374</v>
      </c>
      <c r="E128" s="22" t="s">
        <v>49</v>
      </c>
      <c r="F128" s="24" t="s">
        <v>122</v>
      </c>
      <c r="G128" s="24" t="s">
        <v>122</v>
      </c>
      <c r="H128" s="22" t="s">
        <v>586</v>
      </c>
      <c r="I128" s="22" t="s">
        <v>587</v>
      </c>
      <c r="J128" s="22" t="s">
        <v>74</v>
      </c>
      <c r="K128" s="22" t="s">
        <v>55</v>
      </c>
      <c r="L128" s="22" t="s">
        <v>56</v>
      </c>
      <c r="M128" s="22" t="s">
        <v>57</v>
      </c>
      <c r="N128" s="22" t="s">
        <v>58</v>
      </c>
      <c r="O128" s="22">
        <v>600.0</v>
      </c>
      <c r="P128" s="22">
        <v>800.0</v>
      </c>
      <c r="Q128" s="22" t="s">
        <v>59</v>
      </c>
      <c r="R128" s="22" t="s">
        <v>58</v>
      </c>
      <c r="S128" s="22" t="s">
        <v>58</v>
      </c>
      <c r="T128" s="22"/>
      <c r="U128" s="22"/>
      <c r="V128" s="22" t="s">
        <v>61</v>
      </c>
      <c r="W128" s="22" t="s">
        <v>58</v>
      </c>
      <c r="X128" s="22" t="s">
        <v>58</v>
      </c>
      <c r="Y128" s="22" t="s">
        <v>58</v>
      </c>
      <c r="Z128" s="22" t="s">
        <v>58</v>
      </c>
      <c r="AA128" s="22" t="s">
        <v>58</v>
      </c>
      <c r="AB128" s="22" t="s">
        <v>58</v>
      </c>
      <c r="AC128" s="22" t="s">
        <v>58</v>
      </c>
      <c r="AD128" s="22" t="s">
        <v>58</v>
      </c>
      <c r="AE128" s="22" t="s">
        <v>61</v>
      </c>
      <c r="AF128" s="22" t="s">
        <v>61</v>
      </c>
      <c r="AG128" s="22" t="s">
        <v>58</v>
      </c>
      <c r="AH128" s="22">
        <v>25.0</v>
      </c>
      <c r="AI128" s="22">
        <v>10000.0</v>
      </c>
      <c r="AJ128" s="22">
        <v>25.0</v>
      </c>
      <c r="AK128" s="22">
        <v>0.0</v>
      </c>
      <c r="AL128" s="22"/>
      <c r="AM128" s="22"/>
      <c r="AN128" s="24"/>
      <c r="AO128" s="22"/>
    </row>
    <row r="129" ht="15.75" customHeight="1">
      <c r="A129" s="22">
        <v>121.0</v>
      </c>
      <c r="B129" s="22" t="s">
        <v>1375</v>
      </c>
      <c r="C129" s="22" t="s">
        <v>1376</v>
      </c>
      <c r="D129" s="22" t="s">
        <v>1377</v>
      </c>
      <c r="E129" s="22" t="s">
        <v>49</v>
      </c>
      <c r="F129" s="27" t="s">
        <v>560</v>
      </c>
      <c r="G129" s="24" t="s">
        <v>122</v>
      </c>
      <c r="H129" s="22" t="s">
        <v>303</v>
      </c>
      <c r="I129" s="22" t="s">
        <v>303</v>
      </c>
      <c r="J129" s="22" t="s">
        <v>74</v>
      </c>
      <c r="K129" s="22" t="s">
        <v>55</v>
      </c>
      <c r="L129" s="22" t="s">
        <v>56</v>
      </c>
      <c r="M129" s="22" t="s">
        <v>57</v>
      </c>
      <c r="N129" s="22" t="s">
        <v>58</v>
      </c>
      <c r="O129" s="22">
        <v>2200.0</v>
      </c>
      <c r="P129" s="22">
        <v>2400.0</v>
      </c>
      <c r="Q129" s="22" t="s">
        <v>59</v>
      </c>
      <c r="R129" s="22" t="s">
        <v>58</v>
      </c>
      <c r="S129" s="22" t="s">
        <v>58</v>
      </c>
      <c r="T129" s="24" t="s">
        <v>1378</v>
      </c>
      <c r="U129" s="22"/>
      <c r="V129" s="22" t="s">
        <v>61</v>
      </c>
      <c r="W129" s="22" t="s">
        <v>58</v>
      </c>
      <c r="X129" s="22" t="s">
        <v>58</v>
      </c>
      <c r="Y129" s="22" t="s">
        <v>58</v>
      </c>
      <c r="Z129" s="22" t="s">
        <v>58</v>
      </c>
      <c r="AA129" s="22" t="s">
        <v>58</v>
      </c>
      <c r="AB129" s="22" t="s">
        <v>58</v>
      </c>
      <c r="AC129" s="22" t="s">
        <v>58</v>
      </c>
      <c r="AD129" s="22" t="s">
        <v>58</v>
      </c>
      <c r="AE129" s="22" t="s">
        <v>61</v>
      </c>
      <c r="AF129" s="22" t="s">
        <v>61</v>
      </c>
      <c r="AG129" s="22" t="s">
        <v>58</v>
      </c>
      <c r="AH129" s="22">
        <v>100.0</v>
      </c>
      <c r="AI129" s="22">
        <v>5000.0</v>
      </c>
      <c r="AJ129" s="22">
        <v>100.0</v>
      </c>
      <c r="AK129" s="22">
        <v>0.0</v>
      </c>
      <c r="AL129" s="22"/>
      <c r="AM129" s="22"/>
      <c r="AN129" s="24"/>
      <c r="AO129" s="22"/>
    </row>
    <row r="130" ht="15.75" customHeight="1">
      <c r="A130" s="22">
        <v>122.0</v>
      </c>
      <c r="B130" s="22" t="s">
        <v>364</v>
      </c>
      <c r="C130" s="22" t="s">
        <v>366</v>
      </c>
      <c r="D130" s="24" t="s">
        <v>1379</v>
      </c>
      <c r="E130" s="22" t="s">
        <v>49</v>
      </c>
      <c r="F130" s="42" t="s">
        <v>1380</v>
      </c>
      <c r="G130" s="24" t="s">
        <v>122</v>
      </c>
      <c r="H130" s="22" t="s">
        <v>147</v>
      </c>
      <c r="I130" s="22" t="s">
        <v>148</v>
      </c>
      <c r="J130" s="22" t="s">
        <v>148</v>
      </c>
      <c r="K130" s="22" t="s">
        <v>55</v>
      </c>
      <c r="L130" s="22" t="s">
        <v>56</v>
      </c>
      <c r="M130" s="22" t="s">
        <v>57</v>
      </c>
      <c r="N130" s="22" t="s">
        <v>58</v>
      </c>
      <c r="O130" s="22">
        <v>400.0</v>
      </c>
      <c r="P130" s="22"/>
      <c r="Q130" s="22" t="s">
        <v>59</v>
      </c>
      <c r="R130" s="22" t="s">
        <v>58</v>
      </c>
      <c r="S130" s="22" t="s">
        <v>58</v>
      </c>
      <c r="T130" s="22"/>
      <c r="U130" s="22"/>
      <c r="V130" s="22" t="s">
        <v>61</v>
      </c>
      <c r="W130" s="22" t="s">
        <v>58</v>
      </c>
      <c r="X130" s="22" t="s">
        <v>58</v>
      </c>
      <c r="Y130" s="22" t="s">
        <v>58</v>
      </c>
      <c r="Z130" s="22" t="s">
        <v>58</v>
      </c>
      <c r="AA130" s="22" t="s">
        <v>58</v>
      </c>
      <c r="AB130" s="22" t="s">
        <v>58</v>
      </c>
      <c r="AC130" s="22" t="s">
        <v>58</v>
      </c>
      <c r="AD130" s="22" t="s">
        <v>58</v>
      </c>
      <c r="AE130" s="22" t="s">
        <v>61</v>
      </c>
      <c r="AF130" s="22" t="s">
        <v>61</v>
      </c>
      <c r="AG130" s="22" t="s">
        <v>58</v>
      </c>
      <c r="AH130" s="22">
        <v>50.0</v>
      </c>
      <c r="AI130" s="22">
        <v>1000.0</v>
      </c>
      <c r="AJ130" s="22">
        <v>50.0</v>
      </c>
      <c r="AK130" s="22">
        <v>0.0</v>
      </c>
      <c r="AL130" s="22"/>
      <c r="AM130" s="22"/>
      <c r="AN130" s="24"/>
      <c r="AO130" s="22"/>
    </row>
    <row r="131" ht="15.75" customHeight="1">
      <c r="A131" s="22">
        <v>123.0</v>
      </c>
      <c r="B131" s="22" t="s">
        <v>1381</v>
      </c>
      <c r="C131" s="22" t="s">
        <v>1382</v>
      </c>
      <c r="D131" s="66" t="s">
        <v>1383</v>
      </c>
      <c r="E131" s="22" t="s">
        <v>49</v>
      </c>
      <c r="F131" s="42" t="s">
        <v>1384</v>
      </c>
      <c r="G131" s="24" t="s">
        <v>122</v>
      </c>
      <c r="H131" s="22" t="s">
        <v>1385</v>
      </c>
      <c r="I131" s="22" t="s">
        <v>1386</v>
      </c>
      <c r="J131" s="22" t="s">
        <v>74</v>
      </c>
      <c r="K131" s="22" t="s">
        <v>55</v>
      </c>
      <c r="L131" s="22" t="s">
        <v>56</v>
      </c>
      <c r="M131" s="22" t="s">
        <v>57</v>
      </c>
      <c r="N131" s="22" t="s">
        <v>58</v>
      </c>
      <c r="O131" s="22">
        <v>750.0</v>
      </c>
      <c r="P131" s="22">
        <v>1000.0</v>
      </c>
      <c r="Q131" s="22" t="s">
        <v>59</v>
      </c>
      <c r="R131" s="22" t="s">
        <v>58</v>
      </c>
      <c r="S131" s="22" t="s">
        <v>58</v>
      </c>
      <c r="T131" s="22"/>
      <c r="U131" s="22"/>
      <c r="V131" s="22" t="s">
        <v>61</v>
      </c>
      <c r="W131" s="22" t="s">
        <v>58</v>
      </c>
      <c r="X131" s="22" t="s">
        <v>58</v>
      </c>
      <c r="Y131" s="22" t="s">
        <v>58</v>
      </c>
      <c r="Z131" s="22" t="s">
        <v>58</v>
      </c>
      <c r="AA131" s="22" t="s">
        <v>58</v>
      </c>
      <c r="AB131" s="22" t="s">
        <v>58</v>
      </c>
      <c r="AC131" s="22" t="s">
        <v>58</v>
      </c>
      <c r="AD131" s="22" t="s">
        <v>58</v>
      </c>
      <c r="AE131" s="22" t="s">
        <v>61</v>
      </c>
      <c r="AF131" s="22" t="s">
        <v>61</v>
      </c>
      <c r="AG131" s="22" t="s">
        <v>58</v>
      </c>
      <c r="AH131" s="22">
        <v>50.0</v>
      </c>
      <c r="AI131" s="22">
        <v>2000.0</v>
      </c>
      <c r="AJ131" s="22">
        <v>50.0</v>
      </c>
      <c r="AK131" s="22">
        <v>0.0</v>
      </c>
      <c r="AL131" s="22"/>
      <c r="AM131" s="22"/>
      <c r="AN131" s="24"/>
      <c r="AO131" s="22"/>
    </row>
    <row r="132" ht="15.75" customHeight="1">
      <c r="A132" s="22">
        <v>124.0</v>
      </c>
      <c r="B132" s="22" t="s">
        <v>1387</v>
      </c>
      <c r="C132" s="22" t="s">
        <v>1388</v>
      </c>
      <c r="D132" s="59" t="s">
        <v>1389</v>
      </c>
      <c r="E132" s="22" t="s">
        <v>49</v>
      </c>
      <c r="F132" s="24" t="s">
        <v>122</v>
      </c>
      <c r="G132" s="24" t="s">
        <v>122</v>
      </c>
      <c r="H132" s="22" t="s">
        <v>303</v>
      </c>
      <c r="I132" s="22" t="s">
        <v>303</v>
      </c>
      <c r="J132" s="22" t="s">
        <v>74</v>
      </c>
      <c r="K132" s="22" t="s">
        <v>55</v>
      </c>
      <c r="L132" s="22" t="s">
        <v>56</v>
      </c>
      <c r="M132" s="22" t="s">
        <v>57</v>
      </c>
      <c r="N132" s="22" t="s">
        <v>58</v>
      </c>
      <c r="O132" s="22">
        <v>450.0</v>
      </c>
      <c r="P132" s="22">
        <v>1200.0</v>
      </c>
      <c r="Q132" s="22" t="s">
        <v>59</v>
      </c>
      <c r="R132" s="22" t="s">
        <v>58</v>
      </c>
      <c r="S132" s="22" t="s">
        <v>58</v>
      </c>
      <c r="T132" s="22"/>
      <c r="U132" s="22"/>
      <c r="V132" s="22" t="s">
        <v>61</v>
      </c>
      <c r="W132" s="22" t="s">
        <v>58</v>
      </c>
      <c r="X132" s="22" t="s">
        <v>58</v>
      </c>
      <c r="Y132" s="22" t="s">
        <v>58</v>
      </c>
      <c r="Z132" s="22" t="s">
        <v>58</v>
      </c>
      <c r="AA132" s="22" t="s">
        <v>58</v>
      </c>
      <c r="AB132" s="22" t="s">
        <v>58</v>
      </c>
      <c r="AC132" s="22" t="s">
        <v>58</v>
      </c>
      <c r="AD132" s="22" t="s">
        <v>58</v>
      </c>
      <c r="AE132" s="22" t="s">
        <v>61</v>
      </c>
      <c r="AF132" s="22" t="s">
        <v>61</v>
      </c>
      <c r="AG132" s="22" t="s">
        <v>58</v>
      </c>
      <c r="AH132" s="22">
        <v>100.0</v>
      </c>
      <c r="AI132" s="22">
        <v>10000.0</v>
      </c>
      <c r="AJ132" s="22">
        <v>100.0</v>
      </c>
      <c r="AK132" s="22">
        <v>0.0</v>
      </c>
      <c r="AL132" s="22"/>
      <c r="AM132" s="22"/>
      <c r="AN132" s="24"/>
      <c r="AO132" s="22"/>
    </row>
    <row r="133" ht="31.5" customHeight="1">
      <c r="A133" s="22">
        <v>125.0</v>
      </c>
      <c r="B133" s="22" t="s">
        <v>1393</v>
      </c>
      <c r="C133" s="22" t="s">
        <v>1395</v>
      </c>
      <c r="D133" s="24" t="s">
        <v>1397</v>
      </c>
      <c r="E133" s="22" t="s">
        <v>49</v>
      </c>
      <c r="F133" s="27" t="s">
        <v>1398</v>
      </c>
      <c r="G133" s="71" t="s">
        <v>1399</v>
      </c>
      <c r="H133" s="22" t="s">
        <v>303</v>
      </c>
      <c r="I133" s="22" t="s">
        <v>303</v>
      </c>
      <c r="J133" s="22" t="s">
        <v>74</v>
      </c>
      <c r="K133" s="22" t="s">
        <v>55</v>
      </c>
      <c r="L133" s="22" t="s">
        <v>56</v>
      </c>
      <c r="M133" s="22" t="s">
        <v>57</v>
      </c>
      <c r="N133" s="22" t="s">
        <v>58</v>
      </c>
      <c r="O133" s="22">
        <v>500.0</v>
      </c>
      <c r="P133" s="22"/>
      <c r="Q133" s="22" t="s">
        <v>59</v>
      </c>
      <c r="R133" s="22" t="s">
        <v>58</v>
      </c>
      <c r="S133" s="22" t="s">
        <v>58</v>
      </c>
      <c r="T133" s="22"/>
      <c r="U133" s="22"/>
      <c r="V133" s="22" t="s">
        <v>61</v>
      </c>
      <c r="W133" s="22" t="s">
        <v>58</v>
      </c>
      <c r="X133" s="22" t="s">
        <v>58</v>
      </c>
      <c r="Y133" s="22" t="s">
        <v>58</v>
      </c>
      <c r="Z133" s="22" t="s">
        <v>58</v>
      </c>
      <c r="AA133" s="22" t="s">
        <v>58</v>
      </c>
      <c r="AB133" s="22" t="s">
        <v>58</v>
      </c>
      <c r="AC133" s="22" t="s">
        <v>58</v>
      </c>
      <c r="AD133" s="22" t="s">
        <v>58</v>
      </c>
      <c r="AE133" s="22" t="s">
        <v>61</v>
      </c>
      <c r="AF133" s="22" t="s">
        <v>61</v>
      </c>
      <c r="AG133" s="22" t="s">
        <v>58</v>
      </c>
      <c r="AH133" s="22">
        <v>100.0</v>
      </c>
      <c r="AI133" s="22">
        <v>5000.0</v>
      </c>
      <c r="AJ133" s="22">
        <v>100.0</v>
      </c>
      <c r="AK133" s="22">
        <v>0.0</v>
      </c>
      <c r="AL133" s="22"/>
      <c r="AM133" s="22"/>
      <c r="AN133" s="24"/>
      <c r="AO133" s="22"/>
    </row>
    <row r="134" ht="15.75" customHeight="1">
      <c r="A134" s="22">
        <v>126.0</v>
      </c>
      <c r="B134" s="22" t="s">
        <v>1406</v>
      </c>
      <c r="C134" s="22" t="s">
        <v>1407</v>
      </c>
      <c r="D134" s="36" t="s">
        <v>1408</v>
      </c>
      <c r="E134" s="22" t="s">
        <v>49</v>
      </c>
      <c r="F134" s="42" t="s">
        <v>1410</v>
      </c>
      <c r="G134" s="24" t="s">
        <v>1412</v>
      </c>
      <c r="H134" s="22" t="s">
        <v>513</v>
      </c>
      <c r="I134" s="22" t="s">
        <v>514</v>
      </c>
      <c r="J134" s="22" t="s">
        <v>74</v>
      </c>
      <c r="K134" s="22" t="s">
        <v>55</v>
      </c>
      <c r="L134" s="22" t="s">
        <v>56</v>
      </c>
      <c r="M134" s="22" t="s">
        <v>57</v>
      </c>
      <c r="N134" s="22" t="s">
        <v>58</v>
      </c>
      <c r="O134" s="22">
        <v>300.0</v>
      </c>
      <c r="P134" s="22">
        <v>600.0</v>
      </c>
      <c r="Q134" s="22" t="s">
        <v>59</v>
      </c>
      <c r="R134" s="22" t="s">
        <v>58</v>
      </c>
      <c r="S134" s="22" t="s">
        <v>58</v>
      </c>
      <c r="T134" s="22"/>
      <c r="U134" s="22"/>
      <c r="V134" s="22" t="s">
        <v>61</v>
      </c>
      <c r="W134" s="22" t="s">
        <v>58</v>
      </c>
      <c r="X134" s="22" t="s">
        <v>58</v>
      </c>
      <c r="Y134" s="22" t="s">
        <v>58</v>
      </c>
      <c r="Z134" s="22" t="s">
        <v>58</v>
      </c>
      <c r="AA134" s="22" t="s">
        <v>58</v>
      </c>
      <c r="AB134" s="22" t="s">
        <v>58</v>
      </c>
      <c r="AC134" s="22" t="s">
        <v>58</v>
      </c>
      <c r="AD134" s="22" t="s">
        <v>58</v>
      </c>
      <c r="AE134" s="22" t="s">
        <v>61</v>
      </c>
      <c r="AF134" s="22" t="s">
        <v>61</v>
      </c>
      <c r="AG134" s="22" t="s">
        <v>58</v>
      </c>
      <c r="AH134" s="22">
        <v>100.0</v>
      </c>
      <c r="AI134" s="22">
        <v>2000.0</v>
      </c>
      <c r="AJ134" s="22">
        <v>100.0</v>
      </c>
      <c r="AK134" s="22">
        <v>0.0</v>
      </c>
      <c r="AL134" s="22"/>
      <c r="AM134" s="22"/>
      <c r="AN134" s="24"/>
      <c r="AO134" s="22"/>
    </row>
    <row r="135" ht="15.75" customHeight="1">
      <c r="A135" s="22">
        <v>127.0</v>
      </c>
      <c r="B135" s="22" t="s">
        <v>1416</v>
      </c>
      <c r="C135" s="22" t="s">
        <v>1417</v>
      </c>
      <c r="D135" s="24" t="s">
        <v>1418</v>
      </c>
      <c r="E135" s="22" t="s">
        <v>49</v>
      </c>
      <c r="F135" s="27" t="s">
        <v>1419</v>
      </c>
      <c r="G135" s="24">
        <v>9.312042879E9</v>
      </c>
      <c r="H135" s="22" t="s">
        <v>1367</v>
      </c>
      <c r="I135" s="22" t="s">
        <v>1368</v>
      </c>
      <c r="J135" s="22" t="s">
        <v>74</v>
      </c>
      <c r="K135" s="22" t="s">
        <v>55</v>
      </c>
      <c r="L135" s="22" t="s">
        <v>56</v>
      </c>
      <c r="M135" s="22" t="s">
        <v>57</v>
      </c>
      <c r="N135" s="22" t="s">
        <v>58</v>
      </c>
      <c r="O135" s="22">
        <v>600.0</v>
      </c>
      <c r="P135" s="22">
        <v>800.0</v>
      </c>
      <c r="Q135" s="22" t="s">
        <v>59</v>
      </c>
      <c r="R135" s="22" t="s">
        <v>58</v>
      </c>
      <c r="S135" s="22" t="s">
        <v>58</v>
      </c>
      <c r="T135" s="22"/>
      <c r="U135" s="22"/>
      <c r="V135" s="22" t="s">
        <v>61</v>
      </c>
      <c r="W135" s="22" t="s">
        <v>58</v>
      </c>
      <c r="X135" s="22" t="s">
        <v>58</v>
      </c>
      <c r="Y135" s="22" t="s">
        <v>58</v>
      </c>
      <c r="Z135" s="22" t="s">
        <v>58</v>
      </c>
      <c r="AA135" s="22" t="s">
        <v>58</v>
      </c>
      <c r="AB135" s="22" t="s">
        <v>58</v>
      </c>
      <c r="AC135" s="22" t="s">
        <v>58</v>
      </c>
      <c r="AD135" s="22" t="s">
        <v>58</v>
      </c>
      <c r="AE135" s="22" t="s">
        <v>61</v>
      </c>
      <c r="AF135" s="22" t="s">
        <v>61</v>
      </c>
      <c r="AG135" s="22" t="s">
        <v>58</v>
      </c>
      <c r="AH135" s="22">
        <v>50.0</v>
      </c>
      <c r="AI135" s="22">
        <v>5000.0</v>
      </c>
      <c r="AJ135" s="22">
        <v>50.0</v>
      </c>
      <c r="AK135" s="22">
        <v>0.0</v>
      </c>
      <c r="AL135" s="22"/>
      <c r="AM135" s="22"/>
      <c r="AN135" s="24"/>
      <c r="AO135" s="22"/>
    </row>
    <row r="136" ht="15.75" customHeight="1">
      <c r="A136" s="22">
        <v>128.0</v>
      </c>
      <c r="B136" s="22" t="s">
        <v>1424</v>
      </c>
      <c r="C136" s="22" t="s">
        <v>1425</v>
      </c>
      <c r="D136" s="24" t="s">
        <v>1426</v>
      </c>
      <c r="E136" s="22" t="s">
        <v>49</v>
      </c>
      <c r="F136" s="24" t="s">
        <v>1427</v>
      </c>
      <c r="G136" s="24" t="s">
        <v>122</v>
      </c>
      <c r="H136" s="22" t="s">
        <v>303</v>
      </c>
      <c r="I136" s="22" t="s">
        <v>303</v>
      </c>
      <c r="J136" s="22" t="s">
        <v>74</v>
      </c>
      <c r="K136" s="22" t="s">
        <v>55</v>
      </c>
      <c r="L136" s="22" t="s">
        <v>56</v>
      </c>
      <c r="M136" s="22" t="s">
        <v>57</v>
      </c>
      <c r="N136" s="22" t="s">
        <v>58</v>
      </c>
      <c r="O136" s="22">
        <v>1100.0</v>
      </c>
      <c r="P136" s="22"/>
      <c r="Q136" s="22" t="s">
        <v>59</v>
      </c>
      <c r="R136" s="22" t="s">
        <v>58</v>
      </c>
      <c r="S136" s="22" t="s">
        <v>58</v>
      </c>
      <c r="T136" s="22"/>
      <c r="U136" s="22"/>
      <c r="V136" s="22" t="s">
        <v>61</v>
      </c>
      <c r="W136" s="22" t="s">
        <v>58</v>
      </c>
      <c r="X136" s="22" t="s">
        <v>58</v>
      </c>
      <c r="Y136" s="22" t="s">
        <v>58</v>
      </c>
      <c r="Z136" s="22" t="s">
        <v>58</v>
      </c>
      <c r="AA136" s="22" t="s">
        <v>58</v>
      </c>
      <c r="AB136" s="22" t="s">
        <v>58</v>
      </c>
      <c r="AC136" s="22" t="s">
        <v>58</v>
      </c>
      <c r="AD136" s="22" t="s">
        <v>58</v>
      </c>
      <c r="AE136" s="22" t="s">
        <v>61</v>
      </c>
      <c r="AF136" s="22" t="s">
        <v>61</v>
      </c>
      <c r="AG136" s="22" t="s">
        <v>58</v>
      </c>
      <c r="AH136" s="22">
        <v>200.0</v>
      </c>
      <c r="AI136" s="22">
        <v>2000.0</v>
      </c>
      <c r="AJ136" s="22">
        <v>200.0</v>
      </c>
      <c r="AK136" s="22">
        <v>0.0</v>
      </c>
      <c r="AL136" s="22"/>
      <c r="AM136" s="22"/>
      <c r="AN136" s="24"/>
      <c r="AO136" s="22"/>
    </row>
    <row r="137" ht="15.75" customHeight="1">
      <c r="A137" s="22">
        <v>129.0</v>
      </c>
      <c r="B137" s="22" t="s">
        <v>1428</v>
      </c>
      <c r="C137" s="22" t="s">
        <v>1429</v>
      </c>
      <c r="D137" s="24" t="s">
        <v>1430</v>
      </c>
      <c r="E137" s="22" t="s">
        <v>49</v>
      </c>
      <c r="F137" s="24" t="s">
        <v>1431</v>
      </c>
      <c r="G137" s="24" t="s">
        <v>122</v>
      </c>
      <c r="H137" s="22" t="s">
        <v>1385</v>
      </c>
      <c r="I137" s="22" t="s">
        <v>1386</v>
      </c>
      <c r="J137" s="22" t="s">
        <v>74</v>
      </c>
      <c r="K137" s="22" t="s">
        <v>55</v>
      </c>
      <c r="L137" s="22" t="s">
        <v>56</v>
      </c>
      <c r="M137" s="22" t="s">
        <v>57</v>
      </c>
      <c r="N137" s="22" t="s">
        <v>58</v>
      </c>
      <c r="O137" s="22">
        <v>1000.0</v>
      </c>
      <c r="P137" s="22"/>
      <c r="Q137" s="22" t="s">
        <v>59</v>
      </c>
      <c r="R137" s="22" t="s">
        <v>58</v>
      </c>
      <c r="S137" s="22" t="s">
        <v>58</v>
      </c>
      <c r="T137" s="22"/>
      <c r="U137" s="22"/>
      <c r="V137" s="22" t="s">
        <v>61</v>
      </c>
      <c r="W137" s="22" t="s">
        <v>58</v>
      </c>
      <c r="X137" s="22" t="s">
        <v>58</v>
      </c>
      <c r="Y137" s="22" t="s">
        <v>58</v>
      </c>
      <c r="Z137" s="22" t="s">
        <v>58</v>
      </c>
      <c r="AA137" s="22" t="s">
        <v>58</v>
      </c>
      <c r="AB137" s="22" t="s">
        <v>58</v>
      </c>
      <c r="AC137" s="22" t="s">
        <v>58</v>
      </c>
      <c r="AD137" s="22" t="s">
        <v>58</v>
      </c>
      <c r="AE137" s="22" t="s">
        <v>61</v>
      </c>
      <c r="AF137" s="22" t="s">
        <v>61</v>
      </c>
      <c r="AG137" s="22" t="s">
        <v>58</v>
      </c>
      <c r="AH137" s="22">
        <v>50.0</v>
      </c>
      <c r="AI137" s="22">
        <v>1000.0</v>
      </c>
      <c r="AJ137" s="22">
        <v>50.0</v>
      </c>
      <c r="AK137" s="22">
        <v>0.0</v>
      </c>
      <c r="AL137" s="22"/>
      <c r="AM137" s="22"/>
      <c r="AN137" s="24"/>
      <c r="AO137" s="22"/>
    </row>
    <row r="138" ht="15.75" customHeight="1">
      <c r="A138" s="22">
        <v>130.0</v>
      </c>
      <c r="B138" s="22" t="s">
        <v>1432</v>
      </c>
      <c r="C138" s="22" t="s">
        <v>1433</v>
      </c>
      <c r="D138" s="24" t="s">
        <v>1434</v>
      </c>
      <c r="E138" s="22" t="s">
        <v>49</v>
      </c>
      <c r="F138" s="42" t="s">
        <v>1435</v>
      </c>
      <c r="G138" s="22" t="s">
        <v>1436</v>
      </c>
      <c r="H138" s="22" t="s">
        <v>1367</v>
      </c>
      <c r="I138" s="22" t="s">
        <v>1368</v>
      </c>
      <c r="J138" s="22" t="s">
        <v>74</v>
      </c>
      <c r="K138" s="22" t="s">
        <v>55</v>
      </c>
      <c r="L138" s="22" t="s">
        <v>56</v>
      </c>
      <c r="M138" s="22" t="s">
        <v>57</v>
      </c>
      <c r="N138" s="22" t="s">
        <v>58</v>
      </c>
      <c r="O138" s="22">
        <v>500.0</v>
      </c>
      <c r="P138" s="22">
        <v>700.0</v>
      </c>
      <c r="Q138" s="22" t="s">
        <v>59</v>
      </c>
      <c r="R138" s="22" t="s">
        <v>58</v>
      </c>
      <c r="S138" s="22" t="s">
        <v>58</v>
      </c>
      <c r="T138" s="22"/>
      <c r="U138" s="22"/>
      <c r="V138" s="22" t="s">
        <v>61</v>
      </c>
      <c r="W138" s="22" t="s">
        <v>58</v>
      </c>
      <c r="X138" s="22" t="s">
        <v>58</v>
      </c>
      <c r="Y138" s="22" t="s">
        <v>58</v>
      </c>
      <c r="Z138" s="22" t="s">
        <v>58</v>
      </c>
      <c r="AA138" s="22" t="s">
        <v>58</v>
      </c>
      <c r="AB138" s="22" t="s">
        <v>58</v>
      </c>
      <c r="AC138" s="22" t="s">
        <v>58</v>
      </c>
      <c r="AD138" s="22" t="s">
        <v>58</v>
      </c>
      <c r="AE138" s="22" t="s">
        <v>61</v>
      </c>
      <c r="AF138" s="22" t="s">
        <v>61</v>
      </c>
      <c r="AG138" s="22" t="s">
        <v>58</v>
      </c>
      <c r="AH138" s="22">
        <v>100.0</v>
      </c>
      <c r="AI138" s="22">
        <v>1000.0</v>
      </c>
      <c r="AJ138" s="22">
        <v>100.0</v>
      </c>
      <c r="AK138" s="22">
        <v>0.0</v>
      </c>
      <c r="AL138" s="22"/>
      <c r="AM138" s="22"/>
      <c r="AN138" s="24"/>
      <c r="AO138" s="22"/>
    </row>
    <row r="139" ht="15.75" customHeight="1">
      <c r="A139" s="22">
        <v>131.0</v>
      </c>
      <c r="B139" s="22" t="s">
        <v>1437</v>
      </c>
      <c r="C139" s="22" t="s">
        <v>1438</v>
      </c>
      <c r="D139" s="24" t="s">
        <v>1439</v>
      </c>
      <c r="E139" s="22" t="s">
        <v>49</v>
      </c>
      <c r="F139" s="24" t="s">
        <v>122</v>
      </c>
      <c r="G139" s="24" t="s">
        <v>122</v>
      </c>
      <c r="H139" s="22" t="s">
        <v>1440</v>
      </c>
      <c r="I139" s="22" t="s">
        <v>1441</v>
      </c>
      <c r="J139" s="22" t="s">
        <v>74</v>
      </c>
      <c r="K139" s="22" t="s">
        <v>55</v>
      </c>
      <c r="L139" s="22" t="s">
        <v>56</v>
      </c>
      <c r="M139" s="22" t="s">
        <v>57</v>
      </c>
      <c r="N139" s="22" t="s">
        <v>58</v>
      </c>
      <c r="O139" s="22">
        <v>599.0</v>
      </c>
      <c r="P139" s="22">
        <v>999.0</v>
      </c>
      <c r="Q139" s="22" t="s">
        <v>59</v>
      </c>
      <c r="R139" s="22" t="s">
        <v>58</v>
      </c>
      <c r="S139" s="22" t="s">
        <v>58</v>
      </c>
      <c r="T139" s="22"/>
      <c r="U139" s="22"/>
      <c r="V139" s="22" t="s">
        <v>61</v>
      </c>
      <c r="W139" s="22" t="s">
        <v>58</v>
      </c>
      <c r="X139" s="22" t="s">
        <v>58</v>
      </c>
      <c r="Y139" s="22" t="s">
        <v>58</v>
      </c>
      <c r="Z139" s="22" t="s">
        <v>58</v>
      </c>
      <c r="AA139" s="22" t="s">
        <v>58</v>
      </c>
      <c r="AB139" s="22" t="s">
        <v>58</v>
      </c>
      <c r="AC139" s="22" t="s">
        <v>58</v>
      </c>
      <c r="AD139" s="22" t="s">
        <v>58</v>
      </c>
      <c r="AE139" s="22" t="s">
        <v>61</v>
      </c>
      <c r="AF139" s="22" t="s">
        <v>61</v>
      </c>
      <c r="AG139" s="22" t="s">
        <v>58</v>
      </c>
      <c r="AH139" s="22">
        <v>20.0</v>
      </c>
      <c r="AI139" s="22">
        <v>1500.0</v>
      </c>
      <c r="AJ139" s="22">
        <v>20.0</v>
      </c>
      <c r="AK139" s="22">
        <v>0.0</v>
      </c>
      <c r="AL139" s="22"/>
      <c r="AM139" s="22"/>
      <c r="AN139" s="24"/>
      <c r="AO139" s="22"/>
    </row>
    <row r="140" ht="15.75" customHeight="1">
      <c r="A140" s="22">
        <v>132.0</v>
      </c>
      <c r="B140" s="22" t="s">
        <v>1442</v>
      </c>
      <c r="C140" s="22" t="s">
        <v>1443</v>
      </c>
      <c r="D140" s="24" t="s">
        <v>1444</v>
      </c>
      <c r="E140" s="22" t="s">
        <v>49</v>
      </c>
      <c r="F140" s="24" t="s">
        <v>1445</v>
      </c>
      <c r="G140" s="24" t="s">
        <v>122</v>
      </c>
      <c r="H140" s="22" t="s">
        <v>123</v>
      </c>
      <c r="I140" s="22" t="s">
        <v>124</v>
      </c>
      <c r="J140" s="22" t="s">
        <v>74</v>
      </c>
      <c r="K140" s="22" t="s">
        <v>55</v>
      </c>
      <c r="L140" s="22" t="s">
        <v>56</v>
      </c>
      <c r="M140" s="22" t="s">
        <v>57</v>
      </c>
      <c r="N140" s="22" t="s">
        <v>58</v>
      </c>
      <c r="O140" s="22">
        <v>800.0</v>
      </c>
      <c r="P140" s="22">
        <v>1200.0</v>
      </c>
      <c r="Q140" s="22" t="s">
        <v>59</v>
      </c>
      <c r="R140" s="22" t="s">
        <v>58</v>
      </c>
      <c r="S140" s="22" t="s">
        <v>58</v>
      </c>
      <c r="T140" s="22"/>
      <c r="U140" s="22"/>
      <c r="V140" s="22" t="s">
        <v>61</v>
      </c>
      <c r="W140" s="22" t="s">
        <v>58</v>
      </c>
      <c r="X140" s="22" t="s">
        <v>58</v>
      </c>
      <c r="Y140" s="22" t="s">
        <v>58</v>
      </c>
      <c r="Z140" s="22" t="s">
        <v>58</v>
      </c>
      <c r="AA140" s="22" t="s">
        <v>58</v>
      </c>
      <c r="AB140" s="22" t="s">
        <v>58</v>
      </c>
      <c r="AC140" s="22" t="s">
        <v>58</v>
      </c>
      <c r="AD140" s="22" t="s">
        <v>58</v>
      </c>
      <c r="AE140" s="22" t="s">
        <v>61</v>
      </c>
      <c r="AF140" s="22" t="s">
        <v>61</v>
      </c>
      <c r="AG140" s="22" t="s">
        <v>58</v>
      </c>
      <c r="AH140" s="22">
        <v>150.0</v>
      </c>
      <c r="AI140" s="22">
        <v>3000.0</v>
      </c>
      <c r="AJ140" s="22">
        <v>150.0</v>
      </c>
      <c r="AK140" s="22">
        <v>0.0</v>
      </c>
      <c r="AL140" s="22"/>
      <c r="AM140" s="22"/>
      <c r="AN140" s="24"/>
      <c r="AO140" s="22"/>
    </row>
    <row r="141" ht="15.75" customHeight="1">
      <c r="A141" s="22">
        <v>133.0</v>
      </c>
      <c r="B141" s="22" t="s">
        <v>220</v>
      </c>
      <c r="C141" s="22" t="s">
        <v>221</v>
      </c>
      <c r="D141" s="24" t="s">
        <v>1446</v>
      </c>
      <c r="E141" s="22" t="s">
        <v>49</v>
      </c>
      <c r="F141" s="24" t="s">
        <v>1447</v>
      </c>
      <c r="G141" s="24" t="s">
        <v>1448</v>
      </c>
      <c r="H141" s="22" t="s">
        <v>75</v>
      </c>
      <c r="I141" s="22" t="s">
        <v>76</v>
      </c>
      <c r="J141" s="22" t="s">
        <v>76</v>
      </c>
      <c r="K141" s="22" t="s">
        <v>55</v>
      </c>
      <c r="L141" s="22" t="s">
        <v>56</v>
      </c>
      <c r="M141" s="22" t="s">
        <v>57</v>
      </c>
      <c r="N141" s="22" t="s">
        <v>58</v>
      </c>
      <c r="O141" s="22">
        <v>1900.0</v>
      </c>
      <c r="P141" s="22">
        <v>900.0</v>
      </c>
      <c r="Q141" s="22" t="s">
        <v>59</v>
      </c>
      <c r="R141" s="22" t="s">
        <v>58</v>
      </c>
      <c r="S141" s="22" t="s">
        <v>58</v>
      </c>
      <c r="T141" s="22"/>
      <c r="U141" s="22"/>
      <c r="V141" s="22" t="s">
        <v>61</v>
      </c>
      <c r="W141" s="22" t="s">
        <v>58</v>
      </c>
      <c r="X141" s="22" t="s">
        <v>58</v>
      </c>
      <c r="Y141" s="22" t="s">
        <v>58</v>
      </c>
      <c r="Z141" s="22" t="s">
        <v>58</v>
      </c>
      <c r="AA141" s="22" t="s">
        <v>58</v>
      </c>
      <c r="AB141" s="22" t="s">
        <v>58</v>
      </c>
      <c r="AC141" s="22" t="s">
        <v>58</v>
      </c>
      <c r="AD141" s="22" t="s">
        <v>58</v>
      </c>
      <c r="AE141" s="22" t="s">
        <v>61</v>
      </c>
      <c r="AF141" s="22" t="s">
        <v>61</v>
      </c>
      <c r="AG141" s="22" t="s">
        <v>58</v>
      </c>
      <c r="AH141" s="22">
        <v>50.0</v>
      </c>
      <c r="AI141" s="22">
        <v>400.0</v>
      </c>
      <c r="AJ141" s="22">
        <v>50.0</v>
      </c>
      <c r="AK141" s="22">
        <v>0.0</v>
      </c>
      <c r="AL141" s="22"/>
      <c r="AM141" s="22"/>
      <c r="AN141" s="24"/>
      <c r="AO141" s="22"/>
    </row>
    <row r="142" ht="15.75" customHeight="1">
      <c r="A142" s="22">
        <v>134.0</v>
      </c>
      <c r="B142" s="22" t="s">
        <v>1449</v>
      </c>
      <c r="C142" s="22" t="s">
        <v>1450</v>
      </c>
      <c r="D142" s="24" t="s">
        <v>1451</v>
      </c>
      <c r="E142" s="22" t="s">
        <v>49</v>
      </c>
      <c r="F142" s="24" t="s">
        <v>1452</v>
      </c>
      <c r="G142" s="24">
        <v>7.947127449E9</v>
      </c>
      <c r="H142" s="22" t="s">
        <v>586</v>
      </c>
      <c r="I142" s="22" t="s">
        <v>587</v>
      </c>
      <c r="J142" s="22" t="s">
        <v>74</v>
      </c>
      <c r="K142" s="22" t="s">
        <v>55</v>
      </c>
      <c r="L142" s="22" t="s">
        <v>56</v>
      </c>
      <c r="M142" s="22" t="s">
        <v>57</v>
      </c>
      <c r="N142" s="22" t="s">
        <v>58</v>
      </c>
      <c r="O142" s="22">
        <v>900.0</v>
      </c>
      <c r="P142" s="22"/>
      <c r="Q142" s="22" t="s">
        <v>59</v>
      </c>
      <c r="R142" s="22" t="s">
        <v>58</v>
      </c>
      <c r="S142" s="22" t="s">
        <v>58</v>
      </c>
      <c r="T142" s="22"/>
      <c r="U142" s="22"/>
      <c r="V142" s="22" t="s">
        <v>61</v>
      </c>
      <c r="W142" s="22" t="s">
        <v>58</v>
      </c>
      <c r="X142" s="22" t="s">
        <v>58</v>
      </c>
      <c r="Y142" s="22" t="s">
        <v>58</v>
      </c>
      <c r="Z142" s="22" t="s">
        <v>58</v>
      </c>
      <c r="AA142" s="22" t="s">
        <v>58</v>
      </c>
      <c r="AB142" s="22" t="s">
        <v>58</v>
      </c>
      <c r="AC142" s="22" t="s">
        <v>58</v>
      </c>
      <c r="AD142" s="22" t="s">
        <v>58</v>
      </c>
      <c r="AE142" s="22" t="s">
        <v>61</v>
      </c>
      <c r="AF142" s="22" t="s">
        <v>61</v>
      </c>
      <c r="AG142" s="22" t="s">
        <v>58</v>
      </c>
      <c r="AH142" s="22">
        <v>100.0</v>
      </c>
      <c r="AI142" s="22">
        <v>4000.0</v>
      </c>
      <c r="AJ142" s="22">
        <v>100.0</v>
      </c>
      <c r="AK142" s="22">
        <v>0.0</v>
      </c>
      <c r="AL142" s="22"/>
      <c r="AM142" s="22"/>
      <c r="AN142" s="24"/>
      <c r="AO142" s="22"/>
    </row>
    <row r="143" ht="15.75" customHeight="1">
      <c r="A143" s="22">
        <v>135.0</v>
      </c>
      <c r="B143" s="22" t="s">
        <v>515</v>
      </c>
      <c r="C143" s="22" t="s">
        <v>516</v>
      </c>
      <c r="D143" s="22" t="s">
        <v>517</v>
      </c>
      <c r="E143" s="22" t="s">
        <v>49</v>
      </c>
      <c r="F143" s="24" t="s">
        <v>69</v>
      </c>
      <c r="G143" s="24" t="s">
        <v>69</v>
      </c>
      <c r="H143" s="22" t="s">
        <v>147</v>
      </c>
      <c r="I143" s="22" t="s">
        <v>148</v>
      </c>
      <c r="J143" s="22" t="s">
        <v>148</v>
      </c>
      <c r="K143" s="22" t="s">
        <v>55</v>
      </c>
      <c r="L143" s="22" t="s">
        <v>56</v>
      </c>
      <c r="M143" s="22" t="s">
        <v>57</v>
      </c>
      <c r="N143" s="22" t="s">
        <v>58</v>
      </c>
      <c r="O143" s="22">
        <v>1400.0</v>
      </c>
      <c r="P143" s="22">
        <v>1800.0</v>
      </c>
      <c r="Q143" s="22" t="s">
        <v>59</v>
      </c>
      <c r="R143" s="22" t="s">
        <v>58</v>
      </c>
      <c r="S143" s="22" t="s">
        <v>58</v>
      </c>
      <c r="T143" s="22"/>
      <c r="U143" s="22"/>
      <c r="V143" s="22" t="s">
        <v>61</v>
      </c>
      <c r="W143" s="22" t="s">
        <v>58</v>
      </c>
      <c r="X143" s="22" t="s">
        <v>58</v>
      </c>
      <c r="Y143" s="22" t="s">
        <v>58</v>
      </c>
      <c r="Z143" s="22" t="s">
        <v>58</v>
      </c>
      <c r="AA143" s="22" t="s">
        <v>58</v>
      </c>
      <c r="AB143" s="22" t="s">
        <v>58</v>
      </c>
      <c r="AC143" s="22" t="s">
        <v>58</v>
      </c>
      <c r="AD143" s="22" t="s">
        <v>58</v>
      </c>
      <c r="AE143" s="22" t="s">
        <v>61</v>
      </c>
      <c r="AF143" s="22" t="s">
        <v>61</v>
      </c>
      <c r="AG143" s="22" t="s">
        <v>58</v>
      </c>
      <c r="AH143" s="22">
        <v>100.0</v>
      </c>
      <c r="AI143" s="22">
        <v>2000.0</v>
      </c>
      <c r="AJ143" s="22">
        <v>100.0</v>
      </c>
      <c r="AK143" s="22">
        <v>0.0</v>
      </c>
      <c r="AL143" s="22"/>
      <c r="AM143" s="22"/>
      <c r="AN143" s="24"/>
      <c r="AO143" s="22"/>
    </row>
    <row r="144" ht="15.75" customHeight="1">
      <c r="A144" s="22">
        <v>136.0</v>
      </c>
      <c r="B144" s="22" t="s">
        <v>1457</v>
      </c>
      <c r="C144" s="22" t="s">
        <v>1458</v>
      </c>
      <c r="D144" s="22" t="s">
        <v>1459</v>
      </c>
      <c r="E144" s="22" t="s">
        <v>49</v>
      </c>
      <c r="F144" s="42" t="s">
        <v>1460</v>
      </c>
      <c r="G144" s="72">
        <v>9.311210269E9</v>
      </c>
      <c r="H144" s="22" t="s">
        <v>1464</v>
      </c>
      <c r="I144" s="22" t="s">
        <v>1465</v>
      </c>
      <c r="J144" s="22" t="s">
        <v>74</v>
      </c>
      <c r="K144" s="22" t="s">
        <v>55</v>
      </c>
      <c r="L144" s="22" t="s">
        <v>56</v>
      </c>
      <c r="M144" s="22" t="s">
        <v>57</v>
      </c>
      <c r="N144" s="22" t="s">
        <v>58</v>
      </c>
      <c r="O144" s="22">
        <v>4000.0</v>
      </c>
      <c r="P144" s="22">
        <v>4500.0</v>
      </c>
      <c r="Q144" s="22" t="s">
        <v>59</v>
      </c>
      <c r="R144" s="22" t="s">
        <v>58</v>
      </c>
      <c r="S144" s="22" t="s">
        <v>58</v>
      </c>
      <c r="T144" s="24" t="s">
        <v>1467</v>
      </c>
      <c r="U144" s="24" t="s">
        <v>1468</v>
      </c>
      <c r="V144" s="22" t="s">
        <v>61</v>
      </c>
      <c r="W144" s="22" t="s">
        <v>58</v>
      </c>
      <c r="X144" s="22" t="s">
        <v>58</v>
      </c>
      <c r="Y144" s="22" t="s">
        <v>58</v>
      </c>
      <c r="Z144" s="22" t="s">
        <v>58</v>
      </c>
      <c r="AA144" s="22" t="s">
        <v>58</v>
      </c>
      <c r="AB144" s="22" t="s">
        <v>58</v>
      </c>
      <c r="AC144" s="22" t="s">
        <v>58</v>
      </c>
      <c r="AD144" s="22" t="s">
        <v>58</v>
      </c>
      <c r="AE144" s="22" t="s">
        <v>61</v>
      </c>
      <c r="AF144" s="22" t="s">
        <v>61</v>
      </c>
      <c r="AG144" s="22" t="s">
        <v>58</v>
      </c>
      <c r="AH144" s="22">
        <v>20.0</v>
      </c>
      <c r="AI144" s="22">
        <v>10000.0</v>
      </c>
      <c r="AJ144" s="22">
        <v>20.0</v>
      </c>
      <c r="AK144" s="22">
        <v>0.0</v>
      </c>
      <c r="AL144" s="22"/>
      <c r="AM144" s="22"/>
      <c r="AN144" s="24"/>
      <c r="AO144" s="22"/>
    </row>
    <row r="145" ht="15.75" customHeight="1">
      <c r="A145" s="22">
        <v>137.0</v>
      </c>
      <c r="B145" s="22" t="s">
        <v>1469</v>
      </c>
      <c r="C145" s="22" t="s">
        <v>1470</v>
      </c>
      <c r="D145" s="24" t="s">
        <v>1473</v>
      </c>
      <c r="E145" s="22" t="s">
        <v>49</v>
      </c>
      <c r="F145" s="71" t="s">
        <v>1460</v>
      </c>
      <c r="G145" s="24">
        <v>9.311210269E9</v>
      </c>
      <c r="H145" s="22" t="s">
        <v>1475</v>
      </c>
      <c r="I145" s="22" t="s">
        <v>1476</v>
      </c>
      <c r="J145" s="22" t="s">
        <v>74</v>
      </c>
      <c r="K145" s="22" t="s">
        <v>55</v>
      </c>
      <c r="L145" s="22" t="s">
        <v>56</v>
      </c>
      <c r="M145" s="22" t="s">
        <v>57</v>
      </c>
      <c r="N145" s="22" t="s">
        <v>58</v>
      </c>
      <c r="O145" s="22">
        <v>1200.0</v>
      </c>
      <c r="P145" s="22">
        <v>1500.0</v>
      </c>
      <c r="Q145" s="22" t="s">
        <v>59</v>
      </c>
      <c r="R145" s="22" t="s">
        <v>58</v>
      </c>
      <c r="S145" s="22" t="s">
        <v>58</v>
      </c>
      <c r="T145" s="22"/>
      <c r="U145" s="22"/>
      <c r="V145" s="22" t="s">
        <v>61</v>
      </c>
      <c r="W145" s="22" t="s">
        <v>58</v>
      </c>
      <c r="X145" s="22" t="s">
        <v>58</v>
      </c>
      <c r="Y145" s="22" t="s">
        <v>58</v>
      </c>
      <c r="Z145" s="22" t="s">
        <v>58</v>
      </c>
      <c r="AA145" s="22" t="s">
        <v>58</v>
      </c>
      <c r="AB145" s="22" t="s">
        <v>58</v>
      </c>
      <c r="AC145" s="22" t="s">
        <v>58</v>
      </c>
      <c r="AD145" s="22" t="s">
        <v>58</v>
      </c>
      <c r="AE145" s="22" t="s">
        <v>61</v>
      </c>
      <c r="AF145" s="22" t="s">
        <v>61</v>
      </c>
      <c r="AG145" s="22" t="s">
        <v>58</v>
      </c>
      <c r="AH145" s="22">
        <v>50.0</v>
      </c>
      <c r="AI145" s="22">
        <v>50.0</v>
      </c>
      <c r="AJ145" s="22">
        <v>50.0</v>
      </c>
      <c r="AK145" s="22">
        <v>0.0</v>
      </c>
      <c r="AL145" s="22"/>
      <c r="AM145" s="22"/>
      <c r="AN145" s="24"/>
      <c r="AO145" s="22"/>
    </row>
    <row r="146" ht="15.75" customHeight="1">
      <c r="A146" s="22">
        <v>138.0</v>
      </c>
      <c r="B146" s="22" t="s">
        <v>309</v>
      </c>
      <c r="C146" s="22" t="s">
        <v>310</v>
      </c>
      <c r="D146" s="22" t="s">
        <v>312</v>
      </c>
      <c r="E146" s="22" t="s">
        <v>49</v>
      </c>
      <c r="F146" s="24" t="s">
        <v>69</v>
      </c>
      <c r="G146" s="24" t="s">
        <v>69</v>
      </c>
      <c r="H146" s="22" t="s">
        <v>75</v>
      </c>
      <c r="I146" s="22" t="s">
        <v>76</v>
      </c>
      <c r="J146" s="22" t="s">
        <v>76</v>
      </c>
      <c r="K146" s="22" t="s">
        <v>55</v>
      </c>
      <c r="L146" s="22" t="s">
        <v>56</v>
      </c>
      <c r="M146" s="22" t="s">
        <v>57</v>
      </c>
      <c r="N146" s="22" t="s">
        <v>58</v>
      </c>
      <c r="O146" s="22">
        <v>800.0</v>
      </c>
      <c r="P146" s="22">
        <v>900.0</v>
      </c>
      <c r="Q146" s="22" t="s">
        <v>59</v>
      </c>
      <c r="R146" s="22" t="s">
        <v>58</v>
      </c>
      <c r="S146" s="22" t="s">
        <v>58</v>
      </c>
      <c r="T146" s="22" t="s">
        <v>275</v>
      </c>
      <c r="U146" s="22"/>
      <c r="V146" s="22" t="s">
        <v>61</v>
      </c>
      <c r="W146" s="22" t="s">
        <v>58</v>
      </c>
      <c r="X146" s="22" t="s">
        <v>58</v>
      </c>
      <c r="Y146" s="22" t="s">
        <v>58</v>
      </c>
      <c r="Z146" s="22" t="s">
        <v>58</v>
      </c>
      <c r="AA146" s="22" t="s">
        <v>58</v>
      </c>
      <c r="AB146" s="22" t="s">
        <v>58</v>
      </c>
      <c r="AC146" s="22" t="s">
        <v>58</v>
      </c>
      <c r="AD146" s="22" t="s">
        <v>58</v>
      </c>
      <c r="AE146" s="22" t="s">
        <v>61</v>
      </c>
      <c r="AF146" s="22" t="s">
        <v>61</v>
      </c>
      <c r="AG146" s="22" t="s">
        <v>58</v>
      </c>
      <c r="AH146" s="22">
        <v>20.0</v>
      </c>
      <c r="AI146" s="22">
        <v>2000.0</v>
      </c>
      <c r="AJ146" s="22">
        <v>20.0</v>
      </c>
      <c r="AK146" s="22">
        <v>0.0</v>
      </c>
      <c r="AL146" s="22"/>
      <c r="AM146" s="22"/>
      <c r="AN146" s="24"/>
      <c r="AO146" s="22"/>
    </row>
    <row r="147" ht="30.0" customHeight="1">
      <c r="A147" s="15">
        <v>139.0</v>
      </c>
      <c r="B147" s="15" t="s">
        <v>1481</v>
      </c>
      <c r="C147" s="15" t="s">
        <v>1482</v>
      </c>
      <c r="D147" s="15" t="s">
        <v>1483</v>
      </c>
      <c r="E147" s="15" t="s">
        <v>49</v>
      </c>
      <c r="F147" s="49" t="s">
        <v>1484</v>
      </c>
      <c r="G147" s="15" t="s">
        <v>1485</v>
      </c>
      <c r="H147" s="15" t="s">
        <v>72</v>
      </c>
      <c r="I147" s="15" t="s">
        <v>73</v>
      </c>
      <c r="J147" s="15" t="s">
        <v>74</v>
      </c>
      <c r="K147" s="15" t="s">
        <v>55</v>
      </c>
      <c r="L147" s="15" t="s">
        <v>56</v>
      </c>
      <c r="M147" s="15" t="s">
        <v>57</v>
      </c>
      <c r="N147" s="15" t="s">
        <v>58</v>
      </c>
      <c r="O147" s="15">
        <v>1000.0</v>
      </c>
      <c r="P147" s="15">
        <v>1200.0</v>
      </c>
      <c r="Q147" s="15" t="s">
        <v>59</v>
      </c>
      <c r="R147" s="15" t="s">
        <v>58</v>
      </c>
      <c r="S147" s="15" t="s">
        <v>58</v>
      </c>
      <c r="T147" s="16" t="s">
        <v>1489</v>
      </c>
      <c r="U147" s="73" t="s">
        <v>1490</v>
      </c>
      <c r="V147" s="15" t="s">
        <v>61</v>
      </c>
      <c r="W147" s="15" t="s">
        <v>58</v>
      </c>
      <c r="X147" s="15" t="s">
        <v>58</v>
      </c>
      <c r="Y147" s="15" t="s">
        <v>58</v>
      </c>
      <c r="Z147" s="15" t="s">
        <v>58</v>
      </c>
      <c r="AA147" s="15" t="s">
        <v>58</v>
      </c>
      <c r="AB147" s="15" t="s">
        <v>58</v>
      </c>
      <c r="AC147" s="15" t="s">
        <v>61</v>
      </c>
      <c r="AD147" s="15" t="s">
        <v>58</v>
      </c>
      <c r="AE147" s="15" t="s">
        <v>61</v>
      </c>
      <c r="AF147" s="15" t="s">
        <v>61</v>
      </c>
      <c r="AG147" s="15" t="s">
        <v>58</v>
      </c>
      <c r="AH147" s="15">
        <v>100.0</v>
      </c>
      <c r="AI147" s="15">
        <v>1000.0</v>
      </c>
      <c r="AJ147" s="15">
        <v>100.0</v>
      </c>
      <c r="AK147" s="15">
        <v>0.0</v>
      </c>
      <c r="AL147" s="15"/>
      <c r="AM147" s="15"/>
      <c r="AN147" s="24"/>
      <c r="AO147" s="21">
        <v>2.0</v>
      </c>
    </row>
    <row r="148" ht="15.75" customHeight="1">
      <c r="A148" s="22">
        <v>140.0</v>
      </c>
      <c r="B148" s="22" t="s">
        <v>479</v>
      </c>
      <c r="C148" s="22" t="s">
        <v>480</v>
      </c>
      <c r="D148" s="24" t="s">
        <v>1491</v>
      </c>
      <c r="E148" s="22" t="s">
        <v>49</v>
      </c>
      <c r="F148" s="42" t="s">
        <v>1492</v>
      </c>
      <c r="G148" s="75" t="s">
        <v>1494</v>
      </c>
      <c r="H148" s="22" t="s">
        <v>147</v>
      </c>
      <c r="I148" s="22" t="s">
        <v>148</v>
      </c>
      <c r="J148" s="22" t="s">
        <v>148</v>
      </c>
      <c r="K148" s="22" t="s">
        <v>55</v>
      </c>
      <c r="L148" s="22" t="s">
        <v>56</v>
      </c>
      <c r="M148" s="22" t="s">
        <v>57</v>
      </c>
      <c r="N148" s="22" t="s">
        <v>58</v>
      </c>
      <c r="O148" s="22">
        <v>800.0</v>
      </c>
      <c r="P148" s="22">
        <v>800.0</v>
      </c>
      <c r="Q148" s="22" t="s">
        <v>59</v>
      </c>
      <c r="R148" s="22" t="s">
        <v>58</v>
      </c>
      <c r="S148" s="22" t="s">
        <v>58</v>
      </c>
      <c r="T148" s="22"/>
      <c r="U148" s="22"/>
      <c r="V148" s="22" t="s">
        <v>61</v>
      </c>
      <c r="W148" s="22" t="s">
        <v>58</v>
      </c>
      <c r="X148" s="22" t="s">
        <v>58</v>
      </c>
      <c r="Y148" s="22" t="s">
        <v>58</v>
      </c>
      <c r="Z148" s="22" t="s">
        <v>58</v>
      </c>
      <c r="AA148" s="22" t="s">
        <v>58</v>
      </c>
      <c r="AB148" s="22" t="s">
        <v>58</v>
      </c>
      <c r="AC148" s="22" t="s">
        <v>58</v>
      </c>
      <c r="AD148" s="22" t="s">
        <v>58</v>
      </c>
      <c r="AE148" s="22" t="s">
        <v>61</v>
      </c>
      <c r="AF148" s="22" t="s">
        <v>61</v>
      </c>
      <c r="AG148" s="22" t="s">
        <v>58</v>
      </c>
      <c r="AH148" s="22">
        <v>100.0</v>
      </c>
      <c r="AI148" s="22">
        <v>50.0</v>
      </c>
      <c r="AJ148" s="22">
        <v>100.0</v>
      </c>
      <c r="AK148" s="22">
        <v>0.0</v>
      </c>
      <c r="AL148" s="22"/>
      <c r="AM148" s="22"/>
      <c r="AN148" s="24"/>
      <c r="AO148" s="22"/>
    </row>
    <row r="149" ht="15.75" customHeight="1">
      <c r="A149" s="22">
        <v>141.0</v>
      </c>
      <c r="B149" s="22" t="s">
        <v>1498</v>
      </c>
      <c r="C149" s="22" t="s">
        <v>1499</v>
      </c>
      <c r="D149" s="24" t="s">
        <v>122</v>
      </c>
      <c r="E149" s="22" t="s">
        <v>49</v>
      </c>
      <c r="F149" s="42" t="s">
        <v>1500</v>
      </c>
      <c r="G149" s="22"/>
      <c r="H149" s="22" t="s">
        <v>1502</v>
      </c>
      <c r="I149" s="22" t="s">
        <v>1503</v>
      </c>
      <c r="J149" s="22" t="s">
        <v>74</v>
      </c>
      <c r="K149" s="22" t="s">
        <v>55</v>
      </c>
      <c r="L149" s="22" t="s">
        <v>56</v>
      </c>
      <c r="M149" s="22" t="s">
        <v>57</v>
      </c>
      <c r="N149" s="22" t="s">
        <v>58</v>
      </c>
      <c r="O149" s="22">
        <v>1400.0</v>
      </c>
      <c r="P149" s="22">
        <v>2000.0</v>
      </c>
      <c r="Q149" s="22" t="s">
        <v>59</v>
      </c>
      <c r="R149" s="22" t="s">
        <v>58</v>
      </c>
      <c r="S149" s="22" t="s">
        <v>58</v>
      </c>
      <c r="T149" s="22"/>
      <c r="U149" s="22"/>
      <c r="V149" s="22" t="s">
        <v>61</v>
      </c>
      <c r="W149" s="22" t="s">
        <v>58</v>
      </c>
      <c r="X149" s="22" t="s">
        <v>58</v>
      </c>
      <c r="Y149" s="22" t="s">
        <v>58</v>
      </c>
      <c r="Z149" s="22" t="s">
        <v>58</v>
      </c>
      <c r="AA149" s="22" t="s">
        <v>58</v>
      </c>
      <c r="AB149" s="22" t="s">
        <v>58</v>
      </c>
      <c r="AC149" s="22" t="s">
        <v>58</v>
      </c>
      <c r="AD149" s="22" t="s">
        <v>58</v>
      </c>
      <c r="AE149" s="22" t="s">
        <v>61</v>
      </c>
      <c r="AF149" s="22" t="s">
        <v>61</v>
      </c>
      <c r="AG149" s="22" t="s">
        <v>58</v>
      </c>
      <c r="AH149" s="22">
        <v>30.0</v>
      </c>
      <c r="AI149" s="22">
        <v>5000.0</v>
      </c>
      <c r="AJ149" s="22">
        <v>30.0</v>
      </c>
      <c r="AK149" s="22">
        <v>0.0</v>
      </c>
      <c r="AL149" s="22"/>
      <c r="AM149" s="22"/>
      <c r="AN149" s="24"/>
      <c r="AO149" s="22"/>
    </row>
    <row r="150" ht="15.75" customHeight="1">
      <c r="A150" s="22">
        <v>142.0</v>
      </c>
      <c r="B150" s="22" t="s">
        <v>1504</v>
      </c>
      <c r="C150" s="22" t="s">
        <v>1506</v>
      </c>
      <c r="D150" s="24" t="s">
        <v>1507</v>
      </c>
      <c r="E150" s="22" t="s">
        <v>49</v>
      </c>
      <c r="F150" s="42" t="s">
        <v>1508</v>
      </c>
      <c r="G150" s="54">
        <v>8.448571725E9</v>
      </c>
      <c r="H150" s="22" t="s">
        <v>303</v>
      </c>
      <c r="I150" s="22" t="s">
        <v>303</v>
      </c>
      <c r="J150" s="22" t="s">
        <v>74</v>
      </c>
      <c r="K150" s="22" t="s">
        <v>55</v>
      </c>
      <c r="L150" s="22" t="s">
        <v>56</v>
      </c>
      <c r="M150" s="22" t="s">
        <v>57</v>
      </c>
      <c r="N150" s="22" t="s">
        <v>58</v>
      </c>
      <c r="O150" s="22">
        <v>1200.0</v>
      </c>
      <c r="P150" s="22">
        <v>1500.0</v>
      </c>
      <c r="Q150" s="22" t="s">
        <v>59</v>
      </c>
      <c r="R150" s="22" t="s">
        <v>58</v>
      </c>
      <c r="S150" s="22" t="s">
        <v>58</v>
      </c>
      <c r="T150" s="22"/>
      <c r="U150" s="22"/>
      <c r="V150" s="22" t="s">
        <v>61</v>
      </c>
      <c r="W150" s="22" t="s">
        <v>58</v>
      </c>
      <c r="X150" s="22" t="s">
        <v>58</v>
      </c>
      <c r="Y150" s="22" t="s">
        <v>58</v>
      </c>
      <c r="Z150" s="22" t="s">
        <v>58</v>
      </c>
      <c r="AA150" s="22" t="s">
        <v>58</v>
      </c>
      <c r="AB150" s="22" t="s">
        <v>58</v>
      </c>
      <c r="AC150" s="22" t="s">
        <v>58</v>
      </c>
      <c r="AD150" s="22" t="s">
        <v>58</v>
      </c>
      <c r="AE150" s="22" t="s">
        <v>61</v>
      </c>
      <c r="AF150" s="22" t="s">
        <v>61</v>
      </c>
      <c r="AG150" s="22" t="s">
        <v>58</v>
      </c>
      <c r="AH150" s="22">
        <v>0.0</v>
      </c>
      <c r="AI150" s="22">
        <v>0.0</v>
      </c>
      <c r="AJ150" s="22">
        <v>0.0</v>
      </c>
      <c r="AK150" s="22">
        <v>0.0</v>
      </c>
      <c r="AL150" s="22"/>
      <c r="AM150" s="22"/>
      <c r="AN150" s="24"/>
      <c r="AO150" s="22"/>
    </row>
    <row r="151" ht="15.75" customHeight="1">
      <c r="A151" s="22">
        <v>143.0</v>
      </c>
      <c r="B151" s="22" t="s">
        <v>1511</v>
      </c>
      <c r="C151" s="22" t="s">
        <v>1512</v>
      </c>
      <c r="D151" s="24" t="s">
        <v>1513</v>
      </c>
      <c r="E151" s="22" t="s">
        <v>49</v>
      </c>
      <c r="F151" s="42" t="s">
        <v>1514</v>
      </c>
      <c r="G151" s="71" t="s">
        <v>1515</v>
      </c>
      <c r="H151" s="22" t="s">
        <v>513</v>
      </c>
      <c r="I151" s="22" t="s">
        <v>514</v>
      </c>
      <c r="J151" s="22" t="s">
        <v>74</v>
      </c>
      <c r="K151" s="22" t="s">
        <v>55</v>
      </c>
      <c r="L151" s="22" t="s">
        <v>56</v>
      </c>
      <c r="M151" s="22" t="s">
        <v>57</v>
      </c>
      <c r="N151" s="22" t="s">
        <v>58</v>
      </c>
      <c r="O151" s="22">
        <v>1100.0</v>
      </c>
      <c r="P151" s="22">
        <v>1200.0</v>
      </c>
      <c r="Q151" s="22" t="s">
        <v>59</v>
      </c>
      <c r="R151" s="22" t="s">
        <v>58</v>
      </c>
      <c r="S151" s="22" t="s">
        <v>58</v>
      </c>
      <c r="T151" s="22"/>
      <c r="U151" s="22"/>
      <c r="V151" s="22" t="s">
        <v>61</v>
      </c>
      <c r="W151" s="22" t="s">
        <v>58</v>
      </c>
      <c r="X151" s="22" t="s">
        <v>58</v>
      </c>
      <c r="Y151" s="22" t="s">
        <v>58</v>
      </c>
      <c r="Z151" s="22" t="s">
        <v>58</v>
      </c>
      <c r="AA151" s="22" t="s">
        <v>58</v>
      </c>
      <c r="AB151" s="22" t="s">
        <v>58</v>
      </c>
      <c r="AC151" s="22" t="s">
        <v>58</v>
      </c>
      <c r="AD151" s="22" t="s">
        <v>58</v>
      </c>
      <c r="AE151" s="22" t="s">
        <v>61</v>
      </c>
      <c r="AF151" s="22" t="s">
        <v>61</v>
      </c>
      <c r="AG151" s="22" t="s">
        <v>58</v>
      </c>
      <c r="AH151" s="22">
        <v>150.0</v>
      </c>
      <c r="AI151" s="22">
        <v>2200.0</v>
      </c>
      <c r="AJ151" s="22">
        <v>150.0</v>
      </c>
      <c r="AK151" s="22">
        <v>0.0</v>
      </c>
      <c r="AL151" s="22"/>
      <c r="AM151" s="22"/>
      <c r="AN151" s="24"/>
      <c r="AO151" s="22"/>
    </row>
    <row r="152" ht="15.75" customHeight="1">
      <c r="A152" s="22">
        <v>144.0</v>
      </c>
      <c r="B152" s="22" t="s">
        <v>1516</v>
      </c>
      <c r="C152" s="22" t="s">
        <v>1517</v>
      </c>
      <c r="D152" s="64" t="s">
        <v>1518</v>
      </c>
      <c r="E152" s="22" t="s">
        <v>49</v>
      </c>
      <c r="F152" s="42" t="s">
        <v>1519</v>
      </c>
      <c r="G152" s="75" t="s">
        <v>1521</v>
      </c>
      <c r="H152" s="22" t="s">
        <v>72</v>
      </c>
      <c r="I152" s="22" t="s">
        <v>73</v>
      </c>
      <c r="J152" s="22" t="s">
        <v>74</v>
      </c>
      <c r="K152" s="22" t="s">
        <v>55</v>
      </c>
      <c r="L152" s="22" t="s">
        <v>56</v>
      </c>
      <c r="M152" s="22" t="s">
        <v>57</v>
      </c>
      <c r="N152" s="22" t="s">
        <v>58</v>
      </c>
      <c r="O152" s="22">
        <v>500.0</v>
      </c>
      <c r="P152" s="22">
        <v>600.0</v>
      </c>
      <c r="Q152" s="22" t="s">
        <v>59</v>
      </c>
      <c r="R152" s="22" t="s">
        <v>58</v>
      </c>
      <c r="S152" s="22" t="s">
        <v>58</v>
      </c>
      <c r="T152" s="22"/>
      <c r="U152" s="22"/>
      <c r="V152" s="22" t="s">
        <v>61</v>
      </c>
      <c r="W152" s="22" t="s">
        <v>58</v>
      </c>
      <c r="X152" s="22" t="s">
        <v>58</v>
      </c>
      <c r="Y152" s="22" t="s">
        <v>58</v>
      </c>
      <c r="Z152" s="22" t="s">
        <v>58</v>
      </c>
      <c r="AA152" s="22" t="s">
        <v>58</v>
      </c>
      <c r="AB152" s="22" t="s">
        <v>58</v>
      </c>
      <c r="AC152" s="22" t="s">
        <v>58</v>
      </c>
      <c r="AD152" s="22" t="s">
        <v>58</v>
      </c>
      <c r="AE152" s="22" t="s">
        <v>61</v>
      </c>
      <c r="AF152" s="22" t="s">
        <v>61</v>
      </c>
      <c r="AG152" s="22" t="s">
        <v>58</v>
      </c>
      <c r="AH152" s="22">
        <v>50.0</v>
      </c>
      <c r="AI152" s="22">
        <v>10000.0</v>
      </c>
      <c r="AJ152" s="22">
        <v>50.0</v>
      </c>
      <c r="AK152" s="22">
        <v>0.0</v>
      </c>
      <c r="AL152" s="22"/>
      <c r="AM152" s="22"/>
      <c r="AN152" s="24" t="s">
        <v>1523</v>
      </c>
      <c r="AO152" s="22"/>
    </row>
    <row r="153" ht="15.75" customHeight="1">
      <c r="A153" s="22">
        <v>145.0</v>
      </c>
      <c r="B153" s="22" t="s">
        <v>1526</v>
      </c>
      <c r="C153" s="22" t="s">
        <v>1527</v>
      </c>
      <c r="D153" s="22" t="s">
        <v>1528</v>
      </c>
      <c r="E153" s="22" t="s">
        <v>49</v>
      </c>
      <c r="F153" s="42" t="s">
        <v>1529</v>
      </c>
      <c r="G153" s="75" t="s">
        <v>1532</v>
      </c>
      <c r="H153" s="22" t="s">
        <v>303</v>
      </c>
      <c r="I153" s="22" t="s">
        <v>303</v>
      </c>
      <c r="J153" s="22" t="s">
        <v>74</v>
      </c>
      <c r="K153" s="22" t="s">
        <v>55</v>
      </c>
      <c r="L153" s="22" t="s">
        <v>56</v>
      </c>
      <c r="M153" s="22" t="s">
        <v>57</v>
      </c>
      <c r="N153" s="22" t="s">
        <v>58</v>
      </c>
      <c r="O153" s="22">
        <v>1500.0</v>
      </c>
      <c r="P153" s="22"/>
      <c r="Q153" s="22" t="s">
        <v>59</v>
      </c>
      <c r="R153" s="22" t="s">
        <v>58</v>
      </c>
      <c r="S153" s="22" t="s">
        <v>58</v>
      </c>
      <c r="T153" s="61" t="s">
        <v>1533</v>
      </c>
      <c r="U153" s="24" t="s">
        <v>1534</v>
      </c>
      <c r="V153" s="22" t="s">
        <v>61</v>
      </c>
      <c r="W153" s="22" t="s">
        <v>58</v>
      </c>
      <c r="X153" s="22" t="s">
        <v>58</v>
      </c>
      <c r="Y153" s="22" t="s">
        <v>58</v>
      </c>
      <c r="Z153" s="22" t="s">
        <v>58</v>
      </c>
      <c r="AA153" s="22" t="s">
        <v>58</v>
      </c>
      <c r="AB153" s="22" t="s">
        <v>58</v>
      </c>
      <c r="AC153" s="22" t="s">
        <v>58</v>
      </c>
      <c r="AD153" s="22" t="s">
        <v>58</v>
      </c>
      <c r="AE153" s="22" t="s">
        <v>61</v>
      </c>
      <c r="AF153" s="22" t="s">
        <v>61</v>
      </c>
      <c r="AG153" s="22" t="s">
        <v>58</v>
      </c>
      <c r="AH153" s="22">
        <v>50.0</v>
      </c>
      <c r="AI153" s="22">
        <v>2000.0</v>
      </c>
      <c r="AJ153" s="22">
        <v>50.0</v>
      </c>
      <c r="AK153" s="22">
        <v>0.0</v>
      </c>
      <c r="AL153" s="22"/>
      <c r="AM153" s="22"/>
      <c r="AN153" s="24" t="s">
        <v>1523</v>
      </c>
      <c r="AO153" s="22"/>
    </row>
    <row r="154" ht="37.5" customHeight="1">
      <c r="A154" s="22">
        <v>146.0</v>
      </c>
      <c r="B154" s="22" t="s">
        <v>1535</v>
      </c>
      <c r="C154" s="22" t="s">
        <v>1539</v>
      </c>
      <c r="D154" s="22" t="s">
        <v>1540</v>
      </c>
      <c r="E154" s="22" t="s">
        <v>49</v>
      </c>
      <c r="F154" s="24" t="s">
        <v>69</v>
      </c>
      <c r="G154" s="24" t="s">
        <v>69</v>
      </c>
      <c r="H154" s="22" t="s">
        <v>303</v>
      </c>
      <c r="I154" s="22" t="s">
        <v>303</v>
      </c>
      <c r="J154" s="22" t="s">
        <v>74</v>
      </c>
      <c r="K154" s="22" t="s">
        <v>55</v>
      </c>
      <c r="L154" s="22" t="s">
        <v>56</v>
      </c>
      <c r="M154" s="22" t="s">
        <v>57</v>
      </c>
      <c r="N154" s="22" t="s">
        <v>58</v>
      </c>
      <c r="O154" s="22">
        <v>799.0</v>
      </c>
      <c r="P154" s="22">
        <v>899.0</v>
      </c>
      <c r="Q154" s="22" t="s">
        <v>59</v>
      </c>
      <c r="R154" s="22" t="s">
        <v>58</v>
      </c>
      <c r="S154" s="22" t="s">
        <v>58</v>
      </c>
      <c r="T154" s="24" t="s">
        <v>1541</v>
      </c>
      <c r="U154" s="22"/>
      <c r="V154" s="22" t="s">
        <v>61</v>
      </c>
      <c r="W154" s="22" t="s">
        <v>58</v>
      </c>
      <c r="X154" s="22" t="s">
        <v>58</v>
      </c>
      <c r="Y154" s="22" t="s">
        <v>58</v>
      </c>
      <c r="Z154" s="22" t="s">
        <v>58</v>
      </c>
      <c r="AA154" s="22" t="s">
        <v>58</v>
      </c>
      <c r="AB154" s="22" t="s">
        <v>58</v>
      </c>
      <c r="AC154" s="22" t="s">
        <v>58</v>
      </c>
      <c r="AD154" s="22" t="s">
        <v>58</v>
      </c>
      <c r="AE154" s="22" t="s">
        <v>61</v>
      </c>
      <c r="AF154" s="22" t="s">
        <v>61</v>
      </c>
      <c r="AG154" s="22" t="s">
        <v>58</v>
      </c>
      <c r="AH154" s="22">
        <v>20.0</v>
      </c>
      <c r="AI154" s="22">
        <v>500.0</v>
      </c>
      <c r="AJ154" s="22">
        <v>20.0</v>
      </c>
      <c r="AK154" s="22">
        <v>0.0</v>
      </c>
      <c r="AL154" s="22"/>
      <c r="AM154" s="22"/>
      <c r="AN154" s="24" t="s">
        <v>1523</v>
      </c>
      <c r="AO154" s="22"/>
    </row>
    <row r="155" ht="15.75" customHeight="1">
      <c r="A155" s="15">
        <v>147.0</v>
      </c>
      <c r="B155" s="15" t="s">
        <v>1542</v>
      </c>
      <c r="C155" s="15" t="s">
        <v>1543</v>
      </c>
      <c r="D155" s="48" t="s">
        <v>1544</v>
      </c>
      <c r="E155" s="15" t="s">
        <v>49</v>
      </c>
      <c r="F155" s="49" t="s">
        <v>1545</v>
      </c>
      <c r="G155" s="15" t="s">
        <v>1549</v>
      </c>
      <c r="H155" s="15" t="s">
        <v>1385</v>
      </c>
      <c r="I155" s="15" t="s">
        <v>1386</v>
      </c>
      <c r="J155" s="15" t="s">
        <v>74</v>
      </c>
      <c r="K155" s="15" t="s">
        <v>55</v>
      </c>
      <c r="L155" s="15" t="s">
        <v>56</v>
      </c>
      <c r="M155" s="15" t="s">
        <v>57</v>
      </c>
      <c r="N155" s="15" t="s">
        <v>58</v>
      </c>
      <c r="O155" s="15">
        <v>1600.0</v>
      </c>
      <c r="P155" s="15">
        <v>1900.0</v>
      </c>
      <c r="Q155" s="15" t="s">
        <v>59</v>
      </c>
      <c r="R155" s="15" t="s">
        <v>58</v>
      </c>
      <c r="S155" s="15" t="s">
        <v>58</v>
      </c>
      <c r="T155" s="15"/>
      <c r="U155" s="15"/>
      <c r="V155" s="15" t="s">
        <v>61</v>
      </c>
      <c r="W155" s="15" t="s">
        <v>58</v>
      </c>
      <c r="X155" s="15" t="s">
        <v>58</v>
      </c>
      <c r="Y155" s="15" t="s">
        <v>58</v>
      </c>
      <c r="Z155" s="15" t="s">
        <v>58</v>
      </c>
      <c r="AA155" s="15" t="s">
        <v>58</v>
      </c>
      <c r="AB155" s="15" t="s">
        <v>58</v>
      </c>
      <c r="AC155" s="15" t="s">
        <v>58</v>
      </c>
      <c r="AD155" s="15" t="s">
        <v>58</v>
      </c>
      <c r="AE155" s="15" t="s">
        <v>61</v>
      </c>
      <c r="AF155" s="15" t="s">
        <v>61</v>
      </c>
      <c r="AG155" s="15" t="s">
        <v>58</v>
      </c>
      <c r="AH155" s="15">
        <v>50.0</v>
      </c>
      <c r="AI155" s="15">
        <v>5000.0</v>
      </c>
      <c r="AJ155" s="15">
        <v>50.0</v>
      </c>
      <c r="AK155" s="15">
        <v>0.0</v>
      </c>
      <c r="AL155" s="15"/>
      <c r="AM155" s="15"/>
      <c r="AN155" s="24" t="s">
        <v>1523</v>
      </c>
      <c r="AO155" s="21">
        <v>2.0</v>
      </c>
    </row>
    <row r="156" ht="15.75" customHeight="1">
      <c r="A156" s="22">
        <v>148.0</v>
      </c>
      <c r="B156" s="22" t="s">
        <v>1552</v>
      </c>
      <c r="C156" s="22" t="s">
        <v>1553</v>
      </c>
      <c r="D156" s="66" t="s">
        <v>1554</v>
      </c>
      <c r="E156" s="22" t="s">
        <v>49</v>
      </c>
      <c r="F156" s="42" t="s">
        <v>1555</v>
      </c>
      <c r="G156" s="71" t="s">
        <v>1557</v>
      </c>
      <c r="H156" s="22" t="s">
        <v>303</v>
      </c>
      <c r="I156" s="22" t="s">
        <v>303</v>
      </c>
      <c r="J156" s="22" t="s">
        <v>74</v>
      </c>
      <c r="K156" s="22" t="s">
        <v>55</v>
      </c>
      <c r="L156" s="22" t="s">
        <v>56</v>
      </c>
      <c r="M156" s="22" t="s">
        <v>57</v>
      </c>
      <c r="N156" s="22" t="s">
        <v>58</v>
      </c>
      <c r="O156" s="22">
        <v>2000.0</v>
      </c>
      <c r="P156" s="22">
        <v>2200.0</v>
      </c>
      <c r="Q156" s="22" t="s">
        <v>59</v>
      </c>
      <c r="R156" s="22" t="s">
        <v>58</v>
      </c>
      <c r="S156" s="22" t="s">
        <v>58</v>
      </c>
      <c r="T156" s="22"/>
      <c r="U156" s="22"/>
      <c r="V156" s="22" t="s">
        <v>61</v>
      </c>
      <c r="W156" s="22" t="s">
        <v>58</v>
      </c>
      <c r="X156" s="22" t="s">
        <v>58</v>
      </c>
      <c r="Y156" s="22" t="s">
        <v>58</v>
      </c>
      <c r="Z156" s="22" t="s">
        <v>58</v>
      </c>
      <c r="AA156" s="22" t="s">
        <v>58</v>
      </c>
      <c r="AB156" s="22" t="s">
        <v>58</v>
      </c>
      <c r="AC156" s="22" t="s">
        <v>58</v>
      </c>
      <c r="AD156" s="22" t="s">
        <v>58</v>
      </c>
      <c r="AE156" s="22" t="s">
        <v>61</v>
      </c>
      <c r="AF156" s="22" t="s">
        <v>61</v>
      </c>
      <c r="AG156" s="22" t="s">
        <v>58</v>
      </c>
      <c r="AH156" s="22">
        <v>100.0</v>
      </c>
      <c r="AI156" s="22">
        <v>10000.0</v>
      </c>
      <c r="AJ156" s="22">
        <v>100.0</v>
      </c>
      <c r="AK156" s="22">
        <v>0.0</v>
      </c>
      <c r="AL156" s="22"/>
      <c r="AM156" s="22"/>
      <c r="AN156" s="24" t="s">
        <v>1523</v>
      </c>
      <c r="AO156" s="22"/>
    </row>
    <row r="157" ht="15.75" customHeight="1">
      <c r="A157" s="22">
        <v>149.0</v>
      </c>
      <c r="B157" s="22" t="s">
        <v>1421</v>
      </c>
      <c r="C157" s="22" t="s">
        <v>1422</v>
      </c>
      <c r="D157" s="22" t="s">
        <v>1421</v>
      </c>
      <c r="E157" s="22" t="s">
        <v>49</v>
      </c>
      <c r="F157" s="42" t="s">
        <v>1563</v>
      </c>
      <c r="G157" s="75" t="s">
        <v>1565</v>
      </c>
      <c r="H157" s="22" t="s">
        <v>389</v>
      </c>
      <c r="I157" s="22" t="s">
        <v>390</v>
      </c>
      <c r="J157" s="22" t="s">
        <v>390</v>
      </c>
      <c r="K157" s="22" t="s">
        <v>55</v>
      </c>
      <c r="L157" s="22" t="s">
        <v>56</v>
      </c>
      <c r="M157" s="22" t="s">
        <v>57</v>
      </c>
      <c r="N157" s="22" t="s">
        <v>58</v>
      </c>
      <c r="O157" s="22">
        <v>800.0</v>
      </c>
      <c r="P157" s="22"/>
      <c r="Q157" s="22" t="s">
        <v>59</v>
      </c>
      <c r="R157" s="22" t="s">
        <v>58</v>
      </c>
      <c r="S157" s="22" t="s">
        <v>58</v>
      </c>
      <c r="T157" s="22"/>
      <c r="U157" s="22"/>
      <c r="V157" s="22" t="s">
        <v>61</v>
      </c>
      <c r="W157" s="22" t="s">
        <v>58</v>
      </c>
      <c r="X157" s="22" t="s">
        <v>58</v>
      </c>
      <c r="Y157" s="22" t="s">
        <v>58</v>
      </c>
      <c r="Z157" s="22" t="s">
        <v>58</v>
      </c>
      <c r="AA157" s="22" t="s">
        <v>58</v>
      </c>
      <c r="AB157" s="22" t="s">
        <v>58</v>
      </c>
      <c r="AC157" s="22" t="s">
        <v>58</v>
      </c>
      <c r="AD157" s="22" t="s">
        <v>58</v>
      </c>
      <c r="AE157" s="22" t="s">
        <v>61</v>
      </c>
      <c r="AF157" s="22" t="s">
        <v>61</v>
      </c>
      <c r="AG157" s="22" t="s">
        <v>58</v>
      </c>
      <c r="AH157" s="22">
        <v>150.0</v>
      </c>
      <c r="AI157" s="22">
        <v>5000.0</v>
      </c>
      <c r="AJ157" s="22">
        <v>150.0</v>
      </c>
      <c r="AK157" s="22">
        <v>0.0</v>
      </c>
      <c r="AL157" s="22"/>
      <c r="AM157" s="22"/>
      <c r="AN157" s="24" t="s">
        <v>1523</v>
      </c>
      <c r="AO157" s="22"/>
    </row>
    <row r="158" ht="15.75" customHeight="1">
      <c r="A158" s="22">
        <v>150.0</v>
      </c>
      <c r="B158" s="22" t="s">
        <v>200</v>
      </c>
      <c r="C158" s="22" t="s">
        <v>202</v>
      </c>
      <c r="D158" s="66" t="s">
        <v>1569</v>
      </c>
      <c r="E158" s="22" t="s">
        <v>49</v>
      </c>
      <c r="F158" s="42" t="s">
        <v>1570</v>
      </c>
      <c r="G158" s="76" t="s">
        <v>1572</v>
      </c>
      <c r="H158" s="22" t="s">
        <v>147</v>
      </c>
      <c r="I158" s="22" t="s">
        <v>148</v>
      </c>
      <c r="J158" s="22" t="s">
        <v>148</v>
      </c>
      <c r="K158" s="22" t="s">
        <v>55</v>
      </c>
      <c r="L158" s="22" t="s">
        <v>56</v>
      </c>
      <c r="M158" s="22" t="s">
        <v>57</v>
      </c>
      <c r="N158" s="22" t="s">
        <v>58</v>
      </c>
      <c r="O158" s="22">
        <v>1250.0</v>
      </c>
      <c r="P158" s="22">
        <v>1400.0</v>
      </c>
      <c r="Q158" s="22" t="s">
        <v>59</v>
      </c>
      <c r="R158" s="22" t="s">
        <v>58</v>
      </c>
      <c r="S158" s="22" t="s">
        <v>58</v>
      </c>
      <c r="T158" s="22"/>
      <c r="U158" s="22"/>
      <c r="V158" s="22" t="s">
        <v>61</v>
      </c>
      <c r="W158" s="22" t="s">
        <v>58</v>
      </c>
      <c r="X158" s="22" t="s">
        <v>58</v>
      </c>
      <c r="Y158" s="22" t="s">
        <v>58</v>
      </c>
      <c r="Z158" s="22" t="s">
        <v>58</v>
      </c>
      <c r="AA158" s="22" t="s">
        <v>58</v>
      </c>
      <c r="AB158" s="22" t="s">
        <v>58</v>
      </c>
      <c r="AC158" s="22" t="s">
        <v>58</v>
      </c>
      <c r="AD158" s="22" t="s">
        <v>58</v>
      </c>
      <c r="AE158" s="22" t="s">
        <v>61</v>
      </c>
      <c r="AF158" s="22" t="s">
        <v>61</v>
      </c>
      <c r="AG158" s="22" t="s">
        <v>58</v>
      </c>
      <c r="AH158" s="22">
        <v>100.0</v>
      </c>
      <c r="AI158" s="22">
        <v>5000.0</v>
      </c>
      <c r="AJ158" s="22">
        <v>100.0</v>
      </c>
      <c r="AK158" s="22">
        <v>0.0</v>
      </c>
      <c r="AL158" s="22"/>
      <c r="AM158" s="22"/>
      <c r="AN158" s="24" t="s">
        <v>1523</v>
      </c>
      <c r="AO158" s="22"/>
    </row>
    <row r="159" ht="15.75" customHeight="1">
      <c r="A159" s="22">
        <v>151.0</v>
      </c>
      <c r="B159" s="22" t="s">
        <v>1577</v>
      </c>
      <c r="C159" s="22" t="s">
        <v>1578</v>
      </c>
      <c r="D159" s="66" t="s">
        <v>1579</v>
      </c>
      <c r="E159" s="22" t="s">
        <v>49</v>
      </c>
      <c r="F159" s="42" t="s">
        <v>1580</v>
      </c>
      <c r="G159" s="71" t="s">
        <v>1583</v>
      </c>
      <c r="H159" s="22" t="s">
        <v>123</v>
      </c>
      <c r="I159" s="22" t="s">
        <v>124</v>
      </c>
      <c r="J159" s="22" t="s">
        <v>74</v>
      </c>
      <c r="K159" s="22" t="s">
        <v>55</v>
      </c>
      <c r="L159" s="22" t="s">
        <v>56</v>
      </c>
      <c r="M159" s="22" t="s">
        <v>57</v>
      </c>
      <c r="N159" s="22" t="s">
        <v>58</v>
      </c>
      <c r="O159" s="22">
        <v>1500.0</v>
      </c>
      <c r="P159" s="22">
        <v>2000.0</v>
      </c>
      <c r="Q159" s="22" t="s">
        <v>59</v>
      </c>
      <c r="R159" s="22" t="s">
        <v>58</v>
      </c>
      <c r="S159" s="22" t="s">
        <v>58</v>
      </c>
      <c r="T159" s="22"/>
      <c r="U159" s="22"/>
      <c r="V159" s="22" t="s">
        <v>61</v>
      </c>
      <c r="W159" s="22" t="s">
        <v>58</v>
      </c>
      <c r="X159" s="22" t="s">
        <v>58</v>
      </c>
      <c r="Y159" s="22" t="s">
        <v>58</v>
      </c>
      <c r="Z159" s="22" t="s">
        <v>58</v>
      </c>
      <c r="AA159" s="22" t="s">
        <v>58</v>
      </c>
      <c r="AB159" s="22" t="s">
        <v>58</v>
      </c>
      <c r="AC159" s="22" t="s">
        <v>58</v>
      </c>
      <c r="AD159" s="22" t="s">
        <v>58</v>
      </c>
      <c r="AE159" s="22" t="s">
        <v>61</v>
      </c>
      <c r="AF159" s="22" t="s">
        <v>61</v>
      </c>
      <c r="AG159" s="22" t="s">
        <v>58</v>
      </c>
      <c r="AH159" s="22">
        <v>100.0</v>
      </c>
      <c r="AI159" s="22">
        <v>10000.0</v>
      </c>
      <c r="AJ159" s="22">
        <v>100.0</v>
      </c>
      <c r="AK159" s="22">
        <v>0.0</v>
      </c>
      <c r="AL159" s="22"/>
      <c r="AM159" s="22"/>
      <c r="AN159" s="24" t="s">
        <v>1523</v>
      </c>
      <c r="AO159" s="22"/>
    </row>
    <row r="160" ht="15.75" customHeight="1">
      <c r="A160" s="22">
        <v>152.0</v>
      </c>
      <c r="B160" s="22" t="s">
        <v>1592</v>
      </c>
      <c r="C160" s="22" t="s">
        <v>1593</v>
      </c>
      <c r="D160" s="24" t="s">
        <v>122</v>
      </c>
      <c r="E160" s="22" t="s">
        <v>49</v>
      </c>
      <c r="F160" s="42" t="s">
        <v>1594</v>
      </c>
      <c r="G160" s="75" t="s">
        <v>1598</v>
      </c>
      <c r="H160" s="22" t="s">
        <v>1599</v>
      </c>
      <c r="I160" s="22" t="s">
        <v>1601</v>
      </c>
      <c r="J160" s="22" t="s">
        <v>74</v>
      </c>
      <c r="K160" s="22" t="s">
        <v>55</v>
      </c>
      <c r="L160" s="22" t="s">
        <v>56</v>
      </c>
      <c r="M160" s="22" t="s">
        <v>57</v>
      </c>
      <c r="N160" s="22" t="s">
        <v>58</v>
      </c>
      <c r="O160" s="22">
        <v>1000.0</v>
      </c>
      <c r="P160" s="22">
        <v>1300.0</v>
      </c>
      <c r="Q160" s="22" t="s">
        <v>59</v>
      </c>
      <c r="R160" s="22" t="s">
        <v>58</v>
      </c>
      <c r="S160" s="22" t="s">
        <v>58</v>
      </c>
      <c r="T160" s="22"/>
      <c r="U160" s="22"/>
      <c r="V160" s="22" t="s">
        <v>61</v>
      </c>
      <c r="W160" s="22" t="s">
        <v>58</v>
      </c>
      <c r="X160" s="22" t="s">
        <v>58</v>
      </c>
      <c r="Y160" s="22" t="s">
        <v>58</v>
      </c>
      <c r="Z160" s="22" t="s">
        <v>58</v>
      </c>
      <c r="AA160" s="22" t="s">
        <v>58</v>
      </c>
      <c r="AB160" s="22" t="s">
        <v>58</v>
      </c>
      <c r="AC160" s="22" t="s">
        <v>58</v>
      </c>
      <c r="AD160" s="22" t="s">
        <v>58</v>
      </c>
      <c r="AE160" s="22" t="s">
        <v>61</v>
      </c>
      <c r="AF160" s="22" t="s">
        <v>61</v>
      </c>
      <c r="AG160" s="22" t="s">
        <v>58</v>
      </c>
      <c r="AH160" s="22">
        <v>200.0</v>
      </c>
      <c r="AI160" s="22">
        <v>1000.0</v>
      </c>
      <c r="AJ160" s="22">
        <v>200.0</v>
      </c>
      <c r="AK160" s="22">
        <v>0.0</v>
      </c>
      <c r="AL160" s="22"/>
      <c r="AM160" s="22"/>
      <c r="AN160" s="24" t="s">
        <v>1523</v>
      </c>
      <c r="AO160" s="22"/>
    </row>
    <row r="161" ht="15.75" customHeight="1">
      <c r="A161" s="22">
        <v>153.0</v>
      </c>
      <c r="B161" s="22" t="s">
        <v>1603</v>
      </c>
      <c r="C161" s="22" t="s">
        <v>1604</v>
      </c>
      <c r="D161" s="22" t="s">
        <v>1605</v>
      </c>
      <c r="E161" s="22" t="s">
        <v>49</v>
      </c>
      <c r="F161" s="27" t="s">
        <v>1606</v>
      </c>
      <c r="G161" s="75" t="s">
        <v>1607</v>
      </c>
      <c r="H161" s="22" t="s">
        <v>1608</v>
      </c>
      <c r="I161" s="22" t="s">
        <v>1609</v>
      </c>
      <c r="J161" s="22" t="s">
        <v>74</v>
      </c>
      <c r="K161" s="22" t="s">
        <v>55</v>
      </c>
      <c r="L161" s="22" t="s">
        <v>56</v>
      </c>
      <c r="M161" s="22" t="s">
        <v>57</v>
      </c>
      <c r="N161" s="22" t="s">
        <v>58</v>
      </c>
      <c r="O161" s="22">
        <v>1800.0</v>
      </c>
      <c r="P161" s="22">
        <v>1800.0</v>
      </c>
      <c r="Q161" s="22" t="s">
        <v>59</v>
      </c>
      <c r="R161" s="22" t="s">
        <v>58</v>
      </c>
      <c r="S161" s="22" t="s">
        <v>58</v>
      </c>
      <c r="T161" s="22"/>
      <c r="U161" s="22"/>
      <c r="V161" s="22" t="s">
        <v>61</v>
      </c>
      <c r="W161" s="22" t="s">
        <v>58</v>
      </c>
      <c r="X161" s="22" t="s">
        <v>58</v>
      </c>
      <c r="Y161" s="22" t="s">
        <v>58</v>
      </c>
      <c r="Z161" s="22" t="s">
        <v>58</v>
      </c>
      <c r="AA161" s="22" t="s">
        <v>58</v>
      </c>
      <c r="AB161" s="22" t="s">
        <v>58</v>
      </c>
      <c r="AC161" s="22" t="s">
        <v>58</v>
      </c>
      <c r="AD161" s="22" t="s">
        <v>58</v>
      </c>
      <c r="AE161" s="22" t="s">
        <v>61</v>
      </c>
      <c r="AF161" s="22" t="s">
        <v>61</v>
      </c>
      <c r="AG161" s="22" t="s">
        <v>58</v>
      </c>
      <c r="AH161" s="22">
        <v>100.0</v>
      </c>
      <c r="AI161" s="22">
        <v>10000.0</v>
      </c>
      <c r="AJ161" s="22">
        <v>100.0</v>
      </c>
      <c r="AK161" s="22">
        <v>0.0</v>
      </c>
      <c r="AL161" s="22"/>
      <c r="AM161" s="22"/>
      <c r="AN161" s="24" t="s">
        <v>1523</v>
      </c>
      <c r="AO161" s="22"/>
    </row>
    <row r="162" ht="15.75" customHeight="1">
      <c r="A162" s="22">
        <v>154.0</v>
      </c>
      <c r="B162" s="22" t="s">
        <v>1592</v>
      </c>
      <c r="C162" s="22" t="s">
        <v>1610</v>
      </c>
      <c r="D162" s="24" t="s">
        <v>122</v>
      </c>
      <c r="E162" s="22" t="s">
        <v>49</v>
      </c>
      <c r="F162" s="24" t="s">
        <v>69</v>
      </c>
      <c r="G162" s="54" t="s">
        <v>69</v>
      </c>
      <c r="H162" s="22" t="s">
        <v>72</v>
      </c>
      <c r="I162" s="22" t="s">
        <v>73</v>
      </c>
      <c r="J162" s="22" t="s">
        <v>74</v>
      </c>
      <c r="K162" s="22" t="s">
        <v>55</v>
      </c>
      <c r="L162" s="22" t="s">
        <v>56</v>
      </c>
      <c r="M162" s="22" t="s">
        <v>57</v>
      </c>
      <c r="N162" s="22" t="s">
        <v>58</v>
      </c>
      <c r="O162" s="22">
        <v>1500.0</v>
      </c>
      <c r="P162" s="22">
        <v>2000.0</v>
      </c>
      <c r="Q162" s="22" t="s">
        <v>59</v>
      </c>
      <c r="R162" s="22" t="s">
        <v>58</v>
      </c>
      <c r="S162" s="22" t="s">
        <v>58</v>
      </c>
      <c r="T162" s="22"/>
      <c r="U162" s="22"/>
      <c r="V162" s="22" t="s">
        <v>61</v>
      </c>
      <c r="W162" s="22" t="s">
        <v>58</v>
      </c>
      <c r="X162" s="22" t="s">
        <v>58</v>
      </c>
      <c r="Y162" s="22" t="s">
        <v>58</v>
      </c>
      <c r="Z162" s="22" t="s">
        <v>58</v>
      </c>
      <c r="AA162" s="22" t="s">
        <v>58</v>
      </c>
      <c r="AB162" s="22" t="s">
        <v>58</v>
      </c>
      <c r="AC162" s="22" t="s">
        <v>58</v>
      </c>
      <c r="AD162" s="22" t="s">
        <v>58</v>
      </c>
      <c r="AE162" s="22" t="s">
        <v>61</v>
      </c>
      <c r="AF162" s="22" t="s">
        <v>61</v>
      </c>
      <c r="AG162" s="22" t="s">
        <v>58</v>
      </c>
      <c r="AH162" s="22">
        <v>100.0</v>
      </c>
      <c r="AI162" s="22">
        <v>5000.0</v>
      </c>
      <c r="AJ162" s="22">
        <v>100.0</v>
      </c>
      <c r="AK162" s="22">
        <v>0.0</v>
      </c>
      <c r="AL162" s="22"/>
      <c r="AM162" s="22"/>
      <c r="AN162" s="24" t="s">
        <v>1523</v>
      </c>
      <c r="AO162" s="22"/>
    </row>
    <row r="163" ht="29.25" customHeight="1">
      <c r="A163" s="22">
        <v>155.0</v>
      </c>
      <c r="B163" s="22" t="s">
        <v>1611</v>
      </c>
      <c r="C163" s="22" t="s">
        <v>1612</v>
      </c>
      <c r="D163" s="22" t="s">
        <v>1613</v>
      </c>
      <c r="E163" s="22" t="s">
        <v>49</v>
      </c>
      <c r="F163" s="42" t="s">
        <v>1614</v>
      </c>
      <c r="G163" s="75" t="s">
        <v>1615</v>
      </c>
      <c r="H163" s="22" t="s">
        <v>123</v>
      </c>
      <c r="I163" s="22" t="s">
        <v>124</v>
      </c>
      <c r="J163" s="22" t="s">
        <v>74</v>
      </c>
      <c r="K163" s="22" t="s">
        <v>55</v>
      </c>
      <c r="L163" s="22" t="s">
        <v>56</v>
      </c>
      <c r="M163" s="22" t="s">
        <v>57</v>
      </c>
      <c r="N163" s="22" t="s">
        <v>58</v>
      </c>
      <c r="O163" s="22">
        <v>1250.0</v>
      </c>
      <c r="P163" s="22">
        <v>1450.0</v>
      </c>
      <c r="Q163" s="22" t="s">
        <v>59</v>
      </c>
      <c r="R163" s="22" t="s">
        <v>58</v>
      </c>
      <c r="S163" s="22" t="s">
        <v>58</v>
      </c>
      <c r="T163" s="22" t="s">
        <v>948</v>
      </c>
      <c r="U163" s="22"/>
      <c r="V163" s="22" t="s">
        <v>61</v>
      </c>
      <c r="W163" s="22" t="s">
        <v>58</v>
      </c>
      <c r="X163" s="22" t="s">
        <v>58</v>
      </c>
      <c r="Y163" s="22" t="s">
        <v>58</v>
      </c>
      <c r="Z163" s="22" t="s">
        <v>58</v>
      </c>
      <c r="AA163" s="22" t="s">
        <v>58</v>
      </c>
      <c r="AB163" s="22" t="s">
        <v>58</v>
      </c>
      <c r="AC163" s="22" t="s">
        <v>58</v>
      </c>
      <c r="AD163" s="22" t="s">
        <v>58</v>
      </c>
      <c r="AE163" s="22" t="s">
        <v>61</v>
      </c>
      <c r="AF163" s="22" t="s">
        <v>61</v>
      </c>
      <c r="AG163" s="22" t="s">
        <v>58</v>
      </c>
      <c r="AH163" s="22">
        <v>50.0</v>
      </c>
      <c r="AI163" s="22">
        <v>2000.0</v>
      </c>
      <c r="AJ163" s="22">
        <v>50.0</v>
      </c>
      <c r="AK163" s="22">
        <v>0.0</v>
      </c>
      <c r="AL163" s="22"/>
      <c r="AM163" s="22"/>
      <c r="AN163" s="24" t="s">
        <v>1523</v>
      </c>
      <c r="AO163" s="22"/>
    </row>
    <row r="164" ht="15.75" customHeight="1">
      <c r="A164" s="22">
        <v>156.0</v>
      </c>
      <c r="B164" s="22" t="s">
        <v>1616</v>
      </c>
      <c r="C164" s="22" t="s">
        <v>1617</v>
      </c>
      <c r="D164" s="66" t="s">
        <v>1618</v>
      </c>
      <c r="E164" s="22" t="s">
        <v>49</v>
      </c>
      <c r="F164" s="42" t="s">
        <v>1619</v>
      </c>
      <c r="G164" s="75" t="s">
        <v>1620</v>
      </c>
      <c r="H164" s="22" t="s">
        <v>72</v>
      </c>
      <c r="I164" s="22" t="s">
        <v>73</v>
      </c>
      <c r="J164" s="22" t="s">
        <v>74</v>
      </c>
      <c r="K164" s="22" t="s">
        <v>55</v>
      </c>
      <c r="L164" s="22" t="s">
        <v>56</v>
      </c>
      <c r="M164" s="22" t="s">
        <v>57</v>
      </c>
      <c r="N164" s="22" t="s">
        <v>58</v>
      </c>
      <c r="O164" s="22">
        <v>350.0</v>
      </c>
      <c r="P164" s="22"/>
      <c r="Q164" s="22" t="s">
        <v>59</v>
      </c>
      <c r="R164" s="22" t="s">
        <v>58</v>
      </c>
      <c r="S164" s="22" t="s">
        <v>58</v>
      </c>
      <c r="T164" s="22"/>
      <c r="U164" s="22"/>
      <c r="V164" s="22" t="s">
        <v>61</v>
      </c>
      <c r="W164" s="22" t="s">
        <v>58</v>
      </c>
      <c r="X164" s="22" t="s">
        <v>58</v>
      </c>
      <c r="Y164" s="22" t="s">
        <v>58</v>
      </c>
      <c r="Z164" s="22" t="s">
        <v>58</v>
      </c>
      <c r="AA164" s="22" t="s">
        <v>58</v>
      </c>
      <c r="AB164" s="22" t="s">
        <v>58</v>
      </c>
      <c r="AC164" s="22" t="s">
        <v>58</v>
      </c>
      <c r="AD164" s="22" t="s">
        <v>58</v>
      </c>
      <c r="AE164" s="22" t="s">
        <v>61</v>
      </c>
      <c r="AF164" s="22" t="s">
        <v>61</v>
      </c>
      <c r="AG164" s="22" t="s">
        <v>58</v>
      </c>
      <c r="AH164" s="22">
        <v>100.0</v>
      </c>
      <c r="AI164" s="22">
        <v>500.0</v>
      </c>
      <c r="AJ164" s="22">
        <v>100.0</v>
      </c>
      <c r="AK164" s="22">
        <v>0.0</v>
      </c>
      <c r="AL164" s="22"/>
      <c r="AM164" s="22"/>
      <c r="AN164" s="24" t="s">
        <v>1523</v>
      </c>
      <c r="AO164" s="22"/>
    </row>
    <row r="165" ht="15.75" customHeight="1">
      <c r="A165" s="22">
        <v>157.0</v>
      </c>
      <c r="B165" s="22" t="s">
        <v>391</v>
      </c>
      <c r="C165" s="22" t="s">
        <v>393</v>
      </c>
      <c r="D165" s="66" t="s">
        <v>1621</v>
      </c>
      <c r="E165" s="22" t="s">
        <v>49</v>
      </c>
      <c r="F165" s="42" t="s">
        <v>1622</v>
      </c>
      <c r="G165" s="76" t="s">
        <v>1623</v>
      </c>
      <c r="H165" s="22" t="s">
        <v>397</v>
      </c>
      <c r="I165" s="22" t="s">
        <v>398</v>
      </c>
      <c r="J165" s="22" t="s">
        <v>398</v>
      </c>
      <c r="K165" s="22" t="s">
        <v>55</v>
      </c>
      <c r="L165" s="22" t="s">
        <v>56</v>
      </c>
      <c r="M165" s="22" t="s">
        <v>57</v>
      </c>
      <c r="N165" s="22" t="s">
        <v>58</v>
      </c>
      <c r="O165" s="22">
        <v>600.0</v>
      </c>
      <c r="P165" s="22">
        <v>750.0</v>
      </c>
      <c r="Q165" s="22" t="s">
        <v>59</v>
      </c>
      <c r="R165" s="22" t="s">
        <v>58</v>
      </c>
      <c r="S165" s="22" t="s">
        <v>58</v>
      </c>
      <c r="T165" s="22"/>
      <c r="U165" s="22"/>
      <c r="V165" s="22" t="s">
        <v>61</v>
      </c>
      <c r="W165" s="22" t="s">
        <v>58</v>
      </c>
      <c r="X165" s="22" t="s">
        <v>58</v>
      </c>
      <c r="Y165" s="22" t="s">
        <v>58</v>
      </c>
      <c r="Z165" s="22" t="s">
        <v>58</v>
      </c>
      <c r="AA165" s="22" t="s">
        <v>58</v>
      </c>
      <c r="AB165" s="22" t="s">
        <v>58</v>
      </c>
      <c r="AC165" s="22" t="s">
        <v>58</v>
      </c>
      <c r="AD165" s="22" t="s">
        <v>58</v>
      </c>
      <c r="AE165" s="22" t="s">
        <v>61</v>
      </c>
      <c r="AF165" s="22" t="s">
        <v>61</v>
      </c>
      <c r="AG165" s="22" t="s">
        <v>58</v>
      </c>
      <c r="AH165" s="22">
        <v>100.0</v>
      </c>
      <c r="AI165" s="22">
        <v>5000.0</v>
      </c>
      <c r="AJ165" s="22">
        <v>100.0</v>
      </c>
      <c r="AK165" s="22">
        <v>0.0</v>
      </c>
      <c r="AL165" s="22"/>
      <c r="AM165" s="22"/>
      <c r="AN165" s="24" t="s">
        <v>1523</v>
      </c>
      <c r="AO165" s="22"/>
    </row>
    <row r="166" ht="15.75" customHeight="1">
      <c r="A166" s="22">
        <v>158.0</v>
      </c>
      <c r="B166" s="22" t="s">
        <v>1624</v>
      </c>
      <c r="C166" s="22" t="s">
        <v>1625</v>
      </c>
      <c r="D166" s="66" t="s">
        <v>1626</v>
      </c>
      <c r="E166" s="22" t="s">
        <v>49</v>
      </c>
      <c r="F166" s="42" t="s">
        <v>1627</v>
      </c>
      <c r="G166" s="75" t="s">
        <v>1628</v>
      </c>
      <c r="H166" s="22" t="s">
        <v>513</v>
      </c>
      <c r="I166" s="22" t="s">
        <v>514</v>
      </c>
      <c r="J166" s="22" t="s">
        <v>74</v>
      </c>
      <c r="K166" s="22" t="s">
        <v>55</v>
      </c>
      <c r="L166" s="22" t="s">
        <v>56</v>
      </c>
      <c r="M166" s="22" t="s">
        <v>57</v>
      </c>
      <c r="N166" s="22" t="s">
        <v>58</v>
      </c>
      <c r="O166" s="22">
        <v>1200.0</v>
      </c>
      <c r="P166" s="22">
        <v>1400.0</v>
      </c>
      <c r="Q166" s="22" t="s">
        <v>59</v>
      </c>
      <c r="R166" s="22" t="s">
        <v>58</v>
      </c>
      <c r="S166" s="22" t="s">
        <v>58</v>
      </c>
      <c r="T166" s="22"/>
      <c r="U166" s="22"/>
      <c r="V166" s="22" t="s">
        <v>61</v>
      </c>
      <c r="W166" s="22" t="s">
        <v>58</v>
      </c>
      <c r="X166" s="22" t="s">
        <v>58</v>
      </c>
      <c r="Y166" s="22" t="s">
        <v>58</v>
      </c>
      <c r="Z166" s="22" t="s">
        <v>58</v>
      </c>
      <c r="AA166" s="22" t="s">
        <v>58</v>
      </c>
      <c r="AB166" s="22" t="s">
        <v>58</v>
      </c>
      <c r="AC166" s="22" t="s">
        <v>58</v>
      </c>
      <c r="AD166" s="22" t="s">
        <v>58</v>
      </c>
      <c r="AE166" s="22" t="s">
        <v>61</v>
      </c>
      <c r="AF166" s="22" t="s">
        <v>61</v>
      </c>
      <c r="AG166" s="22" t="s">
        <v>58</v>
      </c>
      <c r="AH166" s="22">
        <v>100.0</v>
      </c>
      <c r="AI166" s="22">
        <v>3000.0</v>
      </c>
      <c r="AJ166" s="22">
        <v>100.0</v>
      </c>
      <c r="AK166" s="22">
        <v>0.0</v>
      </c>
      <c r="AL166" s="22"/>
      <c r="AM166" s="22"/>
      <c r="AN166" s="24" t="s">
        <v>1523</v>
      </c>
      <c r="AO166" s="22"/>
    </row>
    <row r="167" ht="15.75" customHeight="1">
      <c r="A167" s="22">
        <v>159.0</v>
      </c>
      <c r="B167" s="22" t="s">
        <v>1629</v>
      </c>
      <c r="C167" s="22" t="s">
        <v>1630</v>
      </c>
      <c r="D167" s="22" t="s">
        <v>1631</v>
      </c>
      <c r="E167" s="22" t="s">
        <v>49</v>
      </c>
      <c r="F167" s="42" t="s">
        <v>1632</v>
      </c>
      <c r="G167" s="75" t="s">
        <v>1633</v>
      </c>
      <c r="H167" s="22" t="s">
        <v>1608</v>
      </c>
      <c r="I167" s="22" t="s">
        <v>1609</v>
      </c>
      <c r="J167" s="22" t="s">
        <v>74</v>
      </c>
      <c r="K167" s="22" t="s">
        <v>55</v>
      </c>
      <c r="L167" s="22" t="s">
        <v>56</v>
      </c>
      <c r="M167" s="22" t="s">
        <v>57</v>
      </c>
      <c r="N167" s="22" t="s">
        <v>58</v>
      </c>
      <c r="O167" s="22">
        <v>1800.0</v>
      </c>
      <c r="P167" s="22">
        <v>2100.0</v>
      </c>
      <c r="Q167" s="22" t="s">
        <v>59</v>
      </c>
      <c r="R167" s="22" t="s">
        <v>58</v>
      </c>
      <c r="S167" s="22" t="s">
        <v>58</v>
      </c>
      <c r="T167" s="24" t="s">
        <v>1634</v>
      </c>
      <c r="U167" s="22"/>
      <c r="V167" s="22" t="s">
        <v>61</v>
      </c>
      <c r="W167" s="22" t="s">
        <v>58</v>
      </c>
      <c r="X167" s="22" t="s">
        <v>58</v>
      </c>
      <c r="Y167" s="22" t="s">
        <v>58</v>
      </c>
      <c r="Z167" s="22" t="s">
        <v>58</v>
      </c>
      <c r="AA167" s="22" t="s">
        <v>58</v>
      </c>
      <c r="AB167" s="22" t="s">
        <v>58</v>
      </c>
      <c r="AC167" s="22" t="s">
        <v>58</v>
      </c>
      <c r="AD167" s="22" t="s">
        <v>58</v>
      </c>
      <c r="AE167" s="22" t="s">
        <v>61</v>
      </c>
      <c r="AF167" s="22" t="s">
        <v>61</v>
      </c>
      <c r="AG167" s="22" t="s">
        <v>58</v>
      </c>
      <c r="AH167" s="22">
        <v>100.0</v>
      </c>
      <c r="AI167" s="22">
        <v>2999.0</v>
      </c>
      <c r="AJ167" s="22">
        <v>100.0</v>
      </c>
      <c r="AK167" s="22">
        <v>0.0</v>
      </c>
      <c r="AL167" s="22"/>
      <c r="AM167" s="22"/>
      <c r="AN167" s="24" t="s">
        <v>1523</v>
      </c>
      <c r="AO167" s="22"/>
    </row>
    <row r="168" ht="15.75" customHeight="1">
      <c r="A168" s="22">
        <v>160.0</v>
      </c>
      <c r="B168" s="22" t="s">
        <v>85</v>
      </c>
      <c r="C168" s="22" t="s">
        <v>86</v>
      </c>
      <c r="D168" s="66" t="s">
        <v>88</v>
      </c>
      <c r="E168" s="22" t="s">
        <v>49</v>
      </c>
      <c r="F168" s="42" t="s">
        <v>1635</v>
      </c>
      <c r="G168" s="71" t="s">
        <v>1636</v>
      </c>
      <c r="H168" s="22" t="s">
        <v>91</v>
      </c>
      <c r="I168" s="22" t="s">
        <v>92</v>
      </c>
      <c r="J168" s="22" t="s">
        <v>92</v>
      </c>
      <c r="K168" s="22" t="s">
        <v>55</v>
      </c>
      <c r="L168" s="22" t="s">
        <v>56</v>
      </c>
      <c r="M168" s="22" t="s">
        <v>57</v>
      </c>
      <c r="N168" s="22" t="s">
        <v>58</v>
      </c>
      <c r="O168" s="22">
        <v>799.0</v>
      </c>
      <c r="P168" s="22">
        <v>1099.0</v>
      </c>
      <c r="Q168" s="22" t="s">
        <v>59</v>
      </c>
      <c r="R168" s="22" t="s">
        <v>58</v>
      </c>
      <c r="S168" s="22" t="s">
        <v>58</v>
      </c>
      <c r="T168" s="22"/>
      <c r="U168" s="22"/>
      <c r="V168" s="22" t="s">
        <v>61</v>
      </c>
      <c r="W168" s="22" t="s">
        <v>58</v>
      </c>
      <c r="X168" s="22" t="s">
        <v>58</v>
      </c>
      <c r="Y168" s="22" t="s">
        <v>58</v>
      </c>
      <c r="Z168" s="22" t="s">
        <v>58</v>
      </c>
      <c r="AA168" s="22" t="s">
        <v>58</v>
      </c>
      <c r="AB168" s="22" t="s">
        <v>58</v>
      </c>
      <c r="AC168" s="22" t="s">
        <v>58</v>
      </c>
      <c r="AD168" s="22" t="s">
        <v>58</v>
      </c>
      <c r="AE168" s="22" t="s">
        <v>61</v>
      </c>
      <c r="AF168" s="22" t="s">
        <v>61</v>
      </c>
      <c r="AG168" s="22" t="s">
        <v>58</v>
      </c>
      <c r="AH168" s="22">
        <v>50.0</v>
      </c>
      <c r="AI168" s="22">
        <v>1500.0</v>
      </c>
      <c r="AJ168" s="22">
        <v>50.0</v>
      </c>
      <c r="AK168" s="22">
        <v>0.0</v>
      </c>
      <c r="AL168" s="22"/>
      <c r="AM168" s="22"/>
      <c r="AN168" s="24" t="s">
        <v>1523</v>
      </c>
      <c r="AO168" s="22"/>
    </row>
    <row r="169" ht="15.75" customHeight="1">
      <c r="A169" s="22">
        <v>161.0</v>
      </c>
      <c r="B169" s="22" t="s">
        <v>523</v>
      </c>
      <c r="C169" s="22" t="s">
        <v>524</v>
      </c>
      <c r="D169" s="22" t="s">
        <v>525</v>
      </c>
      <c r="E169" s="22" t="s">
        <v>49</v>
      </c>
      <c r="F169" s="42" t="s">
        <v>1247</v>
      </c>
      <c r="G169" s="71" t="s">
        <v>1637</v>
      </c>
      <c r="H169" s="22" t="s">
        <v>147</v>
      </c>
      <c r="I169" s="22" t="s">
        <v>148</v>
      </c>
      <c r="J169" s="22" t="s">
        <v>148</v>
      </c>
      <c r="K169" s="22" t="s">
        <v>55</v>
      </c>
      <c r="L169" s="22" t="s">
        <v>56</v>
      </c>
      <c r="M169" s="22" t="s">
        <v>57</v>
      </c>
      <c r="N169" s="22" t="s">
        <v>58</v>
      </c>
      <c r="O169" s="22">
        <v>550.0</v>
      </c>
      <c r="P169" s="22">
        <v>750.0</v>
      </c>
      <c r="Q169" s="22" t="s">
        <v>59</v>
      </c>
      <c r="R169" s="22" t="s">
        <v>58</v>
      </c>
      <c r="S169" s="22" t="s">
        <v>58</v>
      </c>
      <c r="T169" s="22"/>
      <c r="U169" s="22"/>
      <c r="V169" s="22" t="s">
        <v>61</v>
      </c>
      <c r="W169" s="22" t="s">
        <v>58</v>
      </c>
      <c r="X169" s="22" t="s">
        <v>58</v>
      </c>
      <c r="Y169" s="22" t="s">
        <v>58</v>
      </c>
      <c r="Z169" s="22" t="s">
        <v>58</v>
      </c>
      <c r="AA169" s="22" t="s">
        <v>58</v>
      </c>
      <c r="AB169" s="22" t="s">
        <v>58</v>
      </c>
      <c r="AC169" s="22" t="s">
        <v>58</v>
      </c>
      <c r="AD169" s="22" t="s">
        <v>58</v>
      </c>
      <c r="AE169" s="22" t="s">
        <v>61</v>
      </c>
      <c r="AF169" s="22" t="s">
        <v>61</v>
      </c>
      <c r="AG169" s="22" t="s">
        <v>58</v>
      </c>
      <c r="AH169" s="22">
        <v>25.0</v>
      </c>
      <c r="AI169" s="22">
        <v>3000.0</v>
      </c>
      <c r="AJ169" s="22">
        <v>25.0</v>
      </c>
      <c r="AK169" s="22">
        <v>0.0</v>
      </c>
      <c r="AL169" s="22"/>
      <c r="AM169" s="22"/>
      <c r="AN169" s="24" t="s">
        <v>1523</v>
      </c>
      <c r="AO169" s="22"/>
    </row>
    <row r="170" ht="15.75" customHeight="1">
      <c r="A170" s="22">
        <v>162.0</v>
      </c>
      <c r="B170" s="22" t="s">
        <v>494</v>
      </c>
      <c r="C170" s="22" t="s">
        <v>495</v>
      </c>
      <c r="D170" s="66" t="s">
        <v>1638</v>
      </c>
      <c r="E170" s="22" t="s">
        <v>49</v>
      </c>
      <c r="F170" s="42" t="s">
        <v>1639</v>
      </c>
      <c r="G170" s="75" t="s">
        <v>1640</v>
      </c>
      <c r="H170" s="22" t="s">
        <v>497</v>
      </c>
      <c r="I170" s="22" t="s">
        <v>498</v>
      </c>
      <c r="J170" s="22" t="s">
        <v>498</v>
      </c>
      <c r="K170" s="22" t="s">
        <v>55</v>
      </c>
      <c r="L170" s="22" t="s">
        <v>56</v>
      </c>
      <c r="M170" s="22" t="s">
        <v>57</v>
      </c>
      <c r="N170" s="22" t="s">
        <v>58</v>
      </c>
      <c r="O170" s="22">
        <v>1500.0</v>
      </c>
      <c r="P170" s="22">
        <v>1700.0</v>
      </c>
      <c r="Q170" s="22" t="s">
        <v>59</v>
      </c>
      <c r="R170" s="22" t="s">
        <v>58</v>
      </c>
      <c r="S170" s="22" t="s">
        <v>58</v>
      </c>
      <c r="T170" s="22"/>
      <c r="U170" s="22"/>
      <c r="V170" s="22" t="s">
        <v>61</v>
      </c>
      <c r="W170" s="22" t="s">
        <v>58</v>
      </c>
      <c r="X170" s="22" t="s">
        <v>58</v>
      </c>
      <c r="Y170" s="22" t="s">
        <v>58</v>
      </c>
      <c r="Z170" s="22" t="s">
        <v>58</v>
      </c>
      <c r="AA170" s="22" t="s">
        <v>58</v>
      </c>
      <c r="AB170" s="22" t="s">
        <v>58</v>
      </c>
      <c r="AC170" s="22" t="s">
        <v>58</v>
      </c>
      <c r="AD170" s="22" t="s">
        <v>58</v>
      </c>
      <c r="AE170" s="22" t="s">
        <v>61</v>
      </c>
      <c r="AF170" s="22" t="s">
        <v>61</v>
      </c>
      <c r="AG170" s="22" t="s">
        <v>58</v>
      </c>
      <c r="AH170" s="22">
        <v>150.0</v>
      </c>
      <c r="AI170" s="22">
        <v>5000.0</v>
      </c>
      <c r="AJ170" s="22">
        <v>150.0</v>
      </c>
      <c r="AK170" s="22">
        <v>0.0</v>
      </c>
      <c r="AL170" s="22"/>
      <c r="AM170" s="22"/>
      <c r="AN170" s="24" t="s">
        <v>1523</v>
      </c>
      <c r="AO170" s="22"/>
    </row>
    <row r="171" ht="15.75" customHeight="1">
      <c r="A171" s="22">
        <v>163.0</v>
      </c>
      <c r="B171" s="22" t="s">
        <v>1641</v>
      </c>
      <c r="C171" s="22" t="s">
        <v>1642</v>
      </c>
      <c r="D171" s="22" t="s">
        <v>1643</v>
      </c>
      <c r="E171" s="22" t="s">
        <v>49</v>
      </c>
      <c r="F171" s="42" t="s">
        <v>1644</v>
      </c>
      <c r="G171" s="71" t="s">
        <v>1645</v>
      </c>
      <c r="H171" s="22" t="s">
        <v>303</v>
      </c>
      <c r="I171" s="22" t="s">
        <v>303</v>
      </c>
      <c r="J171" s="22" t="s">
        <v>74</v>
      </c>
      <c r="K171" s="22" t="s">
        <v>55</v>
      </c>
      <c r="L171" s="22" t="s">
        <v>56</v>
      </c>
      <c r="M171" s="22" t="s">
        <v>57</v>
      </c>
      <c r="N171" s="22" t="s">
        <v>58</v>
      </c>
      <c r="O171" s="22">
        <v>1400.0</v>
      </c>
      <c r="P171" s="22">
        <v>1500.0</v>
      </c>
      <c r="Q171" s="22" t="s">
        <v>59</v>
      </c>
      <c r="R171" s="22" t="s">
        <v>58</v>
      </c>
      <c r="S171" s="22" t="s">
        <v>58</v>
      </c>
      <c r="T171" s="22" t="s">
        <v>1646</v>
      </c>
      <c r="U171" s="22"/>
      <c r="V171" s="22" t="s">
        <v>61</v>
      </c>
      <c r="W171" s="22" t="s">
        <v>58</v>
      </c>
      <c r="X171" s="22" t="s">
        <v>58</v>
      </c>
      <c r="Y171" s="22" t="s">
        <v>58</v>
      </c>
      <c r="Z171" s="22" t="s">
        <v>58</v>
      </c>
      <c r="AA171" s="22" t="s">
        <v>58</v>
      </c>
      <c r="AB171" s="22" t="s">
        <v>58</v>
      </c>
      <c r="AC171" s="22" t="s">
        <v>58</v>
      </c>
      <c r="AD171" s="22" t="s">
        <v>58</v>
      </c>
      <c r="AE171" s="22" t="s">
        <v>61</v>
      </c>
      <c r="AF171" s="22" t="s">
        <v>61</v>
      </c>
      <c r="AG171" s="22" t="s">
        <v>58</v>
      </c>
      <c r="AH171" s="22">
        <v>20.0</v>
      </c>
      <c r="AI171" s="22">
        <v>150.0</v>
      </c>
      <c r="AJ171" s="22">
        <v>20.0</v>
      </c>
      <c r="AK171" s="22">
        <v>0.0</v>
      </c>
      <c r="AL171" s="22"/>
      <c r="AM171" s="22"/>
      <c r="AN171" s="24" t="s">
        <v>1523</v>
      </c>
      <c r="AO171" s="22"/>
    </row>
    <row r="172" ht="15.75" customHeight="1">
      <c r="A172" s="22">
        <v>164.0</v>
      </c>
      <c r="B172" s="22" t="s">
        <v>1647</v>
      </c>
      <c r="C172" s="22" t="s">
        <v>1648</v>
      </c>
      <c r="D172" s="66" t="s">
        <v>1649</v>
      </c>
      <c r="E172" s="22" t="s">
        <v>49</v>
      </c>
      <c r="F172" s="42" t="s">
        <v>1650</v>
      </c>
      <c r="G172" s="75" t="s">
        <v>1653</v>
      </c>
      <c r="H172" s="22" t="s">
        <v>1367</v>
      </c>
      <c r="I172" s="22" t="s">
        <v>1368</v>
      </c>
      <c r="J172" s="22" t="s">
        <v>74</v>
      </c>
      <c r="K172" s="22" t="s">
        <v>55</v>
      </c>
      <c r="L172" s="22" t="s">
        <v>56</v>
      </c>
      <c r="M172" s="22" t="s">
        <v>57</v>
      </c>
      <c r="N172" s="22" t="s">
        <v>58</v>
      </c>
      <c r="O172" s="22">
        <v>1500.0</v>
      </c>
      <c r="P172" s="22">
        <v>1450.0</v>
      </c>
      <c r="Q172" s="22" t="s">
        <v>59</v>
      </c>
      <c r="R172" s="22" t="s">
        <v>58</v>
      </c>
      <c r="S172" s="22" t="s">
        <v>58</v>
      </c>
      <c r="T172" s="22"/>
      <c r="U172" s="22"/>
      <c r="V172" s="22" t="s">
        <v>61</v>
      </c>
      <c r="W172" s="22" t="s">
        <v>58</v>
      </c>
      <c r="X172" s="22" t="s">
        <v>58</v>
      </c>
      <c r="Y172" s="22" t="s">
        <v>58</v>
      </c>
      <c r="Z172" s="22" t="s">
        <v>58</v>
      </c>
      <c r="AA172" s="22" t="s">
        <v>58</v>
      </c>
      <c r="AB172" s="22" t="s">
        <v>58</v>
      </c>
      <c r="AC172" s="22" t="s">
        <v>58</v>
      </c>
      <c r="AD172" s="22" t="s">
        <v>58</v>
      </c>
      <c r="AE172" s="22" t="s">
        <v>61</v>
      </c>
      <c r="AF172" s="22" t="s">
        <v>61</v>
      </c>
      <c r="AG172" s="22" t="s">
        <v>58</v>
      </c>
      <c r="AH172" s="22">
        <v>50.0</v>
      </c>
      <c r="AI172" s="22">
        <v>15000.0</v>
      </c>
      <c r="AJ172" s="22">
        <v>50.0</v>
      </c>
      <c r="AK172" s="22">
        <v>0.0</v>
      </c>
      <c r="AL172" s="22"/>
      <c r="AM172" s="22"/>
      <c r="AN172" s="24" t="s">
        <v>1523</v>
      </c>
      <c r="AO172" s="22"/>
    </row>
    <row r="173" ht="15.75" customHeight="1">
      <c r="A173" s="22">
        <v>165.0</v>
      </c>
      <c r="B173" s="22" t="s">
        <v>1656</v>
      </c>
      <c r="C173" s="22" t="s">
        <v>1657</v>
      </c>
      <c r="D173" s="66" t="s">
        <v>1658</v>
      </c>
      <c r="E173" s="22" t="s">
        <v>49</v>
      </c>
      <c r="F173" s="42" t="s">
        <v>1659</v>
      </c>
      <c r="G173" s="75" t="s">
        <v>1662</v>
      </c>
      <c r="H173" s="22" t="s">
        <v>303</v>
      </c>
      <c r="I173" s="22" t="s">
        <v>303</v>
      </c>
      <c r="J173" s="22" t="s">
        <v>74</v>
      </c>
      <c r="K173" s="22" t="s">
        <v>55</v>
      </c>
      <c r="L173" s="22" t="s">
        <v>56</v>
      </c>
      <c r="M173" s="22" t="s">
        <v>57</v>
      </c>
      <c r="N173" s="22" t="s">
        <v>58</v>
      </c>
      <c r="O173" s="22">
        <v>600.0</v>
      </c>
      <c r="P173" s="22">
        <v>900.0</v>
      </c>
      <c r="Q173" s="22" t="s">
        <v>59</v>
      </c>
      <c r="R173" s="22" t="s">
        <v>58</v>
      </c>
      <c r="S173" s="22" t="s">
        <v>58</v>
      </c>
      <c r="T173" s="22"/>
      <c r="U173" s="22"/>
      <c r="V173" s="22" t="s">
        <v>61</v>
      </c>
      <c r="W173" s="22" t="s">
        <v>58</v>
      </c>
      <c r="X173" s="22" t="s">
        <v>58</v>
      </c>
      <c r="Y173" s="22" t="s">
        <v>58</v>
      </c>
      <c r="Z173" s="22" t="s">
        <v>58</v>
      </c>
      <c r="AA173" s="22" t="s">
        <v>58</v>
      </c>
      <c r="AB173" s="22" t="s">
        <v>58</v>
      </c>
      <c r="AC173" s="22" t="s">
        <v>58</v>
      </c>
      <c r="AD173" s="22" t="s">
        <v>58</v>
      </c>
      <c r="AE173" s="22" t="s">
        <v>61</v>
      </c>
      <c r="AF173" s="22" t="s">
        <v>61</v>
      </c>
      <c r="AG173" s="22" t="s">
        <v>58</v>
      </c>
      <c r="AH173" s="22">
        <v>100.0</v>
      </c>
      <c r="AI173" s="22">
        <v>50.0</v>
      </c>
      <c r="AJ173" s="22">
        <v>100.0</v>
      </c>
      <c r="AK173" s="22">
        <v>0.0</v>
      </c>
      <c r="AL173" s="22"/>
      <c r="AM173" s="22"/>
      <c r="AN173" s="24" t="s">
        <v>1523</v>
      </c>
      <c r="AO173" s="22"/>
    </row>
    <row r="174" ht="15.75" customHeight="1">
      <c r="A174" s="22">
        <v>166.0</v>
      </c>
      <c r="B174" s="22" t="s">
        <v>1665</v>
      </c>
      <c r="C174" s="22" t="s">
        <v>1666</v>
      </c>
      <c r="D174" s="22" t="s">
        <v>1667</v>
      </c>
      <c r="E174" s="22" t="s">
        <v>49</v>
      </c>
      <c r="F174" s="42" t="s">
        <v>1668</v>
      </c>
      <c r="G174" s="75" t="s">
        <v>1672</v>
      </c>
      <c r="H174" s="22" t="s">
        <v>1336</v>
      </c>
      <c r="I174" s="22" t="s">
        <v>1337</v>
      </c>
      <c r="J174" s="22" t="s">
        <v>74</v>
      </c>
      <c r="K174" s="22" t="s">
        <v>55</v>
      </c>
      <c r="L174" s="22" t="s">
        <v>56</v>
      </c>
      <c r="M174" s="22" t="s">
        <v>57</v>
      </c>
      <c r="N174" s="22" t="s">
        <v>58</v>
      </c>
      <c r="O174" s="22">
        <v>1100.0</v>
      </c>
      <c r="P174" s="22"/>
      <c r="Q174" s="22" t="s">
        <v>59</v>
      </c>
      <c r="R174" s="22" t="s">
        <v>58</v>
      </c>
      <c r="S174" s="22" t="s">
        <v>58</v>
      </c>
      <c r="T174" s="22"/>
      <c r="U174" s="22"/>
      <c r="V174" s="22" t="s">
        <v>61</v>
      </c>
      <c r="W174" s="22" t="s">
        <v>58</v>
      </c>
      <c r="X174" s="22" t="s">
        <v>58</v>
      </c>
      <c r="Y174" s="22" t="s">
        <v>58</v>
      </c>
      <c r="Z174" s="22" t="s">
        <v>58</v>
      </c>
      <c r="AA174" s="22" t="s">
        <v>58</v>
      </c>
      <c r="AB174" s="22" t="s">
        <v>58</v>
      </c>
      <c r="AC174" s="22" t="s">
        <v>58</v>
      </c>
      <c r="AD174" s="22" t="s">
        <v>58</v>
      </c>
      <c r="AE174" s="22" t="s">
        <v>61</v>
      </c>
      <c r="AF174" s="22" t="s">
        <v>61</v>
      </c>
      <c r="AG174" s="22" t="s">
        <v>58</v>
      </c>
      <c r="AH174" s="22">
        <v>500.0</v>
      </c>
      <c r="AI174" s="22">
        <v>10000.0</v>
      </c>
      <c r="AJ174" s="22">
        <v>500.0</v>
      </c>
      <c r="AK174" s="22">
        <v>0.0</v>
      </c>
      <c r="AL174" s="22"/>
      <c r="AM174" s="22"/>
      <c r="AN174" s="24" t="s">
        <v>1523</v>
      </c>
      <c r="AO174" s="22"/>
    </row>
    <row r="175" ht="15.75" customHeight="1">
      <c r="A175" s="22">
        <v>167.0</v>
      </c>
      <c r="B175" s="22" t="s">
        <v>1675</v>
      </c>
      <c r="C175" s="22" t="s">
        <v>1676</v>
      </c>
      <c r="D175" s="22" t="s">
        <v>1678</v>
      </c>
      <c r="E175" s="22" t="s">
        <v>49</v>
      </c>
      <c r="F175" s="42" t="s">
        <v>1679</v>
      </c>
      <c r="G175" s="75" t="s">
        <v>1681</v>
      </c>
      <c r="H175" s="22" t="s">
        <v>1464</v>
      </c>
      <c r="I175" s="22" t="s">
        <v>1465</v>
      </c>
      <c r="J175" s="22" t="s">
        <v>74</v>
      </c>
      <c r="K175" s="22" t="s">
        <v>55</v>
      </c>
      <c r="L175" s="22" t="s">
        <v>56</v>
      </c>
      <c r="M175" s="22" t="s">
        <v>57</v>
      </c>
      <c r="N175" s="22" t="s">
        <v>58</v>
      </c>
      <c r="O175" s="22">
        <v>1200.0</v>
      </c>
      <c r="P175" s="22">
        <v>1600.0</v>
      </c>
      <c r="Q175" s="22" t="s">
        <v>59</v>
      </c>
      <c r="R175" s="22" t="s">
        <v>58</v>
      </c>
      <c r="S175" s="22" t="s">
        <v>58</v>
      </c>
      <c r="T175" s="22"/>
      <c r="U175" s="22"/>
      <c r="V175" s="22" t="s">
        <v>61</v>
      </c>
      <c r="W175" s="22" t="s">
        <v>58</v>
      </c>
      <c r="X175" s="22" t="s">
        <v>58</v>
      </c>
      <c r="Y175" s="22" t="s">
        <v>58</v>
      </c>
      <c r="Z175" s="22" t="s">
        <v>58</v>
      </c>
      <c r="AA175" s="22" t="s">
        <v>58</v>
      </c>
      <c r="AB175" s="22" t="s">
        <v>58</v>
      </c>
      <c r="AC175" s="22" t="s">
        <v>58</v>
      </c>
      <c r="AD175" s="22" t="s">
        <v>58</v>
      </c>
      <c r="AE175" s="22" t="s">
        <v>61</v>
      </c>
      <c r="AF175" s="22" t="s">
        <v>61</v>
      </c>
      <c r="AG175" s="22" t="s">
        <v>58</v>
      </c>
      <c r="AH175" s="22">
        <v>50.0</v>
      </c>
      <c r="AI175" s="22">
        <v>6000.0</v>
      </c>
      <c r="AJ175" s="22">
        <v>50.0</v>
      </c>
      <c r="AK175" s="22">
        <v>0.0</v>
      </c>
      <c r="AL175" s="22"/>
      <c r="AM175" s="22"/>
      <c r="AN175" s="24" t="s">
        <v>1523</v>
      </c>
      <c r="AO175" s="22"/>
    </row>
    <row r="176" ht="15.75" customHeight="1">
      <c r="A176" s="22">
        <v>168.0</v>
      </c>
      <c r="B176" s="22" t="s">
        <v>1683</v>
      </c>
      <c r="C176" s="22" t="s">
        <v>1684</v>
      </c>
      <c r="D176" s="66" t="s">
        <v>835</v>
      </c>
      <c r="E176" s="22" t="s">
        <v>49</v>
      </c>
      <c r="F176" s="24" t="s">
        <v>69</v>
      </c>
      <c r="G176" s="24" t="s">
        <v>69</v>
      </c>
      <c r="H176" s="22" t="s">
        <v>123</v>
      </c>
      <c r="I176" s="22" t="s">
        <v>124</v>
      </c>
      <c r="J176" s="22" t="s">
        <v>74</v>
      </c>
      <c r="K176" s="22" t="s">
        <v>55</v>
      </c>
      <c r="L176" s="22" t="s">
        <v>56</v>
      </c>
      <c r="M176" s="22" t="s">
        <v>57</v>
      </c>
      <c r="N176" s="22" t="s">
        <v>58</v>
      </c>
      <c r="O176" s="22">
        <v>700.0</v>
      </c>
      <c r="P176" s="22">
        <v>900.0</v>
      </c>
      <c r="Q176" s="22" t="s">
        <v>59</v>
      </c>
      <c r="R176" s="22" t="s">
        <v>58</v>
      </c>
      <c r="S176" s="22" t="s">
        <v>58</v>
      </c>
      <c r="T176" s="22"/>
      <c r="U176" s="22"/>
      <c r="V176" s="22" t="s">
        <v>61</v>
      </c>
      <c r="W176" s="22" t="s">
        <v>58</v>
      </c>
      <c r="X176" s="22" t="s">
        <v>58</v>
      </c>
      <c r="Y176" s="22" t="s">
        <v>58</v>
      </c>
      <c r="Z176" s="22" t="s">
        <v>58</v>
      </c>
      <c r="AA176" s="22" t="s">
        <v>58</v>
      </c>
      <c r="AB176" s="22" t="s">
        <v>58</v>
      </c>
      <c r="AC176" s="22" t="s">
        <v>58</v>
      </c>
      <c r="AD176" s="22" t="s">
        <v>58</v>
      </c>
      <c r="AE176" s="22" t="s">
        <v>61</v>
      </c>
      <c r="AF176" s="22" t="s">
        <v>61</v>
      </c>
      <c r="AG176" s="22" t="s">
        <v>58</v>
      </c>
      <c r="AH176" s="22">
        <v>200.0</v>
      </c>
      <c r="AI176" s="22">
        <v>10000.0</v>
      </c>
      <c r="AJ176" s="22">
        <v>200.0</v>
      </c>
      <c r="AK176" s="22">
        <v>0.0</v>
      </c>
      <c r="AL176" s="22"/>
      <c r="AM176" s="22"/>
      <c r="AN176" s="24" t="s">
        <v>1523</v>
      </c>
      <c r="AO176" s="22"/>
    </row>
    <row r="177" ht="30.0" customHeight="1">
      <c r="A177" s="22">
        <v>169.0</v>
      </c>
      <c r="B177" s="22" t="s">
        <v>1689</v>
      </c>
      <c r="C177" s="22" t="s">
        <v>1690</v>
      </c>
      <c r="D177" s="22" t="s">
        <v>1691</v>
      </c>
      <c r="E177" s="22" t="s">
        <v>49</v>
      </c>
      <c r="F177" s="24" t="s">
        <v>69</v>
      </c>
      <c r="G177" s="24" t="s">
        <v>69</v>
      </c>
      <c r="H177" s="22" t="s">
        <v>123</v>
      </c>
      <c r="I177" s="22" t="s">
        <v>124</v>
      </c>
      <c r="J177" s="22" t="s">
        <v>74</v>
      </c>
      <c r="K177" s="22" t="s">
        <v>55</v>
      </c>
      <c r="L177" s="22" t="s">
        <v>56</v>
      </c>
      <c r="M177" s="22" t="s">
        <v>57</v>
      </c>
      <c r="N177" s="22" t="s">
        <v>58</v>
      </c>
      <c r="O177" s="22">
        <v>2500.0</v>
      </c>
      <c r="P177" s="22">
        <v>3000.0</v>
      </c>
      <c r="Q177" s="22" t="s">
        <v>59</v>
      </c>
      <c r="R177" s="22" t="s">
        <v>58</v>
      </c>
      <c r="S177" s="22" t="s">
        <v>61</v>
      </c>
      <c r="T177" s="24" t="s">
        <v>1693</v>
      </c>
      <c r="U177" s="24" t="s">
        <v>1693</v>
      </c>
      <c r="V177" s="22" t="s">
        <v>61</v>
      </c>
      <c r="W177" s="22" t="s">
        <v>58</v>
      </c>
      <c r="X177" s="22" t="s">
        <v>58</v>
      </c>
      <c r="Y177" s="22" t="s">
        <v>58</v>
      </c>
      <c r="Z177" s="22" t="s">
        <v>58</v>
      </c>
      <c r="AA177" s="22" t="s">
        <v>61</v>
      </c>
      <c r="AB177" s="22" t="s">
        <v>58</v>
      </c>
      <c r="AC177" s="22" t="s">
        <v>58</v>
      </c>
      <c r="AD177" s="22" t="s">
        <v>58</v>
      </c>
      <c r="AE177" s="22" t="s">
        <v>61</v>
      </c>
      <c r="AF177" s="22" t="s">
        <v>61</v>
      </c>
      <c r="AG177" s="22" t="s">
        <v>58</v>
      </c>
      <c r="AH177" s="22">
        <v>50.0</v>
      </c>
      <c r="AI177" s="22">
        <v>1000.0</v>
      </c>
      <c r="AJ177" s="22">
        <v>50.0</v>
      </c>
      <c r="AK177" s="22">
        <v>0.0</v>
      </c>
      <c r="AL177" s="22"/>
      <c r="AM177" s="22"/>
      <c r="AN177" s="24" t="s">
        <v>1523</v>
      </c>
      <c r="AO177" s="22"/>
    </row>
    <row r="178" ht="15.75" customHeight="1">
      <c r="A178" s="22"/>
      <c r="B178" s="22"/>
      <c r="C178" s="22"/>
      <c r="D178" s="22"/>
      <c r="E178" s="22"/>
      <c r="F178" s="22"/>
      <c r="G178" s="22"/>
      <c r="H178" s="22"/>
      <c r="I178" s="22"/>
      <c r="J178" s="22"/>
      <c r="K178" s="22"/>
      <c r="L178" s="22"/>
      <c r="M178" s="22"/>
      <c r="N178" s="22"/>
      <c r="O178" s="22"/>
      <c r="P178" s="22"/>
      <c r="Q178" s="22" t="s">
        <v>351</v>
      </c>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4" t="s">
        <v>1523</v>
      </c>
      <c r="AO178" s="22"/>
    </row>
    <row r="179" ht="15.75" customHeight="1">
      <c r="A179" s="22">
        <v>170.0</v>
      </c>
      <c r="B179" s="22" t="s">
        <v>1696</v>
      </c>
      <c r="C179" s="22" t="s">
        <v>1697</v>
      </c>
      <c r="D179" s="22" t="s">
        <v>1698</v>
      </c>
      <c r="E179" s="22" t="s">
        <v>49</v>
      </c>
      <c r="F179" s="42" t="s">
        <v>1699</v>
      </c>
      <c r="G179" s="82">
        <v>9.810098712E9</v>
      </c>
      <c r="H179" s="22" t="s">
        <v>303</v>
      </c>
      <c r="I179" s="22" t="s">
        <v>303</v>
      </c>
      <c r="J179" s="22" t="s">
        <v>74</v>
      </c>
      <c r="K179" s="22" t="s">
        <v>55</v>
      </c>
      <c r="L179" s="22" t="s">
        <v>56</v>
      </c>
      <c r="M179" s="22" t="s">
        <v>57</v>
      </c>
      <c r="N179" s="22" t="s">
        <v>58</v>
      </c>
      <c r="O179" s="22">
        <v>850.0</v>
      </c>
      <c r="P179" s="22"/>
      <c r="Q179" s="22" t="s">
        <v>59</v>
      </c>
      <c r="R179" s="22" t="s">
        <v>58</v>
      </c>
      <c r="S179" s="22" t="s">
        <v>58</v>
      </c>
      <c r="T179" s="22" t="s">
        <v>856</v>
      </c>
      <c r="U179" s="22"/>
      <c r="V179" s="22" t="s">
        <v>61</v>
      </c>
      <c r="W179" s="22" t="s">
        <v>58</v>
      </c>
      <c r="X179" s="22" t="s">
        <v>58</v>
      </c>
      <c r="Y179" s="22" t="s">
        <v>58</v>
      </c>
      <c r="Z179" s="22" t="s">
        <v>58</v>
      </c>
      <c r="AA179" s="22" t="s">
        <v>58</v>
      </c>
      <c r="AB179" s="22" t="s">
        <v>58</v>
      </c>
      <c r="AC179" s="22" t="s">
        <v>58</v>
      </c>
      <c r="AD179" s="22" t="s">
        <v>58</v>
      </c>
      <c r="AE179" s="22" t="s">
        <v>61</v>
      </c>
      <c r="AF179" s="22" t="s">
        <v>61</v>
      </c>
      <c r="AG179" s="22" t="s">
        <v>58</v>
      </c>
      <c r="AH179" s="22">
        <v>10.0</v>
      </c>
      <c r="AI179" s="22">
        <v>40000.0</v>
      </c>
      <c r="AJ179" s="22">
        <v>10.0</v>
      </c>
      <c r="AK179" s="22">
        <v>0.0</v>
      </c>
      <c r="AL179" s="22"/>
      <c r="AM179" s="22"/>
      <c r="AN179" s="24" t="s">
        <v>1523</v>
      </c>
      <c r="AO179" s="22"/>
    </row>
    <row r="180" ht="15.75" customHeight="1">
      <c r="A180" s="22">
        <v>171.0</v>
      </c>
      <c r="B180" s="22" t="s">
        <v>681</v>
      </c>
      <c r="C180" s="22" t="s">
        <v>682</v>
      </c>
      <c r="D180" s="22" t="s">
        <v>684</v>
      </c>
      <c r="E180" s="22" t="s">
        <v>49</v>
      </c>
      <c r="F180" s="42" t="s">
        <v>1711</v>
      </c>
      <c r="G180" s="71" t="s">
        <v>1712</v>
      </c>
      <c r="H180" s="22" t="s">
        <v>599</v>
      </c>
      <c r="I180" s="22" t="s">
        <v>601</v>
      </c>
      <c r="J180" s="22" t="s">
        <v>601</v>
      </c>
      <c r="K180" s="22" t="s">
        <v>55</v>
      </c>
      <c r="L180" s="22" t="s">
        <v>56</v>
      </c>
      <c r="M180" s="22" t="s">
        <v>57</v>
      </c>
      <c r="N180" s="22" t="s">
        <v>58</v>
      </c>
      <c r="O180" s="22">
        <v>800.0</v>
      </c>
      <c r="P180" s="22">
        <v>1000.0</v>
      </c>
      <c r="Q180" s="22" t="s">
        <v>59</v>
      </c>
      <c r="R180" s="22" t="s">
        <v>58</v>
      </c>
      <c r="S180" s="22" t="s">
        <v>58</v>
      </c>
      <c r="T180" s="22" t="s">
        <v>127</v>
      </c>
      <c r="U180" s="22"/>
      <c r="V180" s="22" t="s">
        <v>61</v>
      </c>
      <c r="W180" s="22" t="s">
        <v>58</v>
      </c>
      <c r="X180" s="22" t="s">
        <v>58</v>
      </c>
      <c r="Y180" s="22" t="s">
        <v>58</v>
      </c>
      <c r="Z180" s="22" t="s">
        <v>58</v>
      </c>
      <c r="AA180" s="22" t="s">
        <v>58</v>
      </c>
      <c r="AB180" s="22" t="s">
        <v>58</v>
      </c>
      <c r="AC180" s="22" t="s">
        <v>58</v>
      </c>
      <c r="AD180" s="22" t="s">
        <v>58</v>
      </c>
      <c r="AE180" s="22" t="s">
        <v>61</v>
      </c>
      <c r="AF180" s="22" t="s">
        <v>61</v>
      </c>
      <c r="AG180" s="22" t="s">
        <v>58</v>
      </c>
      <c r="AH180" s="22">
        <v>20.0</v>
      </c>
      <c r="AI180" s="22">
        <v>21000.0</v>
      </c>
      <c r="AJ180" s="22">
        <v>20.0</v>
      </c>
      <c r="AK180" s="22">
        <v>0.0</v>
      </c>
      <c r="AL180" s="22"/>
      <c r="AM180" s="22"/>
      <c r="AN180" s="24" t="s">
        <v>1523</v>
      </c>
      <c r="AO180" s="22"/>
    </row>
    <row r="181" ht="15.75" customHeight="1">
      <c r="A181" s="22">
        <v>172.0</v>
      </c>
      <c r="B181" s="22" t="s">
        <v>779</v>
      </c>
      <c r="C181" s="22" t="s">
        <v>780</v>
      </c>
      <c r="D181" s="22" t="s">
        <v>781</v>
      </c>
      <c r="E181" s="22" t="s">
        <v>49</v>
      </c>
      <c r="F181" s="42" t="s">
        <v>1716</v>
      </c>
      <c r="G181" s="82">
        <v>9.560288633E9</v>
      </c>
      <c r="H181" s="22" t="s">
        <v>784</v>
      </c>
      <c r="I181" s="22" t="s">
        <v>785</v>
      </c>
      <c r="J181" s="22" t="s">
        <v>785</v>
      </c>
      <c r="K181" s="22" t="s">
        <v>55</v>
      </c>
      <c r="L181" s="22" t="s">
        <v>56</v>
      </c>
      <c r="M181" s="22" t="s">
        <v>57</v>
      </c>
      <c r="N181" s="22" t="s">
        <v>58</v>
      </c>
      <c r="O181" s="22">
        <v>2500.0</v>
      </c>
      <c r="P181" s="22">
        <v>3000.0</v>
      </c>
      <c r="Q181" s="22" t="s">
        <v>59</v>
      </c>
      <c r="R181" s="22" t="s">
        <v>58</v>
      </c>
      <c r="S181" s="22" t="s">
        <v>58</v>
      </c>
      <c r="T181" s="24" t="s">
        <v>1719</v>
      </c>
      <c r="U181" s="22"/>
      <c r="V181" s="22" t="s">
        <v>61</v>
      </c>
      <c r="W181" s="22" t="s">
        <v>58</v>
      </c>
      <c r="X181" s="22" t="s">
        <v>58</v>
      </c>
      <c r="Y181" s="22" t="s">
        <v>58</v>
      </c>
      <c r="Z181" s="22" t="s">
        <v>58</v>
      </c>
      <c r="AA181" s="22" t="s">
        <v>58</v>
      </c>
      <c r="AB181" s="22" t="s">
        <v>58</v>
      </c>
      <c r="AC181" s="22" t="s">
        <v>58</v>
      </c>
      <c r="AD181" s="22" t="s">
        <v>58</v>
      </c>
      <c r="AE181" s="22" t="s">
        <v>61</v>
      </c>
      <c r="AF181" s="22" t="s">
        <v>61</v>
      </c>
      <c r="AG181" s="22" t="s">
        <v>58</v>
      </c>
      <c r="AH181" s="22">
        <v>20.0</v>
      </c>
      <c r="AI181" s="22">
        <v>250.0</v>
      </c>
      <c r="AJ181" s="22">
        <v>20.0</v>
      </c>
      <c r="AK181" s="22">
        <v>0.0</v>
      </c>
      <c r="AL181" s="22"/>
      <c r="AM181" s="22"/>
      <c r="AN181" s="24" t="s">
        <v>1523</v>
      </c>
      <c r="AO181" s="22"/>
    </row>
    <row r="182" ht="15.75" customHeight="1">
      <c r="A182" s="15">
        <v>173.0</v>
      </c>
      <c r="B182" s="15" t="s">
        <v>1721</v>
      </c>
      <c r="C182" s="15" t="s">
        <v>1722</v>
      </c>
      <c r="D182" s="48" t="s">
        <v>1723</v>
      </c>
      <c r="E182" s="15" t="s">
        <v>49</v>
      </c>
      <c r="F182" s="49" t="s">
        <v>1725</v>
      </c>
      <c r="G182" s="15" t="s">
        <v>1726</v>
      </c>
      <c r="H182" s="15" t="s">
        <v>389</v>
      </c>
      <c r="I182" s="15" t="s">
        <v>390</v>
      </c>
      <c r="J182" s="15" t="s">
        <v>390</v>
      </c>
      <c r="K182" s="15" t="s">
        <v>55</v>
      </c>
      <c r="L182" s="15" t="s">
        <v>56</v>
      </c>
      <c r="M182" s="15" t="s">
        <v>57</v>
      </c>
      <c r="N182" s="15" t="s">
        <v>58</v>
      </c>
      <c r="O182" s="15">
        <v>600.0</v>
      </c>
      <c r="P182" s="15"/>
      <c r="Q182" s="15" t="s">
        <v>59</v>
      </c>
      <c r="R182" s="15" t="s">
        <v>58</v>
      </c>
      <c r="S182" s="15" t="s">
        <v>58</v>
      </c>
      <c r="T182" s="15"/>
      <c r="U182" s="15"/>
      <c r="V182" s="15" t="s">
        <v>61</v>
      </c>
      <c r="W182" s="15" t="s">
        <v>58</v>
      </c>
      <c r="X182" s="15" t="s">
        <v>58</v>
      </c>
      <c r="Y182" s="15" t="s">
        <v>58</v>
      </c>
      <c r="Z182" s="15" t="s">
        <v>58</v>
      </c>
      <c r="AA182" s="15" t="s">
        <v>58</v>
      </c>
      <c r="AB182" s="15" t="s">
        <v>58</v>
      </c>
      <c r="AC182" s="15" t="s">
        <v>58</v>
      </c>
      <c r="AD182" s="15" t="s">
        <v>58</v>
      </c>
      <c r="AE182" s="15" t="s">
        <v>61</v>
      </c>
      <c r="AF182" s="15" t="s">
        <v>61</v>
      </c>
      <c r="AG182" s="15" t="s">
        <v>58</v>
      </c>
      <c r="AH182" s="15">
        <v>100.0</v>
      </c>
      <c r="AI182" s="15">
        <v>2000.0</v>
      </c>
      <c r="AJ182" s="15">
        <v>100.0</v>
      </c>
      <c r="AK182" s="15">
        <v>0.0</v>
      </c>
      <c r="AL182" s="15"/>
      <c r="AM182" s="15"/>
      <c r="AN182" s="16" t="s">
        <v>757</v>
      </c>
      <c r="AO182" s="21">
        <v>2.0</v>
      </c>
    </row>
    <row r="183" ht="32.25" customHeight="1">
      <c r="A183" s="22">
        <v>174.0</v>
      </c>
      <c r="B183" s="22" t="s">
        <v>1732</v>
      </c>
      <c r="C183" s="22" t="s">
        <v>1733</v>
      </c>
      <c r="D183" s="22" t="s">
        <v>1734</v>
      </c>
      <c r="E183" s="22" t="s">
        <v>49</v>
      </c>
      <c r="F183" s="42" t="s">
        <v>1735</v>
      </c>
      <c r="G183" s="75" t="s">
        <v>1737</v>
      </c>
      <c r="H183" s="22" t="s">
        <v>513</v>
      </c>
      <c r="I183" s="22" t="s">
        <v>514</v>
      </c>
      <c r="J183" s="22" t="s">
        <v>74</v>
      </c>
      <c r="K183" s="22" t="s">
        <v>55</v>
      </c>
      <c r="L183" s="22" t="s">
        <v>56</v>
      </c>
      <c r="M183" s="22" t="s">
        <v>57</v>
      </c>
      <c r="N183" s="22" t="s">
        <v>58</v>
      </c>
      <c r="O183" s="22">
        <v>900.0</v>
      </c>
      <c r="P183" s="22">
        <v>1350.0</v>
      </c>
      <c r="Q183" s="22" t="s">
        <v>59</v>
      </c>
      <c r="R183" s="22" t="s">
        <v>58</v>
      </c>
      <c r="S183" s="22" t="s">
        <v>58</v>
      </c>
      <c r="T183" s="24" t="s">
        <v>1739</v>
      </c>
      <c r="U183" s="22"/>
      <c r="V183" s="22" t="s">
        <v>61</v>
      </c>
      <c r="W183" s="22" t="s">
        <v>58</v>
      </c>
      <c r="X183" s="22" t="s">
        <v>58</v>
      </c>
      <c r="Y183" s="22" t="s">
        <v>58</v>
      </c>
      <c r="Z183" s="22" t="s">
        <v>58</v>
      </c>
      <c r="AA183" s="22" t="s">
        <v>58</v>
      </c>
      <c r="AB183" s="22" t="s">
        <v>58</v>
      </c>
      <c r="AC183" s="22" t="s">
        <v>58</v>
      </c>
      <c r="AD183" s="22" t="s">
        <v>58</v>
      </c>
      <c r="AE183" s="22" t="s">
        <v>61</v>
      </c>
      <c r="AF183" s="22" t="s">
        <v>61</v>
      </c>
      <c r="AG183" s="22" t="s">
        <v>58</v>
      </c>
      <c r="AH183" s="22">
        <v>200.0</v>
      </c>
      <c r="AI183" s="22">
        <v>5000.0</v>
      </c>
      <c r="AJ183" s="22">
        <v>200.0</v>
      </c>
      <c r="AK183" s="22">
        <v>0.0</v>
      </c>
      <c r="AL183" s="22"/>
      <c r="AM183" s="22"/>
      <c r="AN183" s="24" t="s">
        <v>1523</v>
      </c>
      <c r="AO183" s="22"/>
    </row>
    <row r="184" ht="15.75" customHeight="1">
      <c r="A184" s="22">
        <v>175.0</v>
      </c>
      <c r="B184" s="22" t="s">
        <v>1741</v>
      </c>
      <c r="C184" s="22" t="s">
        <v>1742</v>
      </c>
      <c r="D184" s="66" t="s">
        <v>1743</v>
      </c>
      <c r="E184" s="22" t="s">
        <v>49</v>
      </c>
      <c r="F184" s="42" t="s">
        <v>1744</v>
      </c>
      <c r="G184" s="75" t="s">
        <v>1746</v>
      </c>
      <c r="H184" s="22" t="s">
        <v>513</v>
      </c>
      <c r="I184" s="22" t="s">
        <v>514</v>
      </c>
      <c r="J184" s="22" t="s">
        <v>74</v>
      </c>
      <c r="K184" s="22" t="s">
        <v>55</v>
      </c>
      <c r="L184" s="22" t="s">
        <v>56</v>
      </c>
      <c r="M184" s="22" t="s">
        <v>57</v>
      </c>
      <c r="N184" s="22" t="s">
        <v>58</v>
      </c>
      <c r="O184" s="22">
        <v>1200.0</v>
      </c>
      <c r="P184" s="22">
        <v>1800.0</v>
      </c>
      <c r="Q184" s="22" t="s">
        <v>59</v>
      </c>
      <c r="R184" s="22" t="s">
        <v>58</v>
      </c>
      <c r="S184" s="22" t="s">
        <v>58</v>
      </c>
      <c r="T184" s="22"/>
      <c r="U184" s="22"/>
      <c r="V184" s="22" t="s">
        <v>61</v>
      </c>
      <c r="W184" s="22" t="s">
        <v>58</v>
      </c>
      <c r="X184" s="22" t="s">
        <v>58</v>
      </c>
      <c r="Y184" s="22" t="s">
        <v>58</v>
      </c>
      <c r="Z184" s="22" t="s">
        <v>58</v>
      </c>
      <c r="AA184" s="22" t="s">
        <v>58</v>
      </c>
      <c r="AB184" s="22" t="s">
        <v>58</v>
      </c>
      <c r="AC184" s="22" t="s">
        <v>58</v>
      </c>
      <c r="AD184" s="22" t="s">
        <v>58</v>
      </c>
      <c r="AE184" s="22" t="s">
        <v>61</v>
      </c>
      <c r="AF184" s="22" t="s">
        <v>61</v>
      </c>
      <c r="AG184" s="22" t="s">
        <v>58</v>
      </c>
      <c r="AH184" s="22">
        <v>250.0</v>
      </c>
      <c r="AI184" s="22">
        <v>3000.0</v>
      </c>
      <c r="AJ184" s="22">
        <v>250.0</v>
      </c>
      <c r="AK184" s="22">
        <v>0.0</v>
      </c>
      <c r="AL184" s="22"/>
      <c r="AM184" s="22"/>
      <c r="AN184" s="24" t="s">
        <v>1523</v>
      </c>
      <c r="AO184" s="22"/>
    </row>
    <row r="185" ht="15.75" customHeight="1">
      <c r="A185" s="22">
        <v>176.0</v>
      </c>
      <c r="B185" s="22" t="s">
        <v>1748</v>
      </c>
      <c r="C185" s="22" t="s">
        <v>1749</v>
      </c>
      <c r="D185" s="66" t="s">
        <v>1750</v>
      </c>
      <c r="E185" s="22" t="s">
        <v>49</v>
      </c>
      <c r="F185" s="42" t="s">
        <v>1751</v>
      </c>
      <c r="G185" s="75" t="s">
        <v>1752</v>
      </c>
      <c r="H185" s="22" t="s">
        <v>303</v>
      </c>
      <c r="I185" s="22" t="s">
        <v>303</v>
      </c>
      <c r="J185" s="22" t="s">
        <v>74</v>
      </c>
      <c r="K185" s="22" t="s">
        <v>55</v>
      </c>
      <c r="L185" s="22" t="s">
        <v>56</v>
      </c>
      <c r="M185" s="22" t="s">
        <v>57</v>
      </c>
      <c r="N185" s="22" t="s">
        <v>58</v>
      </c>
      <c r="O185" s="22">
        <v>1250.0</v>
      </c>
      <c r="P185" s="22">
        <v>1500.0</v>
      </c>
      <c r="Q185" s="22" t="s">
        <v>59</v>
      </c>
      <c r="R185" s="22" t="s">
        <v>58</v>
      </c>
      <c r="S185" s="22" t="s">
        <v>58</v>
      </c>
      <c r="T185" s="22"/>
      <c r="U185" s="22"/>
      <c r="V185" s="22" t="s">
        <v>61</v>
      </c>
      <c r="W185" s="22" t="s">
        <v>58</v>
      </c>
      <c r="X185" s="22" t="s">
        <v>58</v>
      </c>
      <c r="Y185" s="22" t="s">
        <v>58</v>
      </c>
      <c r="Z185" s="22" t="s">
        <v>58</v>
      </c>
      <c r="AA185" s="22" t="s">
        <v>58</v>
      </c>
      <c r="AB185" s="22" t="s">
        <v>58</v>
      </c>
      <c r="AC185" s="22" t="s">
        <v>58</v>
      </c>
      <c r="AD185" s="22" t="s">
        <v>58</v>
      </c>
      <c r="AE185" s="22" t="s">
        <v>61</v>
      </c>
      <c r="AF185" s="22" t="s">
        <v>61</v>
      </c>
      <c r="AG185" s="22" t="s">
        <v>58</v>
      </c>
      <c r="AH185" s="22">
        <v>20.0</v>
      </c>
      <c r="AI185" s="22">
        <v>5000.0</v>
      </c>
      <c r="AJ185" s="22">
        <v>20.0</v>
      </c>
      <c r="AK185" s="22">
        <v>0.0</v>
      </c>
      <c r="AL185" s="22"/>
      <c r="AM185" s="22"/>
      <c r="AN185" s="22"/>
      <c r="AO185" s="22"/>
    </row>
    <row r="186" ht="15.75" customHeight="1">
      <c r="A186" s="22">
        <v>177.0</v>
      </c>
      <c r="B186" s="22" t="s">
        <v>507</v>
      </c>
      <c r="C186" s="22" t="s">
        <v>509</v>
      </c>
      <c r="D186" s="66" t="s">
        <v>1757</v>
      </c>
      <c r="E186" s="22" t="s">
        <v>49</v>
      </c>
      <c r="F186" s="42" t="s">
        <v>1758</v>
      </c>
      <c r="G186" s="75" t="s">
        <v>1759</v>
      </c>
      <c r="H186" s="22" t="s">
        <v>53</v>
      </c>
      <c r="I186" s="22" t="s">
        <v>54</v>
      </c>
      <c r="J186" s="22" t="s">
        <v>54</v>
      </c>
      <c r="K186" s="22" t="s">
        <v>55</v>
      </c>
      <c r="L186" s="22" t="s">
        <v>56</v>
      </c>
      <c r="M186" s="22" t="s">
        <v>57</v>
      </c>
      <c r="N186" s="22" t="s">
        <v>58</v>
      </c>
      <c r="O186" s="22">
        <v>1500.0</v>
      </c>
      <c r="P186" s="22">
        <v>2000.0</v>
      </c>
      <c r="Q186" s="22" t="s">
        <v>59</v>
      </c>
      <c r="R186" s="22" t="s">
        <v>58</v>
      </c>
      <c r="S186" s="22" t="s">
        <v>58</v>
      </c>
      <c r="T186" s="22"/>
      <c r="U186" s="22"/>
      <c r="V186" s="22" t="s">
        <v>61</v>
      </c>
      <c r="W186" s="22" t="s">
        <v>58</v>
      </c>
      <c r="X186" s="22" t="s">
        <v>58</v>
      </c>
      <c r="Y186" s="22" t="s">
        <v>58</v>
      </c>
      <c r="Z186" s="22" t="s">
        <v>58</v>
      </c>
      <c r="AA186" s="22" t="s">
        <v>58</v>
      </c>
      <c r="AB186" s="22" t="s">
        <v>58</v>
      </c>
      <c r="AC186" s="22" t="s">
        <v>58</v>
      </c>
      <c r="AD186" s="22" t="s">
        <v>58</v>
      </c>
      <c r="AE186" s="22" t="s">
        <v>61</v>
      </c>
      <c r="AF186" s="22" t="s">
        <v>61</v>
      </c>
      <c r="AG186" s="22" t="s">
        <v>58</v>
      </c>
      <c r="AH186" s="22">
        <v>20.0</v>
      </c>
      <c r="AI186" s="22">
        <v>3500.0</v>
      </c>
      <c r="AJ186" s="22">
        <v>20.0</v>
      </c>
      <c r="AK186" s="22">
        <v>0.0</v>
      </c>
      <c r="AL186" s="22"/>
      <c r="AM186" s="22"/>
      <c r="AN186" s="22"/>
      <c r="AO186" s="22"/>
    </row>
    <row r="187" ht="15.75" customHeight="1">
      <c r="A187" s="22">
        <v>178.0</v>
      </c>
      <c r="B187" s="22" t="s">
        <v>1763</v>
      </c>
      <c r="C187" s="22" t="s">
        <v>1764</v>
      </c>
      <c r="D187" s="22" t="s">
        <v>1765</v>
      </c>
      <c r="E187" s="22" t="s">
        <v>49</v>
      </c>
      <c r="F187" s="42" t="s">
        <v>1766</v>
      </c>
      <c r="G187" s="75" t="s">
        <v>1767</v>
      </c>
      <c r="H187" s="22" t="s">
        <v>203</v>
      </c>
      <c r="I187" s="22" t="s">
        <v>204</v>
      </c>
      <c r="J187" s="22" t="s">
        <v>74</v>
      </c>
      <c r="K187" s="22" t="s">
        <v>55</v>
      </c>
      <c r="L187" s="22" t="s">
        <v>56</v>
      </c>
      <c r="M187" s="22" t="s">
        <v>57</v>
      </c>
      <c r="N187" s="22" t="s">
        <v>58</v>
      </c>
      <c r="O187" s="22">
        <v>3700.0</v>
      </c>
      <c r="P187" s="22">
        <v>4200.0</v>
      </c>
      <c r="Q187" s="22" t="s">
        <v>59</v>
      </c>
      <c r="R187" s="22" t="s">
        <v>58</v>
      </c>
      <c r="S187" s="22" t="s">
        <v>58</v>
      </c>
      <c r="T187" s="24" t="s">
        <v>1769</v>
      </c>
      <c r="U187" s="22"/>
      <c r="V187" s="22" t="s">
        <v>61</v>
      </c>
      <c r="W187" s="22" t="s">
        <v>58</v>
      </c>
      <c r="X187" s="22" t="s">
        <v>58</v>
      </c>
      <c r="Y187" s="22" t="s">
        <v>58</v>
      </c>
      <c r="Z187" s="22" t="s">
        <v>58</v>
      </c>
      <c r="AA187" s="22" t="s">
        <v>58</v>
      </c>
      <c r="AB187" s="22" t="s">
        <v>58</v>
      </c>
      <c r="AC187" s="22" t="s">
        <v>58</v>
      </c>
      <c r="AD187" s="22" t="s">
        <v>58</v>
      </c>
      <c r="AE187" s="22" t="s">
        <v>61</v>
      </c>
      <c r="AF187" s="22" t="s">
        <v>61</v>
      </c>
      <c r="AG187" s="22" t="s">
        <v>58</v>
      </c>
      <c r="AH187" s="22">
        <v>50.0</v>
      </c>
      <c r="AI187" s="22">
        <v>50000.0</v>
      </c>
      <c r="AJ187" s="22">
        <v>50.0</v>
      </c>
      <c r="AK187" s="22">
        <v>0.0</v>
      </c>
      <c r="AL187" s="22"/>
      <c r="AM187" s="22"/>
      <c r="AN187" s="22"/>
      <c r="AO187" s="22"/>
    </row>
    <row r="188" ht="15.75" customHeight="1">
      <c r="A188" s="22">
        <v>180.0</v>
      </c>
      <c r="B188" s="22" t="s">
        <v>1771</v>
      </c>
      <c r="C188" s="22" t="s">
        <v>1772</v>
      </c>
      <c r="D188" s="22" t="s">
        <v>1774</v>
      </c>
      <c r="E188" s="22" t="s">
        <v>49</v>
      </c>
      <c r="F188" s="42" t="s">
        <v>1775</v>
      </c>
      <c r="G188" s="75" t="s">
        <v>1776</v>
      </c>
      <c r="H188" s="22" t="s">
        <v>123</v>
      </c>
      <c r="I188" s="22" t="s">
        <v>124</v>
      </c>
      <c r="J188" s="22" t="s">
        <v>74</v>
      </c>
      <c r="K188" s="22" t="s">
        <v>55</v>
      </c>
      <c r="L188" s="22" t="s">
        <v>56</v>
      </c>
      <c r="M188" s="22" t="s">
        <v>57</v>
      </c>
      <c r="N188" s="22" t="s">
        <v>58</v>
      </c>
      <c r="O188" s="22">
        <v>1800.0</v>
      </c>
      <c r="P188" s="22">
        <v>2200.0</v>
      </c>
      <c r="Q188" s="22" t="s">
        <v>59</v>
      </c>
      <c r="R188" s="22" t="s">
        <v>58</v>
      </c>
      <c r="S188" s="22" t="s">
        <v>58</v>
      </c>
      <c r="T188" s="22" t="s">
        <v>1778</v>
      </c>
      <c r="U188" s="22"/>
      <c r="V188" s="22" t="s">
        <v>61</v>
      </c>
      <c r="W188" s="22" t="s">
        <v>58</v>
      </c>
      <c r="X188" s="22" t="s">
        <v>58</v>
      </c>
      <c r="Y188" s="22" t="s">
        <v>58</v>
      </c>
      <c r="Z188" s="22" t="s">
        <v>58</v>
      </c>
      <c r="AA188" s="22" t="s">
        <v>58</v>
      </c>
      <c r="AB188" s="22" t="s">
        <v>58</v>
      </c>
      <c r="AC188" s="22" t="s">
        <v>58</v>
      </c>
      <c r="AD188" s="22" t="s">
        <v>58</v>
      </c>
      <c r="AE188" s="22" t="s">
        <v>61</v>
      </c>
      <c r="AF188" s="22" t="s">
        <v>61</v>
      </c>
      <c r="AG188" s="22" t="s">
        <v>58</v>
      </c>
      <c r="AH188" s="22">
        <v>100.0</v>
      </c>
      <c r="AI188" s="22">
        <v>1500.0</v>
      </c>
      <c r="AJ188" s="22">
        <v>100.0</v>
      </c>
      <c r="AK188" s="22">
        <v>0.0</v>
      </c>
      <c r="AL188" s="22"/>
      <c r="AM188" s="22"/>
      <c r="AN188" s="22"/>
      <c r="AO188" s="22"/>
    </row>
    <row r="189" ht="15.75" customHeight="1">
      <c r="A189" s="22">
        <v>181.0</v>
      </c>
      <c r="B189" s="22" t="s">
        <v>530</v>
      </c>
      <c r="C189" s="22" t="s">
        <v>531</v>
      </c>
      <c r="D189" s="66" t="s">
        <v>1779</v>
      </c>
      <c r="E189" s="22" t="s">
        <v>49</v>
      </c>
      <c r="F189" s="42" t="s">
        <v>1780</v>
      </c>
      <c r="G189" s="75" t="s">
        <v>1781</v>
      </c>
      <c r="H189" s="22" t="s">
        <v>540</v>
      </c>
      <c r="I189" s="22" t="s">
        <v>541</v>
      </c>
      <c r="J189" s="22" t="s">
        <v>541</v>
      </c>
      <c r="K189" s="22" t="s">
        <v>55</v>
      </c>
      <c r="L189" s="22" t="s">
        <v>56</v>
      </c>
      <c r="M189" s="22" t="s">
        <v>57</v>
      </c>
      <c r="N189" s="22" t="s">
        <v>58</v>
      </c>
      <c r="O189" s="22">
        <v>899.0</v>
      </c>
      <c r="P189" s="22">
        <v>999.0</v>
      </c>
      <c r="Q189" s="22" t="s">
        <v>59</v>
      </c>
      <c r="R189" s="22" t="s">
        <v>58</v>
      </c>
      <c r="S189" s="22" t="s">
        <v>58</v>
      </c>
      <c r="T189" s="22"/>
      <c r="U189" s="22"/>
      <c r="V189" s="22" t="s">
        <v>61</v>
      </c>
      <c r="W189" s="22" t="s">
        <v>58</v>
      </c>
      <c r="X189" s="22" t="s">
        <v>58</v>
      </c>
      <c r="Y189" s="22" t="s">
        <v>58</v>
      </c>
      <c r="Z189" s="22" t="s">
        <v>58</v>
      </c>
      <c r="AA189" s="22" t="s">
        <v>58</v>
      </c>
      <c r="AB189" s="22" t="s">
        <v>58</v>
      </c>
      <c r="AC189" s="22" t="s">
        <v>58</v>
      </c>
      <c r="AD189" s="22" t="s">
        <v>58</v>
      </c>
      <c r="AE189" s="22" t="s">
        <v>61</v>
      </c>
      <c r="AF189" s="22" t="s">
        <v>61</v>
      </c>
      <c r="AG189" s="22" t="s">
        <v>58</v>
      </c>
      <c r="AH189" s="22">
        <v>10.0</v>
      </c>
      <c r="AI189" s="22">
        <v>10000.0</v>
      </c>
      <c r="AJ189" s="22">
        <v>10.0</v>
      </c>
      <c r="AK189" s="22">
        <v>0.0</v>
      </c>
      <c r="AL189" s="22"/>
      <c r="AM189" s="22"/>
      <c r="AN189" s="22"/>
      <c r="AO189" s="22"/>
    </row>
    <row r="190" ht="30.75" customHeight="1">
      <c r="A190" s="22">
        <v>182.0</v>
      </c>
      <c r="B190" s="22" t="s">
        <v>1784</v>
      </c>
      <c r="C190" s="22" t="s">
        <v>1785</v>
      </c>
      <c r="D190" s="22" t="s">
        <v>1786</v>
      </c>
      <c r="E190" s="22" t="s">
        <v>49</v>
      </c>
      <c r="F190" s="24" t="s">
        <v>69</v>
      </c>
      <c r="G190" s="24" t="s">
        <v>69</v>
      </c>
      <c r="H190" s="22" t="s">
        <v>142</v>
      </c>
      <c r="I190" s="22" t="s">
        <v>144</v>
      </c>
      <c r="J190" s="22" t="s">
        <v>74</v>
      </c>
      <c r="K190" s="22" t="s">
        <v>55</v>
      </c>
      <c r="L190" s="22" t="s">
        <v>56</v>
      </c>
      <c r="M190" s="22" t="s">
        <v>57</v>
      </c>
      <c r="N190" s="22" t="s">
        <v>58</v>
      </c>
      <c r="O190" s="22">
        <v>700.0</v>
      </c>
      <c r="P190" s="22">
        <v>900.0</v>
      </c>
      <c r="Q190" s="22" t="s">
        <v>59</v>
      </c>
      <c r="R190" s="22" t="s">
        <v>58</v>
      </c>
      <c r="S190" s="22" t="s">
        <v>58</v>
      </c>
      <c r="T190" s="22" t="s">
        <v>1787</v>
      </c>
      <c r="U190" s="22" t="s">
        <v>1787</v>
      </c>
      <c r="V190" s="22" t="s">
        <v>61</v>
      </c>
      <c r="W190" s="22" t="s">
        <v>58</v>
      </c>
      <c r="X190" s="22" t="s">
        <v>58</v>
      </c>
      <c r="Y190" s="22" t="s">
        <v>58</v>
      </c>
      <c r="Z190" s="22" t="s">
        <v>58</v>
      </c>
      <c r="AA190" s="22" t="s">
        <v>58</v>
      </c>
      <c r="AB190" s="22" t="s">
        <v>58</v>
      </c>
      <c r="AC190" s="22" t="s">
        <v>58</v>
      </c>
      <c r="AD190" s="22" t="s">
        <v>58</v>
      </c>
      <c r="AE190" s="22" t="s">
        <v>61</v>
      </c>
      <c r="AF190" s="22" t="s">
        <v>61</v>
      </c>
      <c r="AG190" s="22" t="s">
        <v>58</v>
      </c>
      <c r="AH190" s="22">
        <v>200.0</v>
      </c>
      <c r="AI190" s="22">
        <v>1500.0</v>
      </c>
      <c r="AJ190" s="22">
        <v>200.0</v>
      </c>
      <c r="AK190" s="22">
        <v>0.0</v>
      </c>
      <c r="AL190" s="22"/>
      <c r="AM190" s="22"/>
      <c r="AN190" s="22"/>
      <c r="AO190" s="22"/>
    </row>
    <row r="191" ht="15.75" customHeight="1">
      <c r="A191" s="22">
        <v>183.0</v>
      </c>
      <c r="B191" s="22" t="s">
        <v>1788</v>
      </c>
      <c r="C191" s="22" t="s">
        <v>1789</v>
      </c>
      <c r="D191" s="66" t="s">
        <v>1790</v>
      </c>
      <c r="E191" s="22" t="s">
        <v>49</v>
      </c>
      <c r="F191" s="42" t="s">
        <v>1791</v>
      </c>
      <c r="G191" s="75" t="s">
        <v>1793</v>
      </c>
      <c r="H191" s="22" t="s">
        <v>123</v>
      </c>
      <c r="I191" s="22" t="s">
        <v>124</v>
      </c>
      <c r="J191" s="22" t="s">
        <v>74</v>
      </c>
      <c r="K191" s="22" t="s">
        <v>55</v>
      </c>
      <c r="L191" s="22" t="s">
        <v>56</v>
      </c>
      <c r="M191" s="22" t="s">
        <v>57</v>
      </c>
      <c r="N191" s="22" t="s">
        <v>58</v>
      </c>
      <c r="O191" s="22">
        <v>1050.0</v>
      </c>
      <c r="P191" s="22">
        <v>1350.0</v>
      </c>
      <c r="Q191" s="22" t="s">
        <v>59</v>
      </c>
      <c r="R191" s="22" t="s">
        <v>58</v>
      </c>
      <c r="S191" s="22" t="s">
        <v>58</v>
      </c>
      <c r="T191" s="22"/>
      <c r="U191" s="22"/>
      <c r="V191" s="22" t="s">
        <v>61</v>
      </c>
      <c r="W191" s="22" t="s">
        <v>58</v>
      </c>
      <c r="X191" s="22" t="s">
        <v>58</v>
      </c>
      <c r="Y191" s="22" t="s">
        <v>58</v>
      </c>
      <c r="Z191" s="22" t="s">
        <v>58</v>
      </c>
      <c r="AA191" s="22" t="s">
        <v>58</v>
      </c>
      <c r="AB191" s="22" t="s">
        <v>58</v>
      </c>
      <c r="AC191" s="22" t="s">
        <v>58</v>
      </c>
      <c r="AD191" s="22" t="s">
        <v>58</v>
      </c>
      <c r="AE191" s="22" t="s">
        <v>61</v>
      </c>
      <c r="AF191" s="22" t="s">
        <v>61</v>
      </c>
      <c r="AG191" s="22" t="s">
        <v>58</v>
      </c>
      <c r="AH191" s="22">
        <v>100.0</v>
      </c>
      <c r="AI191" s="22">
        <v>5000.0</v>
      </c>
      <c r="AJ191" s="22">
        <v>100.0</v>
      </c>
      <c r="AK191" s="22">
        <v>0.0</v>
      </c>
      <c r="AL191" s="22"/>
      <c r="AM191" s="22"/>
      <c r="AN191" s="22"/>
      <c r="AO191" s="22"/>
    </row>
    <row r="192" ht="15.75" customHeight="1">
      <c r="A192" s="22">
        <v>184.0</v>
      </c>
      <c r="B192" s="22" t="s">
        <v>1796</v>
      </c>
      <c r="C192" s="22" t="s">
        <v>1797</v>
      </c>
      <c r="D192" s="66" t="s">
        <v>1798</v>
      </c>
      <c r="E192" s="22" t="s">
        <v>49</v>
      </c>
      <c r="F192" s="42" t="s">
        <v>1799</v>
      </c>
      <c r="G192" s="75" t="s">
        <v>1801</v>
      </c>
      <c r="H192" s="22" t="s">
        <v>142</v>
      </c>
      <c r="I192" s="22" t="s">
        <v>144</v>
      </c>
      <c r="J192" s="22" t="s">
        <v>74</v>
      </c>
      <c r="K192" s="22" t="s">
        <v>55</v>
      </c>
      <c r="L192" s="22" t="s">
        <v>56</v>
      </c>
      <c r="M192" s="22" t="s">
        <v>57</v>
      </c>
      <c r="N192" s="22" t="s">
        <v>58</v>
      </c>
      <c r="O192" s="22">
        <v>1400.0</v>
      </c>
      <c r="P192" s="22">
        <v>1200.0</v>
      </c>
      <c r="Q192" s="22" t="s">
        <v>59</v>
      </c>
      <c r="R192" s="22" t="s">
        <v>58</v>
      </c>
      <c r="S192" s="22" t="s">
        <v>58</v>
      </c>
      <c r="T192" s="22"/>
      <c r="U192" s="22"/>
      <c r="V192" s="22" t="s">
        <v>61</v>
      </c>
      <c r="W192" s="22" t="s">
        <v>58</v>
      </c>
      <c r="X192" s="22" t="s">
        <v>58</v>
      </c>
      <c r="Y192" s="22" t="s">
        <v>58</v>
      </c>
      <c r="Z192" s="22" t="s">
        <v>58</v>
      </c>
      <c r="AA192" s="22" t="s">
        <v>58</v>
      </c>
      <c r="AB192" s="22" t="s">
        <v>58</v>
      </c>
      <c r="AC192" s="22" t="s">
        <v>58</v>
      </c>
      <c r="AD192" s="22" t="s">
        <v>58</v>
      </c>
      <c r="AE192" s="22" t="s">
        <v>61</v>
      </c>
      <c r="AF192" s="22" t="s">
        <v>61</v>
      </c>
      <c r="AG192" s="22" t="s">
        <v>58</v>
      </c>
      <c r="AH192" s="22">
        <v>100.0</v>
      </c>
      <c r="AI192" s="22">
        <v>2000.0</v>
      </c>
      <c r="AJ192" s="22">
        <v>100.0</v>
      </c>
      <c r="AK192" s="22">
        <v>0.0</v>
      </c>
      <c r="AL192" s="22"/>
      <c r="AM192" s="22"/>
      <c r="AN192" s="22"/>
      <c r="AO192" s="22"/>
    </row>
    <row r="193" ht="15.75" customHeight="1">
      <c r="A193" s="22">
        <v>185.0</v>
      </c>
      <c r="B193" s="22" t="s">
        <v>1803</v>
      </c>
      <c r="C193" s="22" t="s">
        <v>1804</v>
      </c>
      <c r="D193" s="66" t="s">
        <v>1805</v>
      </c>
      <c r="E193" s="22" t="s">
        <v>49</v>
      </c>
      <c r="F193" s="24" t="s">
        <v>69</v>
      </c>
      <c r="G193" s="24" t="s">
        <v>69</v>
      </c>
      <c r="H193" s="22" t="s">
        <v>303</v>
      </c>
      <c r="I193" s="22" t="s">
        <v>303</v>
      </c>
      <c r="J193" s="22" t="s">
        <v>74</v>
      </c>
      <c r="K193" s="22" t="s">
        <v>55</v>
      </c>
      <c r="L193" s="22" t="s">
        <v>56</v>
      </c>
      <c r="M193" s="22" t="s">
        <v>57</v>
      </c>
      <c r="N193" s="22" t="s">
        <v>58</v>
      </c>
      <c r="O193" s="22">
        <v>700.0</v>
      </c>
      <c r="P193" s="22">
        <v>1000.0</v>
      </c>
      <c r="Q193" s="22" t="s">
        <v>59</v>
      </c>
      <c r="R193" s="22" t="s">
        <v>58</v>
      </c>
      <c r="S193" s="22" t="s">
        <v>58</v>
      </c>
      <c r="T193" s="22"/>
      <c r="U193" s="22"/>
      <c r="V193" s="22" t="s">
        <v>61</v>
      </c>
      <c r="W193" s="22" t="s">
        <v>58</v>
      </c>
      <c r="X193" s="22" t="s">
        <v>58</v>
      </c>
      <c r="Y193" s="22" t="s">
        <v>58</v>
      </c>
      <c r="Z193" s="22" t="s">
        <v>58</v>
      </c>
      <c r="AA193" s="22" t="s">
        <v>58</v>
      </c>
      <c r="AB193" s="22" t="s">
        <v>58</v>
      </c>
      <c r="AC193" s="22" t="s">
        <v>58</v>
      </c>
      <c r="AD193" s="22" t="s">
        <v>58</v>
      </c>
      <c r="AE193" s="22" t="s">
        <v>61</v>
      </c>
      <c r="AF193" s="22" t="s">
        <v>61</v>
      </c>
      <c r="AG193" s="22" t="s">
        <v>58</v>
      </c>
      <c r="AH193" s="22">
        <v>50.0</v>
      </c>
      <c r="AI193" s="22">
        <v>5000.0</v>
      </c>
      <c r="AJ193" s="22">
        <v>50.0</v>
      </c>
      <c r="AK193" s="22">
        <v>0.0</v>
      </c>
      <c r="AL193" s="22"/>
      <c r="AM193" s="22"/>
      <c r="AN193" s="22"/>
      <c r="AO193" s="22"/>
    </row>
    <row r="194" ht="15.75" customHeight="1">
      <c r="A194" s="22">
        <v>186.0</v>
      </c>
      <c r="B194" s="22" t="s">
        <v>1806</v>
      </c>
      <c r="C194" s="22" t="s">
        <v>1807</v>
      </c>
      <c r="D194" s="24" t="s">
        <v>69</v>
      </c>
      <c r="E194" s="22" t="s">
        <v>49</v>
      </c>
      <c r="F194" s="24" t="s">
        <v>69</v>
      </c>
      <c r="G194" s="24" t="s">
        <v>69</v>
      </c>
      <c r="H194" s="22" t="s">
        <v>1385</v>
      </c>
      <c r="I194" s="22" t="s">
        <v>1386</v>
      </c>
      <c r="J194" s="22" t="s">
        <v>74</v>
      </c>
      <c r="K194" s="22" t="s">
        <v>55</v>
      </c>
      <c r="L194" s="22" t="s">
        <v>56</v>
      </c>
      <c r="M194" s="22" t="s">
        <v>57</v>
      </c>
      <c r="N194" s="22" t="s">
        <v>58</v>
      </c>
      <c r="O194" s="22">
        <v>600.0</v>
      </c>
      <c r="P194" s="22"/>
      <c r="Q194" s="22" t="s">
        <v>59</v>
      </c>
      <c r="R194" s="22" t="s">
        <v>58</v>
      </c>
      <c r="S194" s="22" t="s">
        <v>58</v>
      </c>
      <c r="T194" s="22"/>
      <c r="U194" s="22"/>
      <c r="V194" s="22" t="s">
        <v>61</v>
      </c>
      <c r="W194" s="22" t="s">
        <v>58</v>
      </c>
      <c r="X194" s="22" t="s">
        <v>58</v>
      </c>
      <c r="Y194" s="22" t="s">
        <v>58</v>
      </c>
      <c r="Z194" s="22" t="s">
        <v>58</v>
      </c>
      <c r="AA194" s="22" t="s">
        <v>58</v>
      </c>
      <c r="AB194" s="22" t="s">
        <v>58</v>
      </c>
      <c r="AC194" s="22" t="s">
        <v>58</v>
      </c>
      <c r="AD194" s="22" t="s">
        <v>58</v>
      </c>
      <c r="AE194" s="22" t="s">
        <v>61</v>
      </c>
      <c r="AF194" s="22" t="s">
        <v>61</v>
      </c>
      <c r="AG194" s="22" t="s">
        <v>58</v>
      </c>
      <c r="AH194" s="22">
        <v>50.0</v>
      </c>
      <c r="AI194" s="22">
        <v>2500.0</v>
      </c>
      <c r="AJ194" s="22">
        <v>50.0</v>
      </c>
      <c r="AK194" s="22">
        <v>0.0</v>
      </c>
      <c r="AL194" s="22"/>
      <c r="AM194" s="22"/>
      <c r="AN194" s="22"/>
      <c r="AO194" s="22"/>
    </row>
    <row r="195" ht="24.75" customHeight="1">
      <c r="A195" s="22">
        <v>187.0</v>
      </c>
      <c r="B195" s="22" t="s">
        <v>1813</v>
      </c>
      <c r="C195" s="22" t="s">
        <v>1814</v>
      </c>
      <c r="D195" s="22" t="s">
        <v>1815</v>
      </c>
      <c r="E195" s="22" t="s">
        <v>49</v>
      </c>
      <c r="F195" s="42" t="s">
        <v>1816</v>
      </c>
      <c r="G195" s="85" t="s">
        <v>1822</v>
      </c>
      <c r="H195" s="22" t="s">
        <v>303</v>
      </c>
      <c r="I195" s="22" t="s">
        <v>303</v>
      </c>
      <c r="J195" s="22" t="s">
        <v>74</v>
      </c>
      <c r="K195" s="22" t="s">
        <v>55</v>
      </c>
      <c r="L195" s="22" t="s">
        <v>56</v>
      </c>
      <c r="M195" s="22" t="s">
        <v>57</v>
      </c>
      <c r="N195" s="22" t="s">
        <v>58</v>
      </c>
      <c r="O195" s="22">
        <v>600.0</v>
      </c>
      <c r="P195" s="22">
        <v>700.0</v>
      </c>
      <c r="Q195" s="22" t="s">
        <v>59</v>
      </c>
      <c r="R195" s="22" t="s">
        <v>58</v>
      </c>
      <c r="S195" s="22" t="s">
        <v>58</v>
      </c>
      <c r="T195" s="24" t="s">
        <v>1825</v>
      </c>
      <c r="U195" s="22"/>
      <c r="V195" s="22" t="s">
        <v>61</v>
      </c>
      <c r="W195" s="22" t="s">
        <v>58</v>
      </c>
      <c r="X195" s="22" t="s">
        <v>58</v>
      </c>
      <c r="Y195" s="22" t="s">
        <v>58</v>
      </c>
      <c r="Z195" s="22" t="s">
        <v>58</v>
      </c>
      <c r="AA195" s="22" t="s">
        <v>58</v>
      </c>
      <c r="AB195" s="22" t="s">
        <v>58</v>
      </c>
      <c r="AC195" s="22" t="s">
        <v>58</v>
      </c>
      <c r="AD195" s="22" t="s">
        <v>58</v>
      </c>
      <c r="AE195" s="22" t="s">
        <v>61</v>
      </c>
      <c r="AF195" s="22" t="s">
        <v>61</v>
      </c>
      <c r="AG195" s="22" t="s">
        <v>58</v>
      </c>
      <c r="AH195" s="22">
        <v>0.0</v>
      </c>
      <c r="AI195" s="22">
        <v>0.0</v>
      </c>
      <c r="AJ195" s="22">
        <v>0.0</v>
      </c>
      <c r="AK195" s="22">
        <v>0.0</v>
      </c>
      <c r="AL195" s="22"/>
      <c r="AM195" s="22"/>
      <c r="AN195" s="22"/>
      <c r="AO195" s="22"/>
    </row>
    <row r="196" ht="15.75" customHeight="1">
      <c r="A196" s="15">
        <v>188.0</v>
      </c>
      <c r="B196" s="15" t="s">
        <v>1826</v>
      </c>
      <c r="C196" s="15" t="s">
        <v>1827</v>
      </c>
      <c r="D196" s="48" t="s">
        <v>1828</v>
      </c>
      <c r="E196" s="15" t="s">
        <v>49</v>
      </c>
      <c r="F196" s="49" t="s">
        <v>1829</v>
      </c>
      <c r="G196" s="15" t="s">
        <v>1831</v>
      </c>
      <c r="H196" s="15" t="s">
        <v>123</v>
      </c>
      <c r="I196" s="15" t="s">
        <v>124</v>
      </c>
      <c r="J196" s="15" t="s">
        <v>74</v>
      </c>
      <c r="K196" s="15" t="s">
        <v>55</v>
      </c>
      <c r="L196" s="15" t="s">
        <v>56</v>
      </c>
      <c r="M196" s="15" t="s">
        <v>57</v>
      </c>
      <c r="N196" s="15" t="s">
        <v>58</v>
      </c>
      <c r="O196" s="15">
        <v>750.0</v>
      </c>
      <c r="P196" s="15">
        <v>950.0</v>
      </c>
      <c r="Q196" s="15" t="s">
        <v>59</v>
      </c>
      <c r="R196" s="15" t="s">
        <v>58</v>
      </c>
      <c r="S196" s="15" t="s">
        <v>58</v>
      </c>
      <c r="T196" s="15"/>
      <c r="U196" s="15"/>
      <c r="V196" s="15" t="s">
        <v>61</v>
      </c>
      <c r="W196" s="15" t="s">
        <v>58</v>
      </c>
      <c r="X196" s="15" t="s">
        <v>58</v>
      </c>
      <c r="Y196" s="15" t="s">
        <v>58</v>
      </c>
      <c r="Z196" s="15" t="s">
        <v>58</v>
      </c>
      <c r="AA196" s="15" t="s">
        <v>58</v>
      </c>
      <c r="AB196" s="15" t="s">
        <v>58</v>
      </c>
      <c r="AC196" s="15" t="s">
        <v>58</v>
      </c>
      <c r="AD196" s="15" t="s">
        <v>58</v>
      </c>
      <c r="AE196" s="15" t="s">
        <v>61</v>
      </c>
      <c r="AF196" s="15" t="s">
        <v>61</v>
      </c>
      <c r="AG196" s="15" t="s">
        <v>58</v>
      </c>
      <c r="AH196" s="15">
        <v>25.0</v>
      </c>
      <c r="AI196" s="15">
        <v>2000.0</v>
      </c>
      <c r="AJ196" s="15">
        <v>25.0</v>
      </c>
      <c r="AK196" s="15">
        <v>0.0</v>
      </c>
      <c r="AL196" s="15"/>
      <c r="AM196" s="15"/>
      <c r="AN196" s="16" t="s">
        <v>757</v>
      </c>
      <c r="AO196" s="21">
        <v>2.0</v>
      </c>
    </row>
    <row r="197" ht="15.75" customHeight="1">
      <c r="A197" s="22">
        <v>189.0</v>
      </c>
      <c r="B197" s="22" t="s">
        <v>1832</v>
      </c>
      <c r="C197" s="22" t="s">
        <v>1833</v>
      </c>
      <c r="D197" s="22" t="s">
        <v>1834</v>
      </c>
      <c r="E197" s="22" t="s">
        <v>49</v>
      </c>
      <c r="F197" s="24" t="s">
        <v>69</v>
      </c>
      <c r="G197" s="24" t="s">
        <v>69</v>
      </c>
      <c r="H197" s="22" t="s">
        <v>72</v>
      </c>
      <c r="I197" s="22" t="s">
        <v>73</v>
      </c>
      <c r="J197" s="22" t="s">
        <v>74</v>
      </c>
      <c r="K197" s="22" t="s">
        <v>55</v>
      </c>
      <c r="L197" s="22" t="s">
        <v>56</v>
      </c>
      <c r="M197" s="22" t="s">
        <v>57</v>
      </c>
      <c r="N197" s="22" t="s">
        <v>58</v>
      </c>
      <c r="O197" s="22">
        <v>200.0</v>
      </c>
      <c r="P197" s="22">
        <v>100.0</v>
      </c>
      <c r="Q197" s="22" t="s">
        <v>59</v>
      </c>
      <c r="R197" s="22" t="s">
        <v>58</v>
      </c>
      <c r="S197" s="22" t="s">
        <v>58</v>
      </c>
      <c r="T197" s="24" t="s">
        <v>1837</v>
      </c>
      <c r="U197" s="22"/>
      <c r="V197" s="22" t="s">
        <v>61</v>
      </c>
      <c r="W197" s="22" t="s">
        <v>58</v>
      </c>
      <c r="X197" s="22" t="s">
        <v>58</v>
      </c>
      <c r="Y197" s="22" t="s">
        <v>58</v>
      </c>
      <c r="Z197" s="22" t="s">
        <v>58</v>
      </c>
      <c r="AA197" s="22" t="s">
        <v>58</v>
      </c>
      <c r="AB197" s="22" t="s">
        <v>58</v>
      </c>
      <c r="AC197" s="22" t="s">
        <v>58</v>
      </c>
      <c r="AD197" s="22" t="s">
        <v>58</v>
      </c>
      <c r="AE197" s="22" t="s">
        <v>61</v>
      </c>
      <c r="AF197" s="22" t="s">
        <v>61</v>
      </c>
      <c r="AG197" s="22" t="s">
        <v>58</v>
      </c>
      <c r="AH197" s="22">
        <v>100.0</v>
      </c>
      <c r="AI197" s="22">
        <v>0.0</v>
      </c>
      <c r="AJ197" s="22">
        <v>100.0</v>
      </c>
      <c r="AK197" s="22">
        <v>0.0</v>
      </c>
      <c r="AL197" s="22"/>
      <c r="AM197" s="22"/>
      <c r="AN197" s="22"/>
      <c r="AO197" s="22"/>
    </row>
    <row r="198" ht="15.75" customHeight="1">
      <c r="A198" s="22">
        <v>190.0</v>
      </c>
      <c r="B198" s="22" t="s">
        <v>1838</v>
      </c>
      <c r="C198" s="22" t="s">
        <v>1839</v>
      </c>
      <c r="D198" s="66" t="s">
        <v>1840</v>
      </c>
      <c r="E198" s="22" t="s">
        <v>49</v>
      </c>
      <c r="F198" s="42" t="s">
        <v>1841</v>
      </c>
      <c r="G198" s="75" t="s">
        <v>1842</v>
      </c>
      <c r="H198" s="22" t="s">
        <v>1843</v>
      </c>
      <c r="I198" s="22" t="s">
        <v>1844</v>
      </c>
      <c r="J198" s="22" t="s">
        <v>74</v>
      </c>
      <c r="K198" s="22" t="s">
        <v>55</v>
      </c>
      <c r="L198" s="22" t="s">
        <v>56</v>
      </c>
      <c r="M198" s="22" t="s">
        <v>57</v>
      </c>
      <c r="N198" s="22" t="s">
        <v>58</v>
      </c>
      <c r="O198" s="22">
        <v>1000.0</v>
      </c>
      <c r="P198" s="22">
        <v>1500.0</v>
      </c>
      <c r="Q198" s="22" t="s">
        <v>59</v>
      </c>
      <c r="R198" s="22" t="s">
        <v>58</v>
      </c>
      <c r="S198" s="22" t="s">
        <v>58</v>
      </c>
      <c r="T198" s="22"/>
      <c r="U198" s="22"/>
      <c r="V198" s="22" t="s">
        <v>61</v>
      </c>
      <c r="W198" s="22" t="s">
        <v>58</v>
      </c>
      <c r="X198" s="22" t="s">
        <v>58</v>
      </c>
      <c r="Y198" s="22" t="s">
        <v>58</v>
      </c>
      <c r="Z198" s="22" t="s">
        <v>58</v>
      </c>
      <c r="AA198" s="22" t="s">
        <v>58</v>
      </c>
      <c r="AB198" s="22" t="s">
        <v>58</v>
      </c>
      <c r="AC198" s="22" t="s">
        <v>58</v>
      </c>
      <c r="AD198" s="22" t="s">
        <v>58</v>
      </c>
      <c r="AE198" s="22" t="s">
        <v>61</v>
      </c>
      <c r="AF198" s="22" t="s">
        <v>61</v>
      </c>
      <c r="AG198" s="22" t="s">
        <v>58</v>
      </c>
      <c r="AH198" s="22">
        <v>50.0</v>
      </c>
      <c r="AI198" s="22">
        <v>10000.0</v>
      </c>
      <c r="AJ198" s="22">
        <v>50.0</v>
      </c>
      <c r="AK198" s="22">
        <v>0.0</v>
      </c>
      <c r="AL198" s="22"/>
      <c r="AM198" s="22"/>
      <c r="AN198" s="22"/>
      <c r="AO198" s="22"/>
    </row>
    <row r="199" ht="15.75" customHeight="1">
      <c r="A199" s="22">
        <v>191.0</v>
      </c>
      <c r="B199" s="22" t="s">
        <v>1848</v>
      </c>
      <c r="C199" s="22" t="s">
        <v>1849</v>
      </c>
      <c r="D199" s="66" t="s">
        <v>1850</v>
      </c>
      <c r="E199" s="22" t="s">
        <v>49</v>
      </c>
      <c r="F199" s="42" t="s">
        <v>1851</v>
      </c>
      <c r="G199" s="75" t="s">
        <v>1853</v>
      </c>
      <c r="H199" s="22" t="s">
        <v>123</v>
      </c>
      <c r="I199" s="22" t="s">
        <v>124</v>
      </c>
      <c r="J199" s="22" t="s">
        <v>74</v>
      </c>
      <c r="K199" s="22" t="s">
        <v>55</v>
      </c>
      <c r="L199" s="22" t="s">
        <v>56</v>
      </c>
      <c r="M199" s="22" t="s">
        <v>57</v>
      </c>
      <c r="N199" s="22" t="s">
        <v>58</v>
      </c>
      <c r="O199" s="22">
        <v>1600.0</v>
      </c>
      <c r="P199" s="22">
        <v>1800.0</v>
      </c>
      <c r="Q199" s="22" t="s">
        <v>59</v>
      </c>
      <c r="R199" s="22" t="s">
        <v>58</v>
      </c>
      <c r="S199" s="22" t="s">
        <v>58</v>
      </c>
      <c r="T199" s="22"/>
      <c r="U199" s="22"/>
      <c r="V199" s="22" t="s">
        <v>61</v>
      </c>
      <c r="W199" s="22" t="s">
        <v>58</v>
      </c>
      <c r="X199" s="22" t="s">
        <v>58</v>
      </c>
      <c r="Y199" s="22" t="s">
        <v>58</v>
      </c>
      <c r="Z199" s="22" t="s">
        <v>58</v>
      </c>
      <c r="AA199" s="22" t="s">
        <v>58</v>
      </c>
      <c r="AB199" s="22" t="s">
        <v>58</v>
      </c>
      <c r="AC199" s="22" t="s">
        <v>58</v>
      </c>
      <c r="AD199" s="22" t="s">
        <v>58</v>
      </c>
      <c r="AE199" s="22" t="s">
        <v>61</v>
      </c>
      <c r="AF199" s="22" t="s">
        <v>61</v>
      </c>
      <c r="AG199" s="22" t="s">
        <v>58</v>
      </c>
      <c r="AH199" s="22">
        <v>100.0</v>
      </c>
      <c r="AI199" s="22">
        <v>10000.0</v>
      </c>
      <c r="AJ199" s="22">
        <v>100.0</v>
      </c>
      <c r="AK199" s="22">
        <v>0.0</v>
      </c>
      <c r="AL199" s="22"/>
      <c r="AM199" s="22"/>
      <c r="AN199" s="22"/>
      <c r="AO199" s="22"/>
    </row>
    <row r="200" ht="15.75" customHeight="1">
      <c r="A200" s="22">
        <v>192.0</v>
      </c>
      <c r="B200" s="22" t="s">
        <v>1162</v>
      </c>
      <c r="C200" s="22" t="s">
        <v>1163</v>
      </c>
      <c r="D200" s="22" t="s">
        <v>1164</v>
      </c>
      <c r="E200" s="22" t="s">
        <v>49</v>
      </c>
      <c r="F200" s="42" t="s">
        <v>1855</v>
      </c>
      <c r="G200" s="75" t="s">
        <v>1856</v>
      </c>
      <c r="H200" s="22" t="s">
        <v>376</v>
      </c>
      <c r="I200" s="22" t="s">
        <v>377</v>
      </c>
      <c r="J200" s="22" t="s">
        <v>377</v>
      </c>
      <c r="K200" s="22" t="s">
        <v>55</v>
      </c>
      <c r="L200" s="22" t="s">
        <v>56</v>
      </c>
      <c r="M200" s="22" t="s">
        <v>57</v>
      </c>
      <c r="N200" s="22" t="s">
        <v>58</v>
      </c>
      <c r="O200" s="22">
        <v>2000.0</v>
      </c>
      <c r="P200" s="22">
        <v>2000.0</v>
      </c>
      <c r="Q200" s="22" t="s">
        <v>59</v>
      </c>
      <c r="R200" s="22" t="s">
        <v>58</v>
      </c>
      <c r="S200" s="22" t="s">
        <v>58</v>
      </c>
      <c r="T200" s="22"/>
      <c r="U200" s="22"/>
      <c r="V200" s="22" t="s">
        <v>61</v>
      </c>
      <c r="W200" s="22" t="s">
        <v>58</v>
      </c>
      <c r="X200" s="22" t="s">
        <v>58</v>
      </c>
      <c r="Y200" s="22" t="s">
        <v>58</v>
      </c>
      <c r="Z200" s="22" t="s">
        <v>58</v>
      </c>
      <c r="AA200" s="22" t="s">
        <v>58</v>
      </c>
      <c r="AB200" s="22" t="s">
        <v>58</v>
      </c>
      <c r="AC200" s="22" t="s">
        <v>58</v>
      </c>
      <c r="AD200" s="22" t="s">
        <v>58</v>
      </c>
      <c r="AE200" s="22" t="s">
        <v>61</v>
      </c>
      <c r="AF200" s="22" t="s">
        <v>61</v>
      </c>
      <c r="AG200" s="22" t="s">
        <v>58</v>
      </c>
      <c r="AH200" s="22">
        <v>20.0</v>
      </c>
      <c r="AI200" s="22">
        <v>500.0</v>
      </c>
      <c r="AJ200" s="22">
        <v>20.0</v>
      </c>
      <c r="AK200" s="22">
        <v>0.0</v>
      </c>
      <c r="AL200" s="22"/>
      <c r="AM200" s="22"/>
      <c r="AN200" s="22"/>
      <c r="AO200" s="22"/>
    </row>
    <row r="201" ht="15.75" customHeight="1">
      <c r="A201" s="22">
        <v>193.0</v>
      </c>
      <c r="B201" s="22" t="s">
        <v>946</v>
      </c>
      <c r="C201" s="22" t="s">
        <v>947</v>
      </c>
      <c r="D201" s="66" t="s">
        <v>949</v>
      </c>
      <c r="E201" s="22" t="s">
        <v>49</v>
      </c>
      <c r="F201" s="42" t="s">
        <v>1858</v>
      </c>
      <c r="G201" s="24" t="s">
        <v>69</v>
      </c>
      <c r="H201" s="22" t="s">
        <v>53</v>
      </c>
      <c r="I201" s="22" t="s">
        <v>54</v>
      </c>
      <c r="J201" s="22" t="s">
        <v>54</v>
      </c>
      <c r="K201" s="22" t="s">
        <v>55</v>
      </c>
      <c r="L201" s="22" t="s">
        <v>56</v>
      </c>
      <c r="M201" s="22" t="s">
        <v>57</v>
      </c>
      <c r="N201" s="22" t="s">
        <v>58</v>
      </c>
      <c r="O201" s="22">
        <v>600.0</v>
      </c>
      <c r="P201" s="22">
        <v>800.0</v>
      </c>
      <c r="Q201" s="22" t="s">
        <v>59</v>
      </c>
      <c r="R201" s="22" t="s">
        <v>58</v>
      </c>
      <c r="S201" s="22" t="s">
        <v>58</v>
      </c>
      <c r="T201" s="22"/>
      <c r="U201" s="22"/>
      <c r="V201" s="22" t="s">
        <v>61</v>
      </c>
      <c r="W201" s="22" t="s">
        <v>58</v>
      </c>
      <c r="X201" s="22" t="s">
        <v>58</v>
      </c>
      <c r="Y201" s="22" t="s">
        <v>58</v>
      </c>
      <c r="Z201" s="22" t="s">
        <v>58</v>
      </c>
      <c r="AA201" s="22" t="s">
        <v>58</v>
      </c>
      <c r="AB201" s="22" t="s">
        <v>58</v>
      </c>
      <c r="AC201" s="22" t="s">
        <v>58</v>
      </c>
      <c r="AD201" s="22" t="s">
        <v>58</v>
      </c>
      <c r="AE201" s="22" t="s">
        <v>61</v>
      </c>
      <c r="AF201" s="22" t="s">
        <v>61</v>
      </c>
      <c r="AG201" s="22" t="s">
        <v>58</v>
      </c>
      <c r="AH201" s="22">
        <v>25.0</v>
      </c>
      <c r="AI201" s="22">
        <v>1000.0</v>
      </c>
      <c r="AJ201" s="22">
        <v>25.0</v>
      </c>
      <c r="AK201" s="22">
        <v>0.0</v>
      </c>
      <c r="AL201" s="22"/>
      <c r="AM201" s="22"/>
      <c r="AN201" s="22"/>
      <c r="AO201" s="22"/>
    </row>
    <row r="202" ht="15.75" customHeight="1">
      <c r="A202" s="22">
        <v>194.0</v>
      </c>
      <c r="B202" s="22" t="s">
        <v>1860</v>
      </c>
      <c r="C202" s="22" t="s">
        <v>1861</v>
      </c>
      <c r="D202" s="66" t="s">
        <v>1862</v>
      </c>
      <c r="E202" s="22" t="s">
        <v>49</v>
      </c>
      <c r="F202" s="42" t="s">
        <v>1863</v>
      </c>
      <c r="G202" s="75" t="s">
        <v>1866</v>
      </c>
      <c r="H202" s="22" t="s">
        <v>303</v>
      </c>
      <c r="I202" s="22" t="s">
        <v>303</v>
      </c>
      <c r="J202" s="22" t="s">
        <v>74</v>
      </c>
      <c r="K202" s="22" t="s">
        <v>55</v>
      </c>
      <c r="L202" s="22" t="s">
        <v>56</v>
      </c>
      <c r="M202" s="22" t="s">
        <v>57</v>
      </c>
      <c r="N202" s="22" t="s">
        <v>58</v>
      </c>
      <c r="O202" s="22">
        <v>1300.0</v>
      </c>
      <c r="P202" s="22"/>
      <c r="Q202" s="22" t="s">
        <v>59</v>
      </c>
      <c r="R202" s="22" t="s">
        <v>58</v>
      </c>
      <c r="S202" s="22" t="s">
        <v>58</v>
      </c>
      <c r="T202" s="22"/>
      <c r="U202" s="22"/>
      <c r="V202" s="22" t="s">
        <v>61</v>
      </c>
      <c r="W202" s="22" t="s">
        <v>58</v>
      </c>
      <c r="X202" s="22" t="s">
        <v>58</v>
      </c>
      <c r="Y202" s="22" t="s">
        <v>58</v>
      </c>
      <c r="Z202" s="22" t="s">
        <v>58</v>
      </c>
      <c r="AA202" s="22" t="s">
        <v>58</v>
      </c>
      <c r="AB202" s="22" t="s">
        <v>58</v>
      </c>
      <c r="AC202" s="22" t="s">
        <v>58</v>
      </c>
      <c r="AD202" s="22" t="s">
        <v>58</v>
      </c>
      <c r="AE202" s="22" t="s">
        <v>61</v>
      </c>
      <c r="AF202" s="22" t="s">
        <v>61</v>
      </c>
      <c r="AG202" s="22" t="s">
        <v>58</v>
      </c>
      <c r="AH202" s="22">
        <v>0.0</v>
      </c>
      <c r="AI202" s="22">
        <v>0.0</v>
      </c>
      <c r="AJ202" s="22">
        <v>0.0</v>
      </c>
      <c r="AK202" s="22">
        <v>0.0</v>
      </c>
      <c r="AL202" s="22"/>
      <c r="AM202" s="22"/>
      <c r="AN202" s="22"/>
      <c r="AO202" s="22"/>
    </row>
    <row r="203" ht="15.75" customHeight="1">
      <c r="A203" s="22">
        <v>195.0</v>
      </c>
      <c r="B203" s="22" t="s">
        <v>1868</v>
      </c>
      <c r="C203" s="22" t="s">
        <v>1869</v>
      </c>
      <c r="D203" s="22" t="s">
        <v>1870</v>
      </c>
      <c r="E203" s="22" t="s">
        <v>49</v>
      </c>
      <c r="F203" s="42" t="s">
        <v>1871</v>
      </c>
      <c r="G203" s="75" t="s">
        <v>1872</v>
      </c>
      <c r="H203" s="22" t="s">
        <v>303</v>
      </c>
      <c r="I203" s="22" t="s">
        <v>303</v>
      </c>
      <c r="J203" s="22" t="s">
        <v>74</v>
      </c>
      <c r="K203" s="22" t="s">
        <v>55</v>
      </c>
      <c r="L203" s="22" t="s">
        <v>56</v>
      </c>
      <c r="M203" s="22" t="s">
        <v>57</v>
      </c>
      <c r="N203" s="22" t="s">
        <v>58</v>
      </c>
      <c r="O203" s="22">
        <v>1200.0</v>
      </c>
      <c r="P203" s="22"/>
      <c r="Q203" s="22" t="s">
        <v>59</v>
      </c>
      <c r="R203" s="22" t="s">
        <v>58</v>
      </c>
      <c r="S203" s="22" t="s">
        <v>58</v>
      </c>
      <c r="T203" s="22" t="s">
        <v>948</v>
      </c>
      <c r="U203" s="22"/>
      <c r="V203" s="22" t="s">
        <v>61</v>
      </c>
      <c r="W203" s="22" t="s">
        <v>58</v>
      </c>
      <c r="X203" s="22" t="s">
        <v>58</v>
      </c>
      <c r="Y203" s="22" t="s">
        <v>58</v>
      </c>
      <c r="Z203" s="22" t="s">
        <v>58</v>
      </c>
      <c r="AA203" s="22" t="s">
        <v>58</v>
      </c>
      <c r="AB203" s="22" t="s">
        <v>58</v>
      </c>
      <c r="AC203" s="22" t="s">
        <v>58</v>
      </c>
      <c r="AD203" s="22" t="s">
        <v>58</v>
      </c>
      <c r="AE203" s="22" t="s">
        <v>61</v>
      </c>
      <c r="AF203" s="22" t="s">
        <v>61</v>
      </c>
      <c r="AG203" s="22" t="s">
        <v>58</v>
      </c>
      <c r="AH203" s="22">
        <v>100.0</v>
      </c>
      <c r="AI203" s="22">
        <v>3000.0</v>
      </c>
      <c r="AJ203" s="22">
        <v>100.0</v>
      </c>
      <c r="AK203" s="22">
        <v>0.0</v>
      </c>
      <c r="AL203" s="22"/>
      <c r="AM203" s="22"/>
      <c r="AN203" s="22"/>
      <c r="AO203" s="22"/>
    </row>
    <row r="204" ht="15.75" customHeight="1">
      <c r="A204" s="22">
        <v>196.0</v>
      </c>
      <c r="B204" s="22" t="s">
        <v>1875</v>
      </c>
      <c r="C204" s="22" t="s">
        <v>1876</v>
      </c>
      <c r="D204" s="22" t="s">
        <v>1877</v>
      </c>
      <c r="E204" s="22" t="s">
        <v>49</v>
      </c>
      <c r="F204" s="42" t="s">
        <v>1879</v>
      </c>
      <c r="G204" s="75" t="s">
        <v>1880</v>
      </c>
      <c r="H204" s="22" t="s">
        <v>303</v>
      </c>
      <c r="I204" s="22" t="s">
        <v>303</v>
      </c>
      <c r="J204" s="22" t="s">
        <v>74</v>
      </c>
      <c r="K204" s="22" t="s">
        <v>55</v>
      </c>
      <c r="L204" s="22" t="s">
        <v>56</v>
      </c>
      <c r="M204" s="22" t="s">
        <v>57</v>
      </c>
      <c r="N204" s="22" t="s">
        <v>58</v>
      </c>
      <c r="O204" s="22">
        <v>1600.0</v>
      </c>
      <c r="P204" s="22">
        <v>2000.0</v>
      </c>
      <c r="Q204" s="22" t="s">
        <v>59</v>
      </c>
      <c r="R204" s="22" t="s">
        <v>58</v>
      </c>
      <c r="S204" s="22" t="s">
        <v>58</v>
      </c>
      <c r="T204" s="22" t="s">
        <v>948</v>
      </c>
      <c r="U204" s="22"/>
      <c r="V204" s="22" t="s">
        <v>61</v>
      </c>
      <c r="W204" s="22" t="s">
        <v>58</v>
      </c>
      <c r="X204" s="22" t="s">
        <v>58</v>
      </c>
      <c r="Y204" s="22" t="s">
        <v>58</v>
      </c>
      <c r="Z204" s="22" t="s">
        <v>58</v>
      </c>
      <c r="AA204" s="22" t="s">
        <v>58</v>
      </c>
      <c r="AB204" s="22" t="s">
        <v>58</v>
      </c>
      <c r="AC204" s="22" t="s">
        <v>58</v>
      </c>
      <c r="AD204" s="22" t="s">
        <v>58</v>
      </c>
      <c r="AE204" s="22" t="s">
        <v>61</v>
      </c>
      <c r="AF204" s="22" t="s">
        <v>61</v>
      </c>
      <c r="AG204" s="22" t="s">
        <v>58</v>
      </c>
      <c r="AH204" s="22">
        <v>0.0</v>
      </c>
      <c r="AI204" s="22">
        <v>0.0</v>
      </c>
      <c r="AJ204" s="22">
        <v>0.0</v>
      </c>
      <c r="AK204" s="22">
        <v>0.0</v>
      </c>
      <c r="AL204" s="22"/>
      <c r="AM204" s="22"/>
      <c r="AN204" s="22"/>
      <c r="AO204" s="22"/>
    </row>
    <row r="205" ht="15.75" customHeight="1">
      <c r="A205" s="22">
        <v>197.0</v>
      </c>
      <c r="B205" s="22" t="s">
        <v>1882</v>
      </c>
      <c r="C205" s="22" t="s">
        <v>1883</v>
      </c>
      <c r="D205" s="66" t="s">
        <v>1884</v>
      </c>
      <c r="E205" s="22" t="s">
        <v>49</v>
      </c>
      <c r="F205" s="42" t="s">
        <v>1886</v>
      </c>
      <c r="G205" s="75" t="s">
        <v>1887</v>
      </c>
      <c r="H205" s="22" t="s">
        <v>1888</v>
      </c>
      <c r="I205" s="22" t="s">
        <v>1889</v>
      </c>
      <c r="J205" s="22" t="s">
        <v>74</v>
      </c>
      <c r="K205" s="22" t="s">
        <v>55</v>
      </c>
      <c r="L205" s="22" t="s">
        <v>56</v>
      </c>
      <c r="M205" s="22" t="s">
        <v>57</v>
      </c>
      <c r="N205" s="22" t="s">
        <v>58</v>
      </c>
      <c r="O205" s="22">
        <v>1500.0</v>
      </c>
      <c r="P205" s="22"/>
      <c r="Q205" s="22" t="s">
        <v>59</v>
      </c>
      <c r="R205" s="22" t="s">
        <v>58</v>
      </c>
      <c r="S205" s="22" t="s">
        <v>58</v>
      </c>
      <c r="T205" s="22"/>
      <c r="U205" s="22"/>
      <c r="V205" s="22" t="s">
        <v>61</v>
      </c>
      <c r="W205" s="22" t="s">
        <v>58</v>
      </c>
      <c r="X205" s="22" t="s">
        <v>58</v>
      </c>
      <c r="Y205" s="22" t="s">
        <v>58</v>
      </c>
      <c r="Z205" s="22" t="s">
        <v>58</v>
      </c>
      <c r="AA205" s="22" t="s">
        <v>58</v>
      </c>
      <c r="AB205" s="22" t="s">
        <v>58</v>
      </c>
      <c r="AC205" s="22" t="s">
        <v>58</v>
      </c>
      <c r="AD205" s="22" t="s">
        <v>58</v>
      </c>
      <c r="AE205" s="22" t="s">
        <v>61</v>
      </c>
      <c r="AF205" s="22" t="s">
        <v>61</v>
      </c>
      <c r="AG205" s="22" t="s">
        <v>58</v>
      </c>
      <c r="AH205" s="22">
        <v>350.0</v>
      </c>
      <c r="AI205" s="22">
        <v>5000.0</v>
      </c>
      <c r="AJ205" s="22">
        <v>350.0</v>
      </c>
      <c r="AK205" s="22">
        <v>0.0</v>
      </c>
      <c r="AL205" s="22"/>
      <c r="AM205" s="22"/>
      <c r="AN205" s="22"/>
      <c r="AO205" s="22"/>
    </row>
    <row r="206" ht="15.75" customHeight="1">
      <c r="A206" s="22">
        <v>198.0</v>
      </c>
      <c r="B206" s="22" t="s">
        <v>1891</v>
      </c>
      <c r="C206" s="22" t="s">
        <v>1892</v>
      </c>
      <c r="D206" s="66" t="s">
        <v>1893</v>
      </c>
      <c r="E206" s="22" t="s">
        <v>49</v>
      </c>
      <c r="F206" s="24" t="s">
        <v>69</v>
      </c>
      <c r="G206" s="24" t="s">
        <v>69</v>
      </c>
      <c r="H206" s="22" t="s">
        <v>738</v>
      </c>
      <c r="I206" s="22" t="s">
        <v>739</v>
      </c>
      <c r="J206" s="22" t="s">
        <v>74</v>
      </c>
      <c r="K206" s="22" t="s">
        <v>55</v>
      </c>
      <c r="L206" s="22" t="s">
        <v>56</v>
      </c>
      <c r="M206" s="22" t="s">
        <v>57</v>
      </c>
      <c r="N206" s="22" t="s">
        <v>58</v>
      </c>
      <c r="O206" s="22">
        <v>400.0</v>
      </c>
      <c r="P206" s="22">
        <v>800.0</v>
      </c>
      <c r="Q206" s="22" t="s">
        <v>59</v>
      </c>
      <c r="R206" s="22" t="s">
        <v>58</v>
      </c>
      <c r="S206" s="22" t="s">
        <v>58</v>
      </c>
      <c r="T206" s="22"/>
      <c r="U206" s="22"/>
      <c r="V206" s="22" t="s">
        <v>61</v>
      </c>
      <c r="W206" s="22" t="s">
        <v>58</v>
      </c>
      <c r="X206" s="22" t="s">
        <v>58</v>
      </c>
      <c r="Y206" s="22" t="s">
        <v>58</v>
      </c>
      <c r="Z206" s="22" t="s">
        <v>58</v>
      </c>
      <c r="AA206" s="22" t="s">
        <v>58</v>
      </c>
      <c r="AB206" s="22" t="s">
        <v>58</v>
      </c>
      <c r="AC206" s="22" t="s">
        <v>58</v>
      </c>
      <c r="AD206" s="22" t="s">
        <v>58</v>
      </c>
      <c r="AE206" s="22" t="s">
        <v>61</v>
      </c>
      <c r="AF206" s="22" t="s">
        <v>61</v>
      </c>
      <c r="AG206" s="22" t="s">
        <v>58</v>
      </c>
      <c r="AH206" s="22">
        <v>100.0</v>
      </c>
      <c r="AI206" s="22">
        <v>1000.0</v>
      </c>
      <c r="AJ206" s="22">
        <v>100.0</v>
      </c>
      <c r="AK206" s="22">
        <v>0.0</v>
      </c>
      <c r="AL206" s="22"/>
      <c r="AM206" s="22"/>
      <c r="AN206" s="22"/>
      <c r="AO206" s="22"/>
    </row>
    <row r="207" ht="15.75" customHeight="1">
      <c r="A207" s="22">
        <v>199.0</v>
      </c>
      <c r="B207" s="22" t="s">
        <v>1894</v>
      </c>
      <c r="C207" s="22" t="s">
        <v>1895</v>
      </c>
      <c r="D207" s="66" t="s">
        <v>1897</v>
      </c>
      <c r="E207" s="22" t="s">
        <v>49</v>
      </c>
      <c r="F207" s="42" t="s">
        <v>1898</v>
      </c>
      <c r="G207" s="75" t="s">
        <v>1901</v>
      </c>
      <c r="H207" s="22" t="s">
        <v>860</v>
      </c>
      <c r="I207" s="22" t="s">
        <v>861</v>
      </c>
      <c r="J207" s="22" t="s">
        <v>74</v>
      </c>
      <c r="K207" s="22" t="s">
        <v>55</v>
      </c>
      <c r="L207" s="22" t="s">
        <v>56</v>
      </c>
      <c r="M207" s="22" t="s">
        <v>57</v>
      </c>
      <c r="N207" s="22" t="s">
        <v>58</v>
      </c>
      <c r="O207" s="22">
        <v>1150.0</v>
      </c>
      <c r="P207" s="22">
        <v>4500.0</v>
      </c>
      <c r="Q207" s="22" t="s">
        <v>59</v>
      </c>
      <c r="R207" s="22" t="s">
        <v>58</v>
      </c>
      <c r="S207" s="22" t="s">
        <v>58</v>
      </c>
      <c r="T207" s="22"/>
      <c r="U207" s="22"/>
      <c r="V207" s="22" t="s">
        <v>61</v>
      </c>
      <c r="W207" s="22" t="s">
        <v>58</v>
      </c>
      <c r="X207" s="22" t="s">
        <v>58</v>
      </c>
      <c r="Y207" s="22" t="s">
        <v>58</v>
      </c>
      <c r="Z207" s="22" t="s">
        <v>58</v>
      </c>
      <c r="AA207" s="22" t="s">
        <v>58</v>
      </c>
      <c r="AB207" s="22" t="s">
        <v>58</v>
      </c>
      <c r="AC207" s="22" t="s">
        <v>58</v>
      </c>
      <c r="AD207" s="22" t="s">
        <v>58</v>
      </c>
      <c r="AE207" s="22" t="s">
        <v>61</v>
      </c>
      <c r="AF207" s="22" t="s">
        <v>61</v>
      </c>
      <c r="AG207" s="22" t="s">
        <v>58</v>
      </c>
      <c r="AH207" s="22">
        <v>500.0</v>
      </c>
      <c r="AI207" s="22">
        <v>5000.0</v>
      </c>
      <c r="AJ207" s="22">
        <v>500.0</v>
      </c>
      <c r="AK207" s="22">
        <v>0.0</v>
      </c>
      <c r="AL207" s="22"/>
      <c r="AM207" s="22"/>
      <c r="AN207" s="22"/>
      <c r="AO207" s="22"/>
    </row>
    <row r="208" ht="15.75" customHeight="1">
      <c r="A208" s="22">
        <v>200.0</v>
      </c>
      <c r="B208" s="22" t="s">
        <v>1104</v>
      </c>
      <c r="C208" s="22" t="s">
        <v>1105</v>
      </c>
      <c r="D208" s="22" t="s">
        <v>1108</v>
      </c>
      <c r="E208" s="22" t="s">
        <v>49</v>
      </c>
      <c r="F208" s="42" t="s">
        <v>1905</v>
      </c>
      <c r="G208" s="82">
        <v>9.953204487E9</v>
      </c>
      <c r="H208" s="22" t="s">
        <v>397</v>
      </c>
      <c r="I208" s="22" t="s">
        <v>398</v>
      </c>
      <c r="J208" s="22" t="s">
        <v>398</v>
      </c>
      <c r="K208" s="22" t="s">
        <v>55</v>
      </c>
      <c r="L208" s="22" t="s">
        <v>56</v>
      </c>
      <c r="M208" s="22" t="s">
        <v>57</v>
      </c>
      <c r="N208" s="22" t="s">
        <v>58</v>
      </c>
      <c r="O208" s="22">
        <v>1000.0</v>
      </c>
      <c r="P208" s="22">
        <v>1500.0</v>
      </c>
      <c r="Q208" s="22" t="s">
        <v>59</v>
      </c>
      <c r="R208" s="22" t="s">
        <v>58</v>
      </c>
      <c r="S208" s="22" t="s">
        <v>58</v>
      </c>
      <c r="T208" s="22" t="s">
        <v>275</v>
      </c>
      <c r="U208" s="22"/>
      <c r="V208" s="22" t="s">
        <v>61</v>
      </c>
      <c r="W208" s="22" t="s">
        <v>58</v>
      </c>
      <c r="X208" s="22" t="s">
        <v>58</v>
      </c>
      <c r="Y208" s="22" t="s">
        <v>58</v>
      </c>
      <c r="Z208" s="22" t="s">
        <v>58</v>
      </c>
      <c r="AA208" s="22" t="s">
        <v>58</v>
      </c>
      <c r="AB208" s="22" t="s">
        <v>58</v>
      </c>
      <c r="AC208" s="22" t="s">
        <v>58</v>
      </c>
      <c r="AD208" s="22" t="s">
        <v>58</v>
      </c>
      <c r="AE208" s="22" t="s">
        <v>61</v>
      </c>
      <c r="AF208" s="22" t="s">
        <v>61</v>
      </c>
      <c r="AG208" s="22" t="s">
        <v>58</v>
      </c>
      <c r="AH208" s="22">
        <v>100.0</v>
      </c>
      <c r="AI208" s="22">
        <v>10000.0</v>
      </c>
      <c r="AJ208" s="22">
        <v>100.0</v>
      </c>
      <c r="AK208" s="22">
        <v>0.0</v>
      </c>
      <c r="AL208" s="22"/>
      <c r="AM208" s="22"/>
      <c r="AN208" s="22"/>
      <c r="AO208" s="22"/>
    </row>
    <row r="209" ht="15.75" customHeight="1">
      <c r="A209" s="22">
        <v>201.0</v>
      </c>
      <c r="B209" s="22" t="s">
        <v>957</v>
      </c>
      <c r="C209" s="22" t="s">
        <v>958</v>
      </c>
      <c r="D209" s="66" t="s">
        <v>959</v>
      </c>
      <c r="E209" s="22" t="s">
        <v>49</v>
      </c>
      <c r="F209" s="42" t="s">
        <v>1907</v>
      </c>
      <c r="G209" s="75" t="s">
        <v>1909</v>
      </c>
      <c r="H209" s="22" t="s">
        <v>75</v>
      </c>
      <c r="I209" s="22" t="s">
        <v>76</v>
      </c>
      <c r="J209" s="22" t="s">
        <v>76</v>
      </c>
      <c r="K209" s="22" t="s">
        <v>55</v>
      </c>
      <c r="L209" s="22" t="s">
        <v>56</v>
      </c>
      <c r="M209" s="22" t="s">
        <v>57</v>
      </c>
      <c r="N209" s="22" t="s">
        <v>58</v>
      </c>
      <c r="O209" s="22">
        <v>800.0</v>
      </c>
      <c r="P209" s="22">
        <v>1000.0</v>
      </c>
      <c r="Q209" s="22" t="s">
        <v>59</v>
      </c>
      <c r="R209" s="22" t="s">
        <v>58</v>
      </c>
      <c r="S209" s="22" t="s">
        <v>58</v>
      </c>
      <c r="T209" s="22"/>
      <c r="U209" s="22"/>
      <c r="V209" s="22" t="s">
        <v>61</v>
      </c>
      <c r="W209" s="22" t="s">
        <v>58</v>
      </c>
      <c r="X209" s="22" t="s">
        <v>58</v>
      </c>
      <c r="Y209" s="22" t="s">
        <v>58</v>
      </c>
      <c r="Z209" s="22" t="s">
        <v>58</v>
      </c>
      <c r="AA209" s="22" t="s">
        <v>58</v>
      </c>
      <c r="AB209" s="22" t="s">
        <v>58</v>
      </c>
      <c r="AC209" s="22" t="s">
        <v>58</v>
      </c>
      <c r="AD209" s="22" t="s">
        <v>58</v>
      </c>
      <c r="AE209" s="22" t="s">
        <v>61</v>
      </c>
      <c r="AF209" s="22" t="s">
        <v>61</v>
      </c>
      <c r="AG209" s="22" t="s">
        <v>58</v>
      </c>
      <c r="AH209" s="22">
        <v>20.0</v>
      </c>
      <c r="AI209" s="22">
        <v>2000.0</v>
      </c>
      <c r="AJ209" s="22">
        <v>20.0</v>
      </c>
      <c r="AK209" s="22">
        <v>0.0</v>
      </c>
      <c r="AL209" s="22"/>
      <c r="AM209" s="22"/>
      <c r="AN209" s="22"/>
      <c r="AO209" s="22"/>
    </row>
    <row r="210" ht="15.75" customHeight="1">
      <c r="A210" s="22">
        <v>202.0</v>
      </c>
      <c r="B210" s="22" t="s">
        <v>1912</v>
      </c>
      <c r="C210" s="22" t="s">
        <v>1913</v>
      </c>
      <c r="D210" s="66" t="s">
        <v>1914</v>
      </c>
      <c r="E210" s="22" t="s">
        <v>49</v>
      </c>
      <c r="F210" s="42" t="s">
        <v>1916</v>
      </c>
      <c r="G210" s="75" t="s">
        <v>1919</v>
      </c>
      <c r="H210" s="22" t="s">
        <v>123</v>
      </c>
      <c r="I210" s="22" t="s">
        <v>124</v>
      </c>
      <c r="J210" s="22" t="s">
        <v>74</v>
      </c>
      <c r="K210" s="22" t="s">
        <v>55</v>
      </c>
      <c r="L210" s="22" t="s">
        <v>56</v>
      </c>
      <c r="M210" s="22" t="s">
        <v>57</v>
      </c>
      <c r="N210" s="22" t="s">
        <v>58</v>
      </c>
      <c r="O210" s="22">
        <v>900.0</v>
      </c>
      <c r="P210" s="22">
        <v>1000.0</v>
      </c>
      <c r="Q210" s="22" t="s">
        <v>59</v>
      </c>
      <c r="R210" s="22" t="s">
        <v>58</v>
      </c>
      <c r="S210" s="22" t="s">
        <v>58</v>
      </c>
      <c r="T210" s="22"/>
      <c r="U210" s="22"/>
      <c r="V210" s="22" t="s">
        <v>61</v>
      </c>
      <c r="W210" s="22" t="s">
        <v>58</v>
      </c>
      <c r="X210" s="22" t="s">
        <v>58</v>
      </c>
      <c r="Y210" s="22" t="s">
        <v>58</v>
      </c>
      <c r="Z210" s="22" t="s">
        <v>58</v>
      </c>
      <c r="AA210" s="22" t="s">
        <v>58</v>
      </c>
      <c r="AB210" s="22" t="s">
        <v>58</v>
      </c>
      <c r="AC210" s="22" t="s">
        <v>58</v>
      </c>
      <c r="AD210" s="22" t="s">
        <v>58</v>
      </c>
      <c r="AE210" s="22" t="s">
        <v>61</v>
      </c>
      <c r="AF210" s="22" t="s">
        <v>61</v>
      </c>
      <c r="AG210" s="22" t="s">
        <v>58</v>
      </c>
      <c r="AH210" s="22">
        <v>25.0</v>
      </c>
      <c r="AI210" s="22">
        <v>500.0</v>
      </c>
      <c r="AJ210" s="22">
        <v>25.0</v>
      </c>
      <c r="AK210" s="22">
        <v>0.0</v>
      </c>
      <c r="AL210" s="22"/>
      <c r="AM210" s="22"/>
      <c r="AN210" s="22"/>
      <c r="AO210" s="22"/>
    </row>
    <row r="211" ht="15.75" customHeight="1">
      <c r="A211" s="22">
        <v>203.0</v>
      </c>
      <c r="B211" s="22" t="s">
        <v>1921</v>
      </c>
      <c r="C211" s="22" t="s">
        <v>1922</v>
      </c>
      <c r="D211" s="66" t="s">
        <v>1923</v>
      </c>
      <c r="E211" s="22" t="s">
        <v>49</v>
      </c>
      <c r="F211" s="42" t="s">
        <v>1924</v>
      </c>
      <c r="G211" s="75" t="s">
        <v>1927</v>
      </c>
      <c r="H211" s="22" t="s">
        <v>72</v>
      </c>
      <c r="I211" s="22" t="s">
        <v>73</v>
      </c>
      <c r="J211" s="22" t="s">
        <v>74</v>
      </c>
      <c r="K211" s="22" t="s">
        <v>55</v>
      </c>
      <c r="L211" s="22" t="s">
        <v>56</v>
      </c>
      <c r="M211" s="22" t="s">
        <v>57</v>
      </c>
      <c r="N211" s="22" t="s">
        <v>58</v>
      </c>
      <c r="O211" s="22">
        <v>1200.0</v>
      </c>
      <c r="P211" s="22">
        <v>1500.0</v>
      </c>
      <c r="Q211" s="22" t="s">
        <v>59</v>
      </c>
      <c r="R211" s="22" t="s">
        <v>58</v>
      </c>
      <c r="S211" s="22" t="s">
        <v>58</v>
      </c>
      <c r="T211" s="22"/>
      <c r="U211" s="22"/>
      <c r="V211" s="22" t="s">
        <v>61</v>
      </c>
      <c r="W211" s="22" t="s">
        <v>58</v>
      </c>
      <c r="X211" s="22" t="s">
        <v>58</v>
      </c>
      <c r="Y211" s="22" t="s">
        <v>58</v>
      </c>
      <c r="Z211" s="22" t="s">
        <v>58</v>
      </c>
      <c r="AA211" s="22" t="s">
        <v>58</v>
      </c>
      <c r="AB211" s="22" t="s">
        <v>58</v>
      </c>
      <c r="AC211" s="22" t="s">
        <v>58</v>
      </c>
      <c r="AD211" s="22" t="s">
        <v>58</v>
      </c>
      <c r="AE211" s="22" t="s">
        <v>61</v>
      </c>
      <c r="AF211" s="22" t="s">
        <v>61</v>
      </c>
      <c r="AG211" s="22" t="s">
        <v>58</v>
      </c>
      <c r="AH211" s="22">
        <v>10.0</v>
      </c>
      <c r="AI211" s="22">
        <v>2000.0</v>
      </c>
      <c r="AJ211" s="22">
        <v>10.0</v>
      </c>
      <c r="AK211" s="22">
        <v>0.0</v>
      </c>
      <c r="AL211" s="22"/>
      <c r="AM211" s="22"/>
      <c r="AN211" s="22"/>
      <c r="AO211" s="22"/>
    </row>
    <row r="212" ht="44.25" customHeight="1">
      <c r="A212" s="22">
        <v>204.0</v>
      </c>
      <c r="B212" s="22" t="s">
        <v>1928</v>
      </c>
      <c r="C212" s="22" t="s">
        <v>1929</v>
      </c>
      <c r="D212" s="22" t="s">
        <v>1930</v>
      </c>
      <c r="E212" s="22" t="s">
        <v>49</v>
      </c>
      <c r="F212" s="24" t="s">
        <v>69</v>
      </c>
      <c r="G212" s="24" t="s">
        <v>69</v>
      </c>
      <c r="H212" s="22" t="s">
        <v>303</v>
      </c>
      <c r="I212" s="22" t="s">
        <v>303</v>
      </c>
      <c r="J212" s="22" t="s">
        <v>74</v>
      </c>
      <c r="K212" s="22" t="s">
        <v>55</v>
      </c>
      <c r="L212" s="22" t="s">
        <v>56</v>
      </c>
      <c r="M212" s="22" t="s">
        <v>57</v>
      </c>
      <c r="N212" s="22" t="s">
        <v>58</v>
      </c>
      <c r="O212" s="22">
        <v>900.0</v>
      </c>
      <c r="P212" s="22">
        <v>1000.0</v>
      </c>
      <c r="Q212" s="22" t="s">
        <v>59</v>
      </c>
      <c r="R212" s="22" t="s">
        <v>58</v>
      </c>
      <c r="S212" s="22" t="s">
        <v>58</v>
      </c>
      <c r="T212" s="24" t="s">
        <v>1932</v>
      </c>
      <c r="U212" s="22"/>
      <c r="V212" s="22" t="s">
        <v>61</v>
      </c>
      <c r="W212" s="22" t="s">
        <v>58</v>
      </c>
      <c r="X212" s="22" t="s">
        <v>58</v>
      </c>
      <c r="Y212" s="22" t="s">
        <v>58</v>
      </c>
      <c r="Z212" s="22" t="s">
        <v>58</v>
      </c>
      <c r="AA212" s="22" t="s">
        <v>58</v>
      </c>
      <c r="AB212" s="22" t="s">
        <v>58</v>
      </c>
      <c r="AC212" s="22" t="s">
        <v>58</v>
      </c>
      <c r="AD212" s="22" t="s">
        <v>58</v>
      </c>
      <c r="AE212" s="22" t="s">
        <v>61</v>
      </c>
      <c r="AF212" s="22" t="s">
        <v>61</v>
      </c>
      <c r="AG212" s="22" t="s">
        <v>58</v>
      </c>
      <c r="AH212" s="22">
        <v>50.0</v>
      </c>
      <c r="AI212" s="22">
        <v>50.0</v>
      </c>
      <c r="AJ212" s="22">
        <v>50.0</v>
      </c>
      <c r="AK212" s="22">
        <v>0.0</v>
      </c>
      <c r="AL212" s="22"/>
      <c r="AM212" s="22"/>
      <c r="AN212" s="22"/>
      <c r="AO212" s="22"/>
    </row>
    <row r="213" ht="15.75" customHeight="1">
      <c r="A213" s="15">
        <v>205.0</v>
      </c>
      <c r="B213" s="15" t="s">
        <v>1935</v>
      </c>
      <c r="C213" s="15" t="s">
        <v>1936</v>
      </c>
      <c r="D213" s="48" t="s">
        <v>1937</v>
      </c>
      <c r="E213" s="15" t="s">
        <v>49</v>
      </c>
      <c r="F213" s="49" t="s">
        <v>1938</v>
      </c>
      <c r="G213" s="15" t="s">
        <v>1939</v>
      </c>
      <c r="H213" s="15" t="s">
        <v>513</v>
      </c>
      <c r="I213" s="15" t="s">
        <v>514</v>
      </c>
      <c r="J213" s="15" t="s">
        <v>74</v>
      </c>
      <c r="K213" s="15" t="s">
        <v>55</v>
      </c>
      <c r="L213" s="15" t="s">
        <v>56</v>
      </c>
      <c r="M213" s="15" t="s">
        <v>57</v>
      </c>
      <c r="N213" s="15" t="s">
        <v>58</v>
      </c>
      <c r="O213" s="15">
        <v>450.0</v>
      </c>
      <c r="P213" s="15">
        <v>550.0</v>
      </c>
      <c r="Q213" s="15" t="s">
        <v>59</v>
      </c>
      <c r="R213" s="15" t="s">
        <v>58</v>
      </c>
      <c r="S213" s="15" t="s">
        <v>58</v>
      </c>
      <c r="T213" s="15"/>
      <c r="U213" s="15"/>
      <c r="V213" s="15" t="s">
        <v>61</v>
      </c>
      <c r="W213" s="15" t="s">
        <v>58</v>
      </c>
      <c r="X213" s="15" t="s">
        <v>58</v>
      </c>
      <c r="Y213" s="15" t="s">
        <v>58</v>
      </c>
      <c r="Z213" s="15" t="s">
        <v>58</v>
      </c>
      <c r="AA213" s="15" t="s">
        <v>58</v>
      </c>
      <c r="AB213" s="15" t="s">
        <v>58</v>
      </c>
      <c r="AC213" s="15" t="s">
        <v>58</v>
      </c>
      <c r="AD213" s="15" t="s">
        <v>58</v>
      </c>
      <c r="AE213" s="15" t="s">
        <v>61</v>
      </c>
      <c r="AF213" s="15" t="s">
        <v>61</v>
      </c>
      <c r="AG213" s="15" t="s">
        <v>58</v>
      </c>
      <c r="AH213" s="15">
        <v>1000.0</v>
      </c>
      <c r="AI213" s="15">
        <v>100.0</v>
      </c>
      <c r="AJ213" s="15">
        <v>1000.0</v>
      </c>
      <c r="AK213" s="15">
        <v>0.0</v>
      </c>
      <c r="AL213" s="15"/>
      <c r="AM213" s="15"/>
      <c r="AN213" s="16" t="s">
        <v>757</v>
      </c>
      <c r="AO213" s="21">
        <v>2.0</v>
      </c>
    </row>
    <row r="214" ht="15.75" customHeight="1">
      <c r="A214" s="22">
        <v>206.0</v>
      </c>
      <c r="B214" s="22" t="s">
        <v>1943</v>
      </c>
      <c r="C214" s="22" t="s">
        <v>1944</v>
      </c>
      <c r="D214" s="66" t="s">
        <v>1945</v>
      </c>
      <c r="E214" s="22" t="s">
        <v>49</v>
      </c>
      <c r="F214" s="42" t="s">
        <v>1946</v>
      </c>
      <c r="G214" s="75" t="s">
        <v>1949</v>
      </c>
      <c r="H214" s="22" t="s">
        <v>123</v>
      </c>
      <c r="I214" s="22" t="s">
        <v>124</v>
      </c>
      <c r="J214" s="22" t="s">
        <v>74</v>
      </c>
      <c r="K214" s="22" t="s">
        <v>55</v>
      </c>
      <c r="L214" s="22" t="s">
        <v>56</v>
      </c>
      <c r="M214" s="22" t="s">
        <v>57</v>
      </c>
      <c r="N214" s="22" t="s">
        <v>58</v>
      </c>
      <c r="O214" s="22">
        <v>2000.0</v>
      </c>
      <c r="P214" s="22">
        <v>2000.0</v>
      </c>
      <c r="Q214" s="22" t="s">
        <v>59</v>
      </c>
      <c r="R214" s="22" t="s">
        <v>58</v>
      </c>
      <c r="S214" s="22" t="s">
        <v>58</v>
      </c>
      <c r="T214" s="22"/>
      <c r="U214" s="22"/>
      <c r="V214" s="22" t="s">
        <v>61</v>
      </c>
      <c r="W214" s="22" t="s">
        <v>58</v>
      </c>
      <c r="X214" s="22" t="s">
        <v>58</v>
      </c>
      <c r="Y214" s="22" t="s">
        <v>58</v>
      </c>
      <c r="Z214" s="22" t="s">
        <v>58</v>
      </c>
      <c r="AA214" s="22" t="s">
        <v>58</v>
      </c>
      <c r="AB214" s="22" t="s">
        <v>58</v>
      </c>
      <c r="AC214" s="22" t="s">
        <v>58</v>
      </c>
      <c r="AD214" s="22" t="s">
        <v>58</v>
      </c>
      <c r="AE214" s="22" t="s">
        <v>61</v>
      </c>
      <c r="AF214" s="22" t="s">
        <v>61</v>
      </c>
      <c r="AG214" s="22" t="s">
        <v>58</v>
      </c>
      <c r="AH214" s="22">
        <v>2.0</v>
      </c>
      <c r="AI214" s="22">
        <v>2000.0</v>
      </c>
      <c r="AJ214" s="22">
        <v>2.0</v>
      </c>
      <c r="AK214" s="22">
        <v>0.0</v>
      </c>
      <c r="AL214" s="22"/>
      <c r="AM214" s="22"/>
      <c r="AN214" s="22"/>
      <c r="AO214" s="22"/>
    </row>
    <row r="215" ht="15.75" customHeight="1">
      <c r="A215" s="15">
        <v>207.0</v>
      </c>
      <c r="B215" s="15" t="s">
        <v>255</v>
      </c>
      <c r="C215" s="15" t="s">
        <v>256</v>
      </c>
      <c r="D215" s="48" t="s">
        <v>1954</v>
      </c>
      <c r="E215" s="15" t="s">
        <v>49</v>
      </c>
      <c r="F215" s="49" t="s">
        <v>260</v>
      </c>
      <c r="G215" s="15" t="s">
        <v>272</v>
      </c>
      <c r="H215" s="15" t="s">
        <v>273</v>
      </c>
      <c r="I215" s="15" t="s">
        <v>274</v>
      </c>
      <c r="J215" s="15" t="s">
        <v>274</v>
      </c>
      <c r="K215" s="15" t="s">
        <v>55</v>
      </c>
      <c r="L215" s="15" t="s">
        <v>56</v>
      </c>
      <c r="M215" s="15" t="s">
        <v>57</v>
      </c>
      <c r="N215" s="15" t="s">
        <v>58</v>
      </c>
      <c r="O215" s="15">
        <v>800.0</v>
      </c>
      <c r="P215" s="15">
        <v>1200.0</v>
      </c>
      <c r="Q215" s="15" t="s">
        <v>59</v>
      </c>
      <c r="R215" s="15" t="s">
        <v>58</v>
      </c>
      <c r="S215" s="15" t="s">
        <v>58</v>
      </c>
      <c r="T215" s="15"/>
      <c r="U215" s="15"/>
      <c r="V215" s="15" t="s">
        <v>61</v>
      </c>
      <c r="W215" s="15" t="s">
        <v>58</v>
      </c>
      <c r="X215" s="15" t="s">
        <v>58</v>
      </c>
      <c r="Y215" s="15" t="s">
        <v>58</v>
      </c>
      <c r="Z215" s="15" t="s">
        <v>58</v>
      </c>
      <c r="AA215" s="15" t="s">
        <v>58</v>
      </c>
      <c r="AB215" s="15" t="s">
        <v>58</v>
      </c>
      <c r="AC215" s="15" t="s">
        <v>58</v>
      </c>
      <c r="AD215" s="15" t="s">
        <v>58</v>
      </c>
      <c r="AE215" s="15" t="s">
        <v>61</v>
      </c>
      <c r="AF215" s="15" t="s">
        <v>61</v>
      </c>
      <c r="AG215" s="15" t="s">
        <v>58</v>
      </c>
      <c r="AH215" s="15">
        <v>150.0</v>
      </c>
      <c r="AI215" s="15">
        <v>4000.0</v>
      </c>
      <c r="AJ215" s="15">
        <v>150.0</v>
      </c>
      <c r="AK215" s="15">
        <v>0.0</v>
      </c>
      <c r="AL215" s="15"/>
      <c r="AM215" s="15"/>
      <c r="AN215" s="16" t="s">
        <v>757</v>
      </c>
      <c r="AO215" s="21">
        <v>2.0</v>
      </c>
    </row>
    <row r="216" ht="15.75" customHeight="1">
      <c r="A216" s="22">
        <v>208.0</v>
      </c>
      <c r="B216" s="22" t="s">
        <v>1958</v>
      </c>
      <c r="C216" s="22" t="s">
        <v>1959</v>
      </c>
      <c r="D216" s="22" t="s">
        <v>1961</v>
      </c>
      <c r="E216" s="22" t="s">
        <v>49</v>
      </c>
      <c r="F216" s="24" t="s">
        <v>69</v>
      </c>
      <c r="G216" s="24" t="s">
        <v>69</v>
      </c>
      <c r="H216" s="22" t="s">
        <v>1020</v>
      </c>
      <c r="I216" s="22" t="s">
        <v>587</v>
      </c>
      <c r="J216" s="22" t="s">
        <v>74</v>
      </c>
      <c r="K216" s="22" t="s">
        <v>55</v>
      </c>
      <c r="L216" s="22" t="s">
        <v>56</v>
      </c>
      <c r="M216" s="22" t="s">
        <v>57</v>
      </c>
      <c r="N216" s="22" t="s">
        <v>58</v>
      </c>
      <c r="O216" s="22">
        <v>700.0</v>
      </c>
      <c r="P216" s="22"/>
      <c r="Q216" s="22" t="s">
        <v>59</v>
      </c>
      <c r="R216" s="22" t="s">
        <v>58</v>
      </c>
      <c r="S216" s="22" t="s">
        <v>58</v>
      </c>
      <c r="T216" s="24" t="s">
        <v>1963</v>
      </c>
      <c r="U216" s="22"/>
      <c r="V216" s="22" t="s">
        <v>61</v>
      </c>
      <c r="W216" s="22" t="s">
        <v>58</v>
      </c>
      <c r="X216" s="22" t="s">
        <v>58</v>
      </c>
      <c r="Y216" s="22" t="s">
        <v>58</v>
      </c>
      <c r="Z216" s="22" t="s">
        <v>58</v>
      </c>
      <c r="AA216" s="22" t="s">
        <v>58</v>
      </c>
      <c r="AB216" s="22" t="s">
        <v>58</v>
      </c>
      <c r="AC216" s="22" t="s">
        <v>58</v>
      </c>
      <c r="AD216" s="22" t="s">
        <v>58</v>
      </c>
      <c r="AE216" s="22" t="s">
        <v>61</v>
      </c>
      <c r="AF216" s="22" t="s">
        <v>61</v>
      </c>
      <c r="AG216" s="22" t="s">
        <v>58</v>
      </c>
      <c r="AH216" s="22">
        <v>200.0</v>
      </c>
      <c r="AI216" s="22">
        <v>5000.0</v>
      </c>
      <c r="AJ216" s="22">
        <v>200.0</v>
      </c>
      <c r="AK216" s="22">
        <v>0.0</v>
      </c>
      <c r="AL216" s="22"/>
      <c r="AM216" s="22"/>
      <c r="AN216" s="22"/>
      <c r="AO216" s="22"/>
    </row>
    <row r="217" ht="15.75" customHeight="1">
      <c r="A217" s="22">
        <v>209.0</v>
      </c>
      <c r="B217" s="22" t="s">
        <v>1965</v>
      </c>
      <c r="C217" s="22" t="s">
        <v>1966</v>
      </c>
      <c r="D217" s="22" t="s">
        <v>1967</v>
      </c>
      <c r="E217" s="22" t="s">
        <v>49</v>
      </c>
      <c r="F217" s="42" t="s">
        <v>1968</v>
      </c>
      <c r="G217" s="75" t="s">
        <v>1969</v>
      </c>
      <c r="H217" s="22" t="s">
        <v>1971</v>
      </c>
      <c r="I217" s="22" t="s">
        <v>1972</v>
      </c>
      <c r="J217" s="22" t="s">
        <v>74</v>
      </c>
      <c r="K217" s="22" t="s">
        <v>55</v>
      </c>
      <c r="L217" s="22" t="s">
        <v>56</v>
      </c>
      <c r="M217" s="22" t="s">
        <v>57</v>
      </c>
      <c r="N217" s="22" t="s">
        <v>58</v>
      </c>
      <c r="O217" s="22">
        <v>1800.0</v>
      </c>
      <c r="P217" s="22">
        <v>2000.0</v>
      </c>
      <c r="Q217" s="22" t="s">
        <v>59</v>
      </c>
      <c r="R217" s="22" t="s">
        <v>58</v>
      </c>
      <c r="S217" s="22" t="s">
        <v>58</v>
      </c>
      <c r="T217" s="22" t="s">
        <v>948</v>
      </c>
      <c r="U217" s="22"/>
      <c r="V217" s="22" t="s">
        <v>61</v>
      </c>
      <c r="W217" s="22" t="s">
        <v>58</v>
      </c>
      <c r="X217" s="22" t="s">
        <v>58</v>
      </c>
      <c r="Y217" s="22" t="s">
        <v>58</v>
      </c>
      <c r="Z217" s="22" t="s">
        <v>58</v>
      </c>
      <c r="AA217" s="22" t="s">
        <v>58</v>
      </c>
      <c r="AB217" s="22" t="s">
        <v>58</v>
      </c>
      <c r="AC217" s="22" t="s">
        <v>58</v>
      </c>
      <c r="AD217" s="22" t="s">
        <v>58</v>
      </c>
      <c r="AE217" s="22" t="s">
        <v>61</v>
      </c>
      <c r="AF217" s="22" t="s">
        <v>61</v>
      </c>
      <c r="AG217" s="22" t="s">
        <v>58</v>
      </c>
      <c r="AH217" s="22">
        <v>50.0</v>
      </c>
      <c r="AI217" s="22">
        <v>2000.0</v>
      </c>
      <c r="AJ217" s="22">
        <v>50.0</v>
      </c>
      <c r="AK217" s="22">
        <v>0.0</v>
      </c>
      <c r="AL217" s="22"/>
      <c r="AM217" s="22"/>
      <c r="AN217" s="22"/>
      <c r="AO217" s="22"/>
    </row>
    <row r="218" ht="15.75" customHeight="1">
      <c r="A218" s="22">
        <v>210.0</v>
      </c>
      <c r="B218" s="22" t="s">
        <v>1976</v>
      </c>
      <c r="C218" s="22" t="s">
        <v>1977</v>
      </c>
      <c r="D218" s="22" t="s">
        <v>1978</v>
      </c>
      <c r="E218" s="22" t="s">
        <v>49</v>
      </c>
      <c r="F218" s="42" t="s">
        <v>1979</v>
      </c>
      <c r="G218" s="75" t="s">
        <v>1982</v>
      </c>
      <c r="H218" s="22" t="s">
        <v>303</v>
      </c>
      <c r="I218" s="22" t="s">
        <v>303</v>
      </c>
      <c r="J218" s="22" t="s">
        <v>74</v>
      </c>
      <c r="K218" s="22" t="s">
        <v>55</v>
      </c>
      <c r="L218" s="22" t="s">
        <v>56</v>
      </c>
      <c r="M218" s="22" t="s">
        <v>57</v>
      </c>
      <c r="N218" s="22" t="s">
        <v>58</v>
      </c>
      <c r="O218" s="22">
        <v>400.0</v>
      </c>
      <c r="P218" s="22">
        <v>600.0</v>
      </c>
      <c r="Q218" s="22" t="s">
        <v>59</v>
      </c>
      <c r="R218" s="22" t="s">
        <v>58</v>
      </c>
      <c r="S218" s="22" t="s">
        <v>58</v>
      </c>
      <c r="T218" s="22" t="s">
        <v>1778</v>
      </c>
      <c r="U218" s="22"/>
      <c r="V218" s="22" t="s">
        <v>61</v>
      </c>
      <c r="W218" s="22" t="s">
        <v>58</v>
      </c>
      <c r="X218" s="22" t="s">
        <v>58</v>
      </c>
      <c r="Y218" s="22" t="s">
        <v>58</v>
      </c>
      <c r="Z218" s="22" t="s">
        <v>58</v>
      </c>
      <c r="AA218" s="22" t="s">
        <v>58</v>
      </c>
      <c r="AB218" s="22" t="s">
        <v>58</v>
      </c>
      <c r="AC218" s="22" t="s">
        <v>58</v>
      </c>
      <c r="AD218" s="22" t="s">
        <v>58</v>
      </c>
      <c r="AE218" s="22" t="s">
        <v>61</v>
      </c>
      <c r="AF218" s="22" t="s">
        <v>61</v>
      </c>
      <c r="AG218" s="22" t="s">
        <v>58</v>
      </c>
      <c r="AH218" s="22">
        <v>100.0</v>
      </c>
      <c r="AI218" s="22">
        <v>0.0</v>
      </c>
      <c r="AJ218" s="22">
        <v>100.0</v>
      </c>
      <c r="AK218" s="22">
        <v>0.0</v>
      </c>
      <c r="AL218" s="22"/>
      <c r="AM218" s="22"/>
      <c r="AN218" s="22"/>
      <c r="AO218" s="22"/>
    </row>
    <row r="219" ht="15.75" customHeight="1">
      <c r="A219" s="22">
        <v>211.0</v>
      </c>
      <c r="B219" s="22" t="s">
        <v>1984</v>
      </c>
      <c r="C219" s="22" t="s">
        <v>1985</v>
      </c>
      <c r="D219" s="59" t="s">
        <v>1987</v>
      </c>
      <c r="E219" s="22" t="s">
        <v>49</v>
      </c>
      <c r="F219" s="22"/>
      <c r="G219" s="22" t="s">
        <v>1988</v>
      </c>
      <c r="H219" s="22" t="s">
        <v>123</v>
      </c>
      <c r="I219" s="22" t="s">
        <v>124</v>
      </c>
      <c r="J219" s="22" t="s">
        <v>74</v>
      </c>
      <c r="K219" s="22" t="s">
        <v>55</v>
      </c>
      <c r="L219" s="22" t="s">
        <v>56</v>
      </c>
      <c r="M219" s="22" t="s">
        <v>57</v>
      </c>
      <c r="N219" s="22" t="s">
        <v>58</v>
      </c>
      <c r="O219" s="22">
        <v>900.0</v>
      </c>
      <c r="P219" s="22">
        <v>1000.0</v>
      </c>
      <c r="Q219" s="22" t="s">
        <v>59</v>
      </c>
      <c r="R219" s="22" t="s">
        <v>58</v>
      </c>
      <c r="S219" s="22" t="s">
        <v>58</v>
      </c>
      <c r="T219" s="22"/>
      <c r="U219" s="22"/>
      <c r="V219" s="22" t="s">
        <v>61</v>
      </c>
      <c r="W219" s="22" t="s">
        <v>58</v>
      </c>
      <c r="X219" s="22" t="s">
        <v>58</v>
      </c>
      <c r="Y219" s="22" t="s">
        <v>58</v>
      </c>
      <c r="Z219" s="22" t="s">
        <v>58</v>
      </c>
      <c r="AA219" s="22" t="s">
        <v>58</v>
      </c>
      <c r="AB219" s="22" t="s">
        <v>58</v>
      </c>
      <c r="AC219" s="22" t="s">
        <v>58</v>
      </c>
      <c r="AD219" s="22" t="s">
        <v>58</v>
      </c>
      <c r="AE219" s="22" t="s">
        <v>61</v>
      </c>
      <c r="AF219" s="22" t="s">
        <v>61</v>
      </c>
      <c r="AG219" s="22" t="s">
        <v>58</v>
      </c>
      <c r="AH219" s="22">
        <v>25.0</v>
      </c>
      <c r="AI219" s="22">
        <v>500.0</v>
      </c>
      <c r="AJ219" s="22">
        <v>25.0</v>
      </c>
      <c r="AK219" s="22">
        <v>0.0</v>
      </c>
      <c r="AL219" s="22"/>
      <c r="AM219" s="22"/>
      <c r="AN219" s="24" t="s">
        <v>757</v>
      </c>
      <c r="AO219" s="22"/>
    </row>
    <row r="220" ht="15.75" customHeight="1">
      <c r="A220" s="22">
        <v>212.0</v>
      </c>
      <c r="B220" s="22" t="s">
        <v>1990</v>
      </c>
      <c r="C220" s="22" t="s">
        <v>1991</v>
      </c>
      <c r="D220" s="22" t="s">
        <v>1992</v>
      </c>
      <c r="E220" s="22" t="s">
        <v>49</v>
      </c>
      <c r="F220" s="24" t="s">
        <v>69</v>
      </c>
      <c r="G220" s="24" t="s">
        <v>69</v>
      </c>
      <c r="H220" s="22" t="s">
        <v>303</v>
      </c>
      <c r="I220" s="22" t="s">
        <v>303</v>
      </c>
      <c r="J220" s="22" t="s">
        <v>74</v>
      </c>
      <c r="K220" s="22" t="s">
        <v>55</v>
      </c>
      <c r="L220" s="22" t="s">
        <v>56</v>
      </c>
      <c r="M220" s="22" t="s">
        <v>57</v>
      </c>
      <c r="N220" s="22" t="s">
        <v>58</v>
      </c>
      <c r="O220" s="22">
        <v>1000.0</v>
      </c>
      <c r="P220" s="22">
        <v>1000.0</v>
      </c>
      <c r="Q220" s="22" t="s">
        <v>59</v>
      </c>
      <c r="R220" s="22" t="s">
        <v>58</v>
      </c>
      <c r="S220" s="22" t="s">
        <v>58</v>
      </c>
      <c r="T220" s="24" t="s">
        <v>1994</v>
      </c>
      <c r="U220" s="22"/>
      <c r="V220" s="22" t="s">
        <v>61</v>
      </c>
      <c r="W220" s="22" t="s">
        <v>58</v>
      </c>
      <c r="X220" s="22" t="s">
        <v>58</v>
      </c>
      <c r="Y220" s="22" t="s">
        <v>58</v>
      </c>
      <c r="Z220" s="22" t="s">
        <v>58</v>
      </c>
      <c r="AA220" s="22" t="s">
        <v>58</v>
      </c>
      <c r="AB220" s="22" t="s">
        <v>58</v>
      </c>
      <c r="AC220" s="22" t="s">
        <v>58</v>
      </c>
      <c r="AD220" s="22" t="s">
        <v>58</v>
      </c>
      <c r="AE220" s="22" t="s">
        <v>61</v>
      </c>
      <c r="AF220" s="22" t="s">
        <v>61</v>
      </c>
      <c r="AG220" s="22" t="s">
        <v>58</v>
      </c>
      <c r="AH220" s="22">
        <v>25.0</v>
      </c>
      <c r="AI220" s="22">
        <v>5000.0</v>
      </c>
      <c r="AJ220" s="22">
        <v>25.0</v>
      </c>
      <c r="AK220" s="22">
        <v>0.0</v>
      </c>
      <c r="AL220" s="22"/>
      <c r="AM220" s="22"/>
      <c r="AN220" s="22"/>
      <c r="AO220" s="22"/>
    </row>
    <row r="221" ht="15.75" customHeight="1">
      <c r="A221" s="22">
        <v>213.0</v>
      </c>
      <c r="B221" s="22" t="s">
        <v>268</v>
      </c>
      <c r="C221" s="22" t="s">
        <v>1069</v>
      </c>
      <c r="D221" s="66" t="s">
        <v>269</v>
      </c>
      <c r="E221" s="22" t="s">
        <v>49</v>
      </c>
      <c r="F221" s="24" t="s">
        <v>69</v>
      </c>
      <c r="G221" s="24" t="s">
        <v>69</v>
      </c>
      <c r="H221" s="22" t="s">
        <v>271</v>
      </c>
      <c r="I221" s="22" t="s">
        <v>92</v>
      </c>
      <c r="J221" s="22" t="s">
        <v>74</v>
      </c>
      <c r="K221" s="22" t="s">
        <v>55</v>
      </c>
      <c r="L221" s="22" t="s">
        <v>56</v>
      </c>
      <c r="M221" s="22" t="s">
        <v>57</v>
      </c>
      <c r="N221" s="22" t="s">
        <v>58</v>
      </c>
      <c r="O221" s="22">
        <v>450.0</v>
      </c>
      <c r="P221" s="22">
        <v>600.0</v>
      </c>
      <c r="Q221" s="22" t="s">
        <v>59</v>
      </c>
      <c r="R221" s="22" t="s">
        <v>58</v>
      </c>
      <c r="S221" s="22" t="s">
        <v>58</v>
      </c>
      <c r="T221" s="22"/>
      <c r="U221" s="22"/>
      <c r="V221" s="22" t="s">
        <v>61</v>
      </c>
      <c r="W221" s="22" t="s">
        <v>58</v>
      </c>
      <c r="X221" s="22" t="s">
        <v>58</v>
      </c>
      <c r="Y221" s="22" t="s">
        <v>58</v>
      </c>
      <c r="Z221" s="22" t="s">
        <v>58</v>
      </c>
      <c r="AA221" s="22" t="s">
        <v>58</v>
      </c>
      <c r="AB221" s="22" t="s">
        <v>58</v>
      </c>
      <c r="AC221" s="22" t="s">
        <v>58</v>
      </c>
      <c r="AD221" s="22" t="s">
        <v>58</v>
      </c>
      <c r="AE221" s="22" t="s">
        <v>61</v>
      </c>
      <c r="AF221" s="22" t="s">
        <v>61</v>
      </c>
      <c r="AG221" s="22" t="s">
        <v>58</v>
      </c>
      <c r="AH221" s="22">
        <v>200.0</v>
      </c>
      <c r="AI221" s="22">
        <v>5000.0</v>
      </c>
      <c r="AJ221" s="22">
        <v>200.0</v>
      </c>
      <c r="AK221" s="22">
        <v>0.0</v>
      </c>
      <c r="AL221" s="22"/>
      <c r="AM221" s="22"/>
      <c r="AN221" s="22"/>
      <c r="AO221" s="22"/>
    </row>
    <row r="222" ht="15.75" customHeight="1">
      <c r="A222" s="22">
        <v>214.0</v>
      </c>
      <c r="B222" s="22" t="s">
        <v>257</v>
      </c>
      <c r="C222" s="22" t="s">
        <v>292</v>
      </c>
      <c r="D222" s="66" t="s">
        <v>1997</v>
      </c>
      <c r="E222" s="22" t="s">
        <v>49</v>
      </c>
      <c r="F222" s="42" t="s">
        <v>1999</v>
      </c>
      <c r="G222" s="75" t="s">
        <v>2000</v>
      </c>
      <c r="H222" s="22" t="s">
        <v>118</v>
      </c>
      <c r="I222" s="22" t="s">
        <v>92</v>
      </c>
      <c r="J222" s="22" t="s">
        <v>92</v>
      </c>
      <c r="K222" s="22" t="s">
        <v>55</v>
      </c>
      <c r="L222" s="22" t="s">
        <v>56</v>
      </c>
      <c r="M222" s="22" t="s">
        <v>57</v>
      </c>
      <c r="N222" s="22" t="s">
        <v>58</v>
      </c>
      <c r="O222" s="22">
        <v>2000.0</v>
      </c>
      <c r="P222" s="22">
        <v>2300.0</v>
      </c>
      <c r="Q222" s="22" t="s">
        <v>59</v>
      </c>
      <c r="R222" s="22" t="s">
        <v>58</v>
      </c>
      <c r="S222" s="22" t="s">
        <v>58</v>
      </c>
      <c r="T222" s="22"/>
      <c r="U222" s="22"/>
      <c r="V222" s="22" t="s">
        <v>61</v>
      </c>
      <c r="W222" s="22" t="s">
        <v>58</v>
      </c>
      <c r="X222" s="22" t="s">
        <v>58</v>
      </c>
      <c r="Y222" s="22" t="s">
        <v>58</v>
      </c>
      <c r="Z222" s="22" t="s">
        <v>58</v>
      </c>
      <c r="AA222" s="22" t="s">
        <v>58</v>
      </c>
      <c r="AB222" s="22" t="s">
        <v>58</v>
      </c>
      <c r="AC222" s="22" t="s">
        <v>58</v>
      </c>
      <c r="AD222" s="22" t="s">
        <v>58</v>
      </c>
      <c r="AE222" s="22" t="s">
        <v>61</v>
      </c>
      <c r="AF222" s="22" t="s">
        <v>61</v>
      </c>
      <c r="AG222" s="22" t="s">
        <v>58</v>
      </c>
      <c r="AH222" s="22">
        <v>0.0</v>
      </c>
      <c r="AI222" s="22">
        <v>0.0</v>
      </c>
      <c r="AJ222" s="22">
        <v>0.0</v>
      </c>
      <c r="AK222" s="22">
        <v>0.0</v>
      </c>
      <c r="AL222" s="22"/>
      <c r="AM222" s="22"/>
      <c r="AN222" s="22"/>
      <c r="AO222" s="22"/>
    </row>
    <row r="223" ht="15.75" customHeight="1">
      <c r="A223" s="22">
        <v>215.0</v>
      </c>
      <c r="B223" s="22" t="s">
        <v>1140</v>
      </c>
      <c r="C223" s="22" t="s">
        <v>1141</v>
      </c>
      <c r="D223" s="22" t="s">
        <v>1143</v>
      </c>
      <c r="E223" s="22" t="s">
        <v>49</v>
      </c>
      <c r="F223" s="42" t="s">
        <v>2003</v>
      </c>
      <c r="G223" s="82">
        <v>9.034664186E9</v>
      </c>
      <c r="H223" s="22" t="s">
        <v>75</v>
      </c>
      <c r="I223" s="22" t="s">
        <v>76</v>
      </c>
      <c r="J223" s="22" t="s">
        <v>76</v>
      </c>
      <c r="K223" s="22" t="s">
        <v>55</v>
      </c>
      <c r="L223" s="22" t="s">
        <v>56</v>
      </c>
      <c r="M223" s="22" t="s">
        <v>57</v>
      </c>
      <c r="N223" s="22" t="s">
        <v>58</v>
      </c>
      <c r="O223" s="22">
        <v>250.0</v>
      </c>
      <c r="P223" s="22">
        <v>400.0</v>
      </c>
      <c r="Q223" s="22" t="s">
        <v>59</v>
      </c>
      <c r="R223" s="22" t="s">
        <v>58</v>
      </c>
      <c r="S223" s="22" t="s">
        <v>58</v>
      </c>
      <c r="T223" s="22"/>
      <c r="U223" s="22"/>
      <c r="V223" s="22" t="s">
        <v>61</v>
      </c>
      <c r="W223" s="22" t="s">
        <v>58</v>
      </c>
      <c r="X223" s="22" t="s">
        <v>58</v>
      </c>
      <c r="Y223" s="22" t="s">
        <v>58</v>
      </c>
      <c r="Z223" s="22" t="s">
        <v>58</v>
      </c>
      <c r="AA223" s="22" t="s">
        <v>58</v>
      </c>
      <c r="AB223" s="22" t="s">
        <v>58</v>
      </c>
      <c r="AC223" s="22" t="s">
        <v>58</v>
      </c>
      <c r="AD223" s="22" t="s">
        <v>58</v>
      </c>
      <c r="AE223" s="22" t="s">
        <v>61</v>
      </c>
      <c r="AF223" s="22" t="s">
        <v>61</v>
      </c>
      <c r="AG223" s="22" t="s">
        <v>58</v>
      </c>
      <c r="AH223" s="22">
        <v>25.0</v>
      </c>
      <c r="AI223" s="22">
        <v>2500.0</v>
      </c>
      <c r="AJ223" s="22">
        <v>25.0</v>
      </c>
      <c r="AK223" s="22">
        <v>0.0</v>
      </c>
      <c r="AL223" s="22"/>
      <c r="AM223" s="22"/>
      <c r="AN223" s="22"/>
      <c r="AO223" s="22"/>
    </row>
    <row r="224" ht="15.75" customHeight="1">
      <c r="A224" s="22">
        <v>216.0</v>
      </c>
      <c r="B224" s="22" t="s">
        <v>2007</v>
      </c>
      <c r="C224" s="22" t="s">
        <v>2008</v>
      </c>
      <c r="D224" s="24" t="s">
        <v>2009</v>
      </c>
      <c r="E224" s="22" t="s">
        <v>49</v>
      </c>
      <c r="F224" s="24" t="s">
        <v>69</v>
      </c>
      <c r="G224" s="24" t="s">
        <v>69</v>
      </c>
      <c r="H224" s="22" t="s">
        <v>285</v>
      </c>
      <c r="I224" s="22" t="s">
        <v>286</v>
      </c>
      <c r="J224" s="22" t="s">
        <v>74</v>
      </c>
      <c r="K224" s="22" t="s">
        <v>55</v>
      </c>
      <c r="L224" s="22" t="s">
        <v>56</v>
      </c>
      <c r="M224" s="22" t="s">
        <v>57</v>
      </c>
      <c r="N224" s="22" t="s">
        <v>58</v>
      </c>
      <c r="O224" s="22">
        <v>1800.0</v>
      </c>
      <c r="P224" s="22"/>
      <c r="Q224" s="22" t="s">
        <v>59</v>
      </c>
      <c r="R224" s="22" t="s">
        <v>58</v>
      </c>
      <c r="S224" s="22" t="s">
        <v>58</v>
      </c>
      <c r="T224" s="22"/>
      <c r="U224" s="22"/>
      <c r="V224" s="22" t="s">
        <v>61</v>
      </c>
      <c r="W224" s="22" t="s">
        <v>58</v>
      </c>
      <c r="X224" s="22" t="s">
        <v>58</v>
      </c>
      <c r="Y224" s="22" t="s">
        <v>58</v>
      </c>
      <c r="Z224" s="22" t="s">
        <v>58</v>
      </c>
      <c r="AA224" s="22" t="s">
        <v>58</v>
      </c>
      <c r="AB224" s="22" t="s">
        <v>58</v>
      </c>
      <c r="AC224" s="22" t="s">
        <v>58</v>
      </c>
      <c r="AD224" s="22" t="s">
        <v>58</v>
      </c>
      <c r="AE224" s="22" t="s">
        <v>61</v>
      </c>
      <c r="AF224" s="22" t="s">
        <v>61</v>
      </c>
      <c r="AG224" s="22" t="s">
        <v>58</v>
      </c>
      <c r="AH224" s="22">
        <v>25.0</v>
      </c>
      <c r="AI224" s="22">
        <v>500.0</v>
      </c>
      <c r="AJ224" s="22">
        <v>25.0</v>
      </c>
      <c r="AK224" s="22">
        <v>0.0</v>
      </c>
      <c r="AL224" s="22"/>
      <c r="AM224" s="22"/>
      <c r="AN224" s="22"/>
      <c r="AO224" s="22"/>
    </row>
    <row r="225" ht="30.0" customHeight="1">
      <c r="A225" s="22">
        <v>217.0</v>
      </c>
      <c r="B225" s="22" t="s">
        <v>2013</v>
      </c>
      <c r="C225" s="22" t="s">
        <v>2014</v>
      </c>
      <c r="D225" s="22"/>
      <c r="E225" s="22" t="s">
        <v>49</v>
      </c>
      <c r="F225" s="88" t="s">
        <v>2015</v>
      </c>
      <c r="G225" s="22" t="s">
        <v>2018</v>
      </c>
      <c r="H225" s="22" t="s">
        <v>1385</v>
      </c>
      <c r="I225" s="22" t="s">
        <v>1386</v>
      </c>
      <c r="J225" s="22" t="s">
        <v>74</v>
      </c>
      <c r="K225" s="22" t="s">
        <v>55</v>
      </c>
      <c r="L225" s="22" t="s">
        <v>56</v>
      </c>
      <c r="M225" s="22" t="s">
        <v>57</v>
      </c>
      <c r="N225" s="22" t="s">
        <v>58</v>
      </c>
      <c r="O225" s="22">
        <v>500.0</v>
      </c>
      <c r="P225" s="22">
        <v>800.0</v>
      </c>
      <c r="Q225" s="22" t="s">
        <v>59</v>
      </c>
      <c r="R225" s="22" t="s">
        <v>58</v>
      </c>
      <c r="S225" s="22" t="s">
        <v>58</v>
      </c>
      <c r="T225" s="22"/>
      <c r="U225" s="22"/>
      <c r="V225" s="22" t="s">
        <v>61</v>
      </c>
      <c r="W225" s="22" t="s">
        <v>58</v>
      </c>
      <c r="X225" s="22" t="s">
        <v>58</v>
      </c>
      <c r="Y225" s="22" t="s">
        <v>58</v>
      </c>
      <c r="Z225" s="22" t="s">
        <v>58</v>
      </c>
      <c r="AA225" s="22" t="s">
        <v>58</v>
      </c>
      <c r="AB225" s="22" t="s">
        <v>58</v>
      </c>
      <c r="AC225" s="22" t="s">
        <v>58</v>
      </c>
      <c r="AD225" s="22" t="s">
        <v>58</v>
      </c>
      <c r="AE225" s="22" t="s">
        <v>61</v>
      </c>
      <c r="AF225" s="22" t="s">
        <v>61</v>
      </c>
      <c r="AG225" s="22" t="s">
        <v>58</v>
      </c>
      <c r="AH225" s="22">
        <v>250.0</v>
      </c>
      <c r="AI225" s="22">
        <v>5000.0</v>
      </c>
      <c r="AJ225" s="22">
        <v>250.0</v>
      </c>
      <c r="AK225" s="22">
        <v>0.0</v>
      </c>
      <c r="AL225" s="22"/>
      <c r="AM225" s="22"/>
      <c r="AN225" s="24" t="s">
        <v>757</v>
      </c>
      <c r="AO225" s="22"/>
    </row>
    <row r="226" ht="15.75" customHeight="1">
      <c r="A226" s="22">
        <v>218.0</v>
      </c>
      <c r="B226" s="22" t="s">
        <v>865</v>
      </c>
      <c r="C226" s="22" t="s">
        <v>866</v>
      </c>
      <c r="D226" s="66" t="s">
        <v>867</v>
      </c>
      <c r="E226" s="22" t="s">
        <v>49</v>
      </c>
      <c r="F226" s="42" t="s">
        <v>2020</v>
      </c>
      <c r="G226" s="71" t="s">
        <v>2023</v>
      </c>
      <c r="H226" s="22" t="s">
        <v>75</v>
      </c>
      <c r="I226" s="22" t="s">
        <v>76</v>
      </c>
      <c r="J226" s="22" t="s">
        <v>76</v>
      </c>
      <c r="K226" s="22" t="s">
        <v>55</v>
      </c>
      <c r="L226" s="22" t="s">
        <v>56</v>
      </c>
      <c r="M226" s="22" t="s">
        <v>57</v>
      </c>
      <c r="N226" s="22" t="s">
        <v>58</v>
      </c>
      <c r="O226" s="22">
        <v>1200.0</v>
      </c>
      <c r="P226" s="22">
        <v>1500.0</v>
      </c>
      <c r="Q226" s="22" t="s">
        <v>59</v>
      </c>
      <c r="R226" s="22" t="s">
        <v>58</v>
      </c>
      <c r="S226" s="22" t="s">
        <v>58</v>
      </c>
      <c r="T226" s="22"/>
      <c r="U226" s="22"/>
      <c r="V226" s="22" t="s">
        <v>61</v>
      </c>
      <c r="W226" s="22" t="s">
        <v>58</v>
      </c>
      <c r="X226" s="22" t="s">
        <v>58</v>
      </c>
      <c r="Y226" s="22" t="s">
        <v>58</v>
      </c>
      <c r="Z226" s="22" t="s">
        <v>58</v>
      </c>
      <c r="AA226" s="22" t="s">
        <v>58</v>
      </c>
      <c r="AB226" s="22" t="s">
        <v>58</v>
      </c>
      <c r="AC226" s="22" t="s">
        <v>58</v>
      </c>
      <c r="AD226" s="22" t="s">
        <v>58</v>
      </c>
      <c r="AE226" s="22" t="s">
        <v>61</v>
      </c>
      <c r="AF226" s="22" t="s">
        <v>61</v>
      </c>
      <c r="AG226" s="22" t="s">
        <v>58</v>
      </c>
      <c r="AH226" s="22">
        <v>25.0</v>
      </c>
      <c r="AI226" s="22">
        <v>20000.0</v>
      </c>
      <c r="AJ226" s="22">
        <v>25.0</v>
      </c>
      <c r="AK226" s="22">
        <v>0.0</v>
      </c>
      <c r="AL226" s="22"/>
      <c r="AM226" s="22"/>
      <c r="AN226" s="22"/>
      <c r="AO226" s="22"/>
    </row>
    <row r="227" ht="15.75" customHeight="1">
      <c r="A227" s="22">
        <v>219.0</v>
      </c>
      <c r="B227" s="22" t="s">
        <v>2028</v>
      </c>
      <c r="C227" s="22" t="s">
        <v>2030</v>
      </c>
      <c r="D227" s="22" t="s">
        <v>2031</v>
      </c>
      <c r="E227" s="22" t="s">
        <v>49</v>
      </c>
      <c r="F227" s="42" t="s">
        <v>2032</v>
      </c>
      <c r="G227" s="71" t="s">
        <v>2033</v>
      </c>
      <c r="H227" s="22" t="s">
        <v>123</v>
      </c>
      <c r="I227" s="22" t="s">
        <v>124</v>
      </c>
      <c r="J227" s="22" t="s">
        <v>74</v>
      </c>
      <c r="K227" s="22" t="s">
        <v>55</v>
      </c>
      <c r="L227" s="22" t="s">
        <v>56</v>
      </c>
      <c r="M227" s="22" t="s">
        <v>57</v>
      </c>
      <c r="N227" s="22" t="s">
        <v>58</v>
      </c>
      <c r="O227" s="22">
        <v>649.0</v>
      </c>
      <c r="P227" s="22">
        <v>850.0</v>
      </c>
      <c r="Q227" s="22" t="s">
        <v>59</v>
      </c>
      <c r="R227" s="22" t="s">
        <v>58</v>
      </c>
      <c r="S227" s="22" t="s">
        <v>58</v>
      </c>
      <c r="T227" s="24" t="s">
        <v>2037</v>
      </c>
      <c r="U227" s="22" t="s">
        <v>275</v>
      </c>
      <c r="V227" s="22" t="s">
        <v>61</v>
      </c>
      <c r="W227" s="22" t="s">
        <v>58</v>
      </c>
      <c r="X227" s="22" t="s">
        <v>58</v>
      </c>
      <c r="Y227" s="22" t="s">
        <v>58</v>
      </c>
      <c r="Z227" s="22" t="s">
        <v>58</v>
      </c>
      <c r="AA227" s="22" t="s">
        <v>58</v>
      </c>
      <c r="AB227" s="22" t="s">
        <v>58</v>
      </c>
      <c r="AC227" s="22" t="s">
        <v>61</v>
      </c>
      <c r="AD227" s="22" t="s">
        <v>58</v>
      </c>
      <c r="AE227" s="22" t="s">
        <v>61</v>
      </c>
      <c r="AF227" s="22" t="s">
        <v>61</v>
      </c>
      <c r="AG227" s="22" t="s">
        <v>58</v>
      </c>
      <c r="AH227" s="22">
        <v>50.0</v>
      </c>
      <c r="AI227" s="22">
        <v>999.0</v>
      </c>
      <c r="AJ227" s="22">
        <v>50.0</v>
      </c>
      <c r="AK227" s="22">
        <v>0.0</v>
      </c>
      <c r="AL227" s="22"/>
      <c r="AM227" s="22"/>
      <c r="AN227" s="22"/>
      <c r="AO227" s="22"/>
    </row>
    <row r="228" ht="15.75" customHeight="1">
      <c r="A228" s="22">
        <v>220.0</v>
      </c>
      <c r="B228" s="22" t="s">
        <v>1093</v>
      </c>
      <c r="C228" s="22" t="s">
        <v>1094</v>
      </c>
      <c r="D228" s="64" t="s">
        <v>1095</v>
      </c>
      <c r="E228" s="22" t="s">
        <v>49</v>
      </c>
      <c r="F228" s="42" t="s">
        <v>2040</v>
      </c>
      <c r="G228" s="75" t="s">
        <v>2043</v>
      </c>
      <c r="H228" s="22" t="s">
        <v>540</v>
      </c>
      <c r="I228" s="22" t="s">
        <v>541</v>
      </c>
      <c r="J228" s="22" t="s">
        <v>541</v>
      </c>
      <c r="K228" s="22" t="s">
        <v>55</v>
      </c>
      <c r="L228" s="22" t="s">
        <v>56</v>
      </c>
      <c r="M228" s="22" t="s">
        <v>57</v>
      </c>
      <c r="N228" s="22" t="s">
        <v>58</v>
      </c>
      <c r="O228" s="22">
        <v>750.0</v>
      </c>
      <c r="P228" s="22">
        <v>1000.0</v>
      </c>
      <c r="Q228" s="22" t="s">
        <v>59</v>
      </c>
      <c r="R228" s="22" t="s">
        <v>58</v>
      </c>
      <c r="S228" s="22" t="s">
        <v>58</v>
      </c>
      <c r="T228" s="22"/>
      <c r="U228" s="22"/>
      <c r="V228" s="22" t="s">
        <v>61</v>
      </c>
      <c r="W228" s="22" t="s">
        <v>58</v>
      </c>
      <c r="X228" s="22" t="s">
        <v>58</v>
      </c>
      <c r="Y228" s="22" t="s">
        <v>58</v>
      </c>
      <c r="Z228" s="22" t="s">
        <v>58</v>
      </c>
      <c r="AA228" s="22" t="s">
        <v>58</v>
      </c>
      <c r="AB228" s="22" t="s">
        <v>58</v>
      </c>
      <c r="AC228" s="22" t="s">
        <v>58</v>
      </c>
      <c r="AD228" s="22" t="s">
        <v>58</v>
      </c>
      <c r="AE228" s="22" t="s">
        <v>61</v>
      </c>
      <c r="AF228" s="22" t="s">
        <v>61</v>
      </c>
      <c r="AG228" s="22" t="s">
        <v>58</v>
      </c>
      <c r="AH228" s="22">
        <v>250.0</v>
      </c>
      <c r="AI228" s="22">
        <v>5000.0</v>
      </c>
      <c r="AJ228" s="22">
        <v>250.0</v>
      </c>
      <c r="AK228" s="22">
        <v>0.0</v>
      </c>
      <c r="AL228" s="22"/>
      <c r="AM228" s="22"/>
      <c r="AN228" s="22"/>
      <c r="AO228" s="22"/>
    </row>
    <row r="229" ht="15.75" customHeight="1">
      <c r="A229" s="22">
        <v>221.0</v>
      </c>
      <c r="B229" s="22" t="s">
        <v>2044</v>
      </c>
      <c r="C229" s="22" t="s">
        <v>2045</v>
      </c>
      <c r="D229" s="66" t="s">
        <v>2046</v>
      </c>
      <c r="E229" s="22" t="s">
        <v>49</v>
      </c>
      <c r="F229" s="42" t="s">
        <v>2047</v>
      </c>
      <c r="G229" s="90">
        <v>9.999777901E9</v>
      </c>
      <c r="H229" s="22" t="s">
        <v>123</v>
      </c>
      <c r="I229" s="22" t="s">
        <v>124</v>
      </c>
      <c r="J229" s="22" t="s">
        <v>74</v>
      </c>
      <c r="K229" s="22" t="s">
        <v>55</v>
      </c>
      <c r="L229" s="22" t="s">
        <v>56</v>
      </c>
      <c r="M229" s="22" t="s">
        <v>57</v>
      </c>
      <c r="N229" s="22" t="s">
        <v>58</v>
      </c>
      <c r="O229" s="22">
        <v>950.0</v>
      </c>
      <c r="P229" s="22">
        <v>1050.0</v>
      </c>
      <c r="Q229" s="22" t="s">
        <v>59</v>
      </c>
      <c r="R229" s="22" t="s">
        <v>58</v>
      </c>
      <c r="S229" s="22" t="s">
        <v>58</v>
      </c>
      <c r="T229" s="22"/>
      <c r="U229" s="22"/>
      <c r="V229" s="22" t="s">
        <v>61</v>
      </c>
      <c r="W229" s="22" t="s">
        <v>58</v>
      </c>
      <c r="X229" s="22" t="s">
        <v>58</v>
      </c>
      <c r="Y229" s="22" t="s">
        <v>58</v>
      </c>
      <c r="Z229" s="22" t="s">
        <v>58</v>
      </c>
      <c r="AA229" s="22" t="s">
        <v>58</v>
      </c>
      <c r="AB229" s="22" t="s">
        <v>58</v>
      </c>
      <c r="AC229" s="22" t="s">
        <v>58</v>
      </c>
      <c r="AD229" s="22" t="s">
        <v>58</v>
      </c>
      <c r="AE229" s="22" t="s">
        <v>61</v>
      </c>
      <c r="AF229" s="22" t="s">
        <v>61</v>
      </c>
      <c r="AG229" s="22" t="s">
        <v>58</v>
      </c>
      <c r="AH229" s="22">
        <v>150.0</v>
      </c>
      <c r="AI229" s="22">
        <v>1500.0</v>
      </c>
      <c r="AJ229" s="22">
        <v>150.0</v>
      </c>
      <c r="AK229" s="22">
        <v>0.0</v>
      </c>
      <c r="AL229" s="22"/>
      <c r="AM229" s="22"/>
      <c r="AN229" s="22"/>
      <c r="AO229" s="22"/>
    </row>
    <row r="230" ht="15.75" customHeight="1">
      <c r="A230" s="22">
        <v>222.0</v>
      </c>
      <c r="B230" s="22" t="s">
        <v>916</v>
      </c>
      <c r="C230" s="22" t="s">
        <v>918</v>
      </c>
      <c r="D230" s="22" t="s">
        <v>920</v>
      </c>
      <c r="E230" s="22" t="s">
        <v>49</v>
      </c>
      <c r="F230" s="42" t="s">
        <v>2053</v>
      </c>
      <c r="G230" s="82">
        <v>9.89192405E9</v>
      </c>
      <c r="H230" s="22" t="s">
        <v>899</v>
      </c>
      <c r="I230" s="22" t="s">
        <v>900</v>
      </c>
      <c r="J230" s="22" t="s">
        <v>900</v>
      </c>
      <c r="K230" s="22" t="s">
        <v>55</v>
      </c>
      <c r="L230" s="22" t="s">
        <v>56</v>
      </c>
      <c r="M230" s="22" t="s">
        <v>57</v>
      </c>
      <c r="N230" s="22" t="s">
        <v>58</v>
      </c>
      <c r="O230" s="22">
        <v>105.0</v>
      </c>
      <c r="P230" s="22">
        <v>800.0</v>
      </c>
      <c r="Q230" s="22" t="s">
        <v>59</v>
      </c>
      <c r="R230" s="22" t="s">
        <v>58</v>
      </c>
      <c r="S230" s="22" t="s">
        <v>58</v>
      </c>
      <c r="T230" s="24" t="s">
        <v>921</v>
      </c>
      <c r="U230" s="22"/>
      <c r="V230" s="22" t="s">
        <v>61</v>
      </c>
      <c r="W230" s="22" t="s">
        <v>58</v>
      </c>
      <c r="X230" s="22" t="s">
        <v>58</v>
      </c>
      <c r="Y230" s="22" t="s">
        <v>58</v>
      </c>
      <c r="Z230" s="22" t="s">
        <v>58</v>
      </c>
      <c r="AA230" s="22" t="s">
        <v>58</v>
      </c>
      <c r="AB230" s="22" t="s">
        <v>58</v>
      </c>
      <c r="AC230" s="22" t="s">
        <v>58</v>
      </c>
      <c r="AD230" s="22" t="s">
        <v>58</v>
      </c>
      <c r="AE230" s="22" t="s">
        <v>61</v>
      </c>
      <c r="AF230" s="22" t="s">
        <v>61</v>
      </c>
      <c r="AG230" s="22" t="s">
        <v>58</v>
      </c>
      <c r="AH230" s="22">
        <v>10000.0</v>
      </c>
      <c r="AI230" s="22">
        <v>50.0</v>
      </c>
      <c r="AJ230" s="22">
        <v>10000.0</v>
      </c>
      <c r="AK230" s="22">
        <v>0.0</v>
      </c>
      <c r="AL230" s="22"/>
      <c r="AM230" s="22"/>
      <c r="AN230" s="22"/>
      <c r="AO230" s="22"/>
    </row>
    <row r="231" ht="27.0" customHeight="1">
      <c r="A231" s="22">
        <v>223.0</v>
      </c>
      <c r="B231" s="22" t="s">
        <v>2059</v>
      </c>
      <c r="C231" s="22" t="s">
        <v>2060</v>
      </c>
      <c r="D231" s="22" t="s">
        <v>2061</v>
      </c>
      <c r="E231" s="22" t="s">
        <v>49</v>
      </c>
      <c r="F231" s="42" t="s">
        <v>2063</v>
      </c>
      <c r="G231" s="82">
        <v>9.59997776E9</v>
      </c>
      <c r="H231" s="22" t="s">
        <v>2064</v>
      </c>
      <c r="I231" s="22" t="s">
        <v>2065</v>
      </c>
      <c r="J231" s="22" t="s">
        <v>74</v>
      </c>
      <c r="K231" s="22" t="s">
        <v>55</v>
      </c>
      <c r="L231" s="22" t="s">
        <v>56</v>
      </c>
      <c r="M231" s="22" t="s">
        <v>57</v>
      </c>
      <c r="N231" s="22" t="s">
        <v>58</v>
      </c>
      <c r="O231" s="22">
        <v>2200.0</v>
      </c>
      <c r="P231" s="22">
        <v>2500.0</v>
      </c>
      <c r="Q231" s="22" t="s">
        <v>59</v>
      </c>
      <c r="R231" s="22" t="s">
        <v>58</v>
      </c>
      <c r="S231" s="22" t="s">
        <v>58</v>
      </c>
      <c r="T231" s="24" t="s">
        <v>2066</v>
      </c>
      <c r="U231" s="22"/>
      <c r="V231" s="22" t="s">
        <v>61</v>
      </c>
      <c r="W231" s="22" t="s">
        <v>58</v>
      </c>
      <c r="X231" s="22" t="s">
        <v>58</v>
      </c>
      <c r="Y231" s="22" t="s">
        <v>58</v>
      </c>
      <c r="Z231" s="22" t="s">
        <v>58</v>
      </c>
      <c r="AA231" s="22" t="s">
        <v>58</v>
      </c>
      <c r="AB231" s="22" t="s">
        <v>58</v>
      </c>
      <c r="AC231" s="22" t="s">
        <v>58</v>
      </c>
      <c r="AD231" s="22" t="s">
        <v>58</v>
      </c>
      <c r="AE231" s="22" t="s">
        <v>61</v>
      </c>
      <c r="AF231" s="22" t="s">
        <v>61</v>
      </c>
      <c r="AG231" s="22" t="s">
        <v>58</v>
      </c>
      <c r="AH231" s="22">
        <v>75.0</v>
      </c>
      <c r="AI231" s="22">
        <v>15000.0</v>
      </c>
      <c r="AJ231" s="22">
        <v>75.0</v>
      </c>
      <c r="AK231" s="22">
        <v>0.0</v>
      </c>
      <c r="AL231" s="22"/>
      <c r="AM231" s="22"/>
      <c r="AN231" s="22"/>
      <c r="AO231" s="22"/>
    </row>
    <row r="232" ht="15.75" customHeight="1">
      <c r="A232" s="15">
        <v>224.0</v>
      </c>
      <c r="B232" s="15" t="s">
        <v>2068</v>
      </c>
      <c r="C232" s="15" t="s">
        <v>2070</v>
      </c>
      <c r="D232" s="16" t="s">
        <v>2071</v>
      </c>
      <c r="E232" s="15" t="s">
        <v>49</v>
      </c>
      <c r="F232" s="49" t="s">
        <v>2072</v>
      </c>
      <c r="G232" s="15" t="s">
        <v>2073</v>
      </c>
      <c r="H232" s="15" t="s">
        <v>1475</v>
      </c>
      <c r="I232" s="15" t="s">
        <v>1476</v>
      </c>
      <c r="J232" s="15" t="s">
        <v>74</v>
      </c>
      <c r="K232" s="15" t="s">
        <v>55</v>
      </c>
      <c r="L232" s="15" t="s">
        <v>56</v>
      </c>
      <c r="M232" s="15" t="s">
        <v>57</v>
      </c>
      <c r="N232" s="15" t="s">
        <v>58</v>
      </c>
      <c r="O232" s="15">
        <v>499.0</v>
      </c>
      <c r="P232" s="15">
        <v>599.0</v>
      </c>
      <c r="Q232" s="15" t="s">
        <v>59</v>
      </c>
      <c r="R232" s="15" t="s">
        <v>58</v>
      </c>
      <c r="S232" s="15" t="s">
        <v>58</v>
      </c>
      <c r="T232" s="15"/>
      <c r="U232" s="15"/>
      <c r="V232" s="15" t="s">
        <v>61</v>
      </c>
      <c r="W232" s="15" t="s">
        <v>58</v>
      </c>
      <c r="X232" s="15" t="s">
        <v>58</v>
      </c>
      <c r="Y232" s="15" t="s">
        <v>58</v>
      </c>
      <c r="Z232" s="15" t="s">
        <v>58</v>
      </c>
      <c r="AA232" s="15" t="s">
        <v>58</v>
      </c>
      <c r="AB232" s="15" t="s">
        <v>58</v>
      </c>
      <c r="AC232" s="15" t="s">
        <v>58</v>
      </c>
      <c r="AD232" s="15" t="s">
        <v>58</v>
      </c>
      <c r="AE232" s="15" t="s">
        <v>61</v>
      </c>
      <c r="AF232" s="15" t="s">
        <v>61</v>
      </c>
      <c r="AG232" s="15" t="s">
        <v>58</v>
      </c>
      <c r="AH232" s="15">
        <v>10.0</v>
      </c>
      <c r="AI232" s="15">
        <v>1000.0</v>
      </c>
      <c r="AJ232" s="15">
        <v>10.0</v>
      </c>
      <c r="AK232" s="15">
        <v>0.0</v>
      </c>
      <c r="AL232" s="15"/>
      <c r="AM232" s="15"/>
      <c r="AN232" s="16" t="s">
        <v>757</v>
      </c>
      <c r="AO232" s="21">
        <v>2.0</v>
      </c>
    </row>
    <row r="233" ht="15.75" customHeight="1">
      <c r="A233" s="22">
        <v>225.0</v>
      </c>
      <c r="B233" s="22" t="s">
        <v>2074</v>
      </c>
      <c r="C233" s="22" t="s">
        <v>2075</v>
      </c>
      <c r="D233" s="66" t="s">
        <v>2076</v>
      </c>
      <c r="E233" s="22" t="s">
        <v>49</v>
      </c>
      <c r="F233" s="24" t="s">
        <v>69</v>
      </c>
      <c r="G233" s="24" t="s">
        <v>69</v>
      </c>
      <c r="H233" s="22" t="s">
        <v>449</v>
      </c>
      <c r="I233" s="22" t="s">
        <v>450</v>
      </c>
      <c r="J233" s="22" t="s">
        <v>74</v>
      </c>
      <c r="K233" s="22" t="s">
        <v>55</v>
      </c>
      <c r="L233" s="22" t="s">
        <v>56</v>
      </c>
      <c r="M233" s="22" t="s">
        <v>57</v>
      </c>
      <c r="N233" s="22" t="s">
        <v>58</v>
      </c>
      <c r="O233" s="22">
        <v>800.0</v>
      </c>
      <c r="P233" s="22">
        <v>1000.0</v>
      </c>
      <c r="Q233" s="22" t="s">
        <v>59</v>
      </c>
      <c r="R233" s="22" t="s">
        <v>58</v>
      </c>
      <c r="S233" s="22" t="s">
        <v>58</v>
      </c>
      <c r="T233" s="22"/>
      <c r="U233" s="22"/>
      <c r="V233" s="22" t="s">
        <v>61</v>
      </c>
      <c r="W233" s="22" t="s">
        <v>58</v>
      </c>
      <c r="X233" s="22" t="s">
        <v>58</v>
      </c>
      <c r="Y233" s="22" t="s">
        <v>58</v>
      </c>
      <c r="Z233" s="22" t="s">
        <v>58</v>
      </c>
      <c r="AA233" s="22" t="s">
        <v>58</v>
      </c>
      <c r="AB233" s="22" t="s">
        <v>58</v>
      </c>
      <c r="AC233" s="22" t="s">
        <v>58</v>
      </c>
      <c r="AD233" s="22" t="s">
        <v>58</v>
      </c>
      <c r="AE233" s="22" t="s">
        <v>61</v>
      </c>
      <c r="AF233" s="22" t="s">
        <v>61</v>
      </c>
      <c r="AG233" s="22" t="s">
        <v>58</v>
      </c>
      <c r="AH233" s="22">
        <v>35.0</v>
      </c>
      <c r="AI233" s="22">
        <v>10000.0</v>
      </c>
      <c r="AJ233" s="22">
        <v>35.0</v>
      </c>
      <c r="AK233" s="22">
        <v>0.0</v>
      </c>
      <c r="AL233" s="22"/>
      <c r="AM233" s="22"/>
      <c r="AN233" s="22"/>
      <c r="AO233" s="22"/>
    </row>
    <row r="234" ht="15.75" customHeight="1">
      <c r="A234" s="15">
        <v>226.0</v>
      </c>
      <c r="B234" s="15" t="s">
        <v>2079</v>
      </c>
      <c r="C234" s="15" t="s">
        <v>2080</v>
      </c>
      <c r="D234" s="48" t="s">
        <v>2081</v>
      </c>
      <c r="E234" s="15" t="s">
        <v>49</v>
      </c>
      <c r="F234" s="49" t="s">
        <v>2082</v>
      </c>
      <c r="G234" s="15" t="s">
        <v>2084</v>
      </c>
      <c r="H234" s="15" t="s">
        <v>142</v>
      </c>
      <c r="I234" s="15" t="s">
        <v>144</v>
      </c>
      <c r="J234" s="15" t="s">
        <v>74</v>
      </c>
      <c r="K234" s="15" t="s">
        <v>55</v>
      </c>
      <c r="L234" s="15" t="s">
        <v>56</v>
      </c>
      <c r="M234" s="15" t="s">
        <v>57</v>
      </c>
      <c r="N234" s="15" t="s">
        <v>58</v>
      </c>
      <c r="O234" s="15">
        <v>1000.0</v>
      </c>
      <c r="P234" s="15">
        <v>1200.0</v>
      </c>
      <c r="Q234" s="15" t="s">
        <v>59</v>
      </c>
      <c r="R234" s="15" t="s">
        <v>58</v>
      </c>
      <c r="S234" s="15" t="s">
        <v>58</v>
      </c>
      <c r="T234" s="15"/>
      <c r="U234" s="15"/>
      <c r="V234" s="15" t="s">
        <v>61</v>
      </c>
      <c r="W234" s="15" t="s">
        <v>58</v>
      </c>
      <c r="X234" s="15" t="s">
        <v>58</v>
      </c>
      <c r="Y234" s="15" t="s">
        <v>58</v>
      </c>
      <c r="Z234" s="15" t="s">
        <v>58</v>
      </c>
      <c r="AA234" s="15" t="s">
        <v>58</v>
      </c>
      <c r="AB234" s="15" t="s">
        <v>58</v>
      </c>
      <c r="AC234" s="15" t="s">
        <v>58</v>
      </c>
      <c r="AD234" s="15" t="s">
        <v>58</v>
      </c>
      <c r="AE234" s="15" t="s">
        <v>61</v>
      </c>
      <c r="AF234" s="15" t="s">
        <v>61</v>
      </c>
      <c r="AG234" s="15" t="s">
        <v>58</v>
      </c>
      <c r="AH234" s="15">
        <v>50.0</v>
      </c>
      <c r="AI234" s="15">
        <v>2000.0</v>
      </c>
      <c r="AJ234" s="15">
        <v>50.0</v>
      </c>
      <c r="AK234" s="15">
        <v>0.0</v>
      </c>
      <c r="AL234" s="15"/>
      <c r="AM234" s="15"/>
      <c r="AN234" s="16" t="s">
        <v>757</v>
      </c>
      <c r="AO234" s="21">
        <v>2.0</v>
      </c>
    </row>
    <row r="235" ht="15.75" customHeight="1">
      <c r="A235" s="15">
        <v>227.0</v>
      </c>
      <c r="B235" s="15" t="s">
        <v>2086</v>
      </c>
      <c r="C235" s="15" t="s">
        <v>2088</v>
      </c>
      <c r="D235" s="89" t="s">
        <v>2089</v>
      </c>
      <c r="E235" s="15" t="s">
        <v>49</v>
      </c>
      <c r="F235" s="49" t="s">
        <v>2090</v>
      </c>
      <c r="G235" s="15" t="s">
        <v>2091</v>
      </c>
      <c r="H235" s="15" t="s">
        <v>2092</v>
      </c>
      <c r="I235" s="15" t="s">
        <v>2093</v>
      </c>
      <c r="J235" s="15" t="s">
        <v>74</v>
      </c>
      <c r="K235" s="15" t="s">
        <v>55</v>
      </c>
      <c r="L235" s="15" t="s">
        <v>56</v>
      </c>
      <c r="M235" s="15" t="s">
        <v>57</v>
      </c>
      <c r="N235" s="15" t="s">
        <v>58</v>
      </c>
      <c r="O235" s="15">
        <v>1100.0</v>
      </c>
      <c r="P235" s="15"/>
      <c r="Q235" s="15" t="s">
        <v>59</v>
      </c>
      <c r="R235" s="15" t="s">
        <v>58</v>
      </c>
      <c r="S235" s="15" t="s">
        <v>58</v>
      </c>
      <c r="T235" s="15"/>
      <c r="U235" s="15"/>
      <c r="V235" s="15" t="s">
        <v>61</v>
      </c>
      <c r="W235" s="15" t="s">
        <v>58</v>
      </c>
      <c r="X235" s="15" t="s">
        <v>58</v>
      </c>
      <c r="Y235" s="15" t="s">
        <v>58</v>
      </c>
      <c r="Z235" s="15" t="s">
        <v>58</v>
      </c>
      <c r="AA235" s="15" t="s">
        <v>58</v>
      </c>
      <c r="AB235" s="15" t="s">
        <v>58</v>
      </c>
      <c r="AC235" s="15" t="s">
        <v>58</v>
      </c>
      <c r="AD235" s="15" t="s">
        <v>58</v>
      </c>
      <c r="AE235" s="15" t="s">
        <v>61</v>
      </c>
      <c r="AF235" s="15" t="s">
        <v>61</v>
      </c>
      <c r="AG235" s="15" t="s">
        <v>58</v>
      </c>
      <c r="AH235" s="15">
        <v>50.0</v>
      </c>
      <c r="AI235" s="15">
        <v>10000.0</v>
      </c>
      <c r="AJ235" s="15">
        <v>50.0</v>
      </c>
      <c r="AK235" s="15">
        <v>0.0</v>
      </c>
      <c r="AL235" s="15"/>
      <c r="AM235" s="15"/>
      <c r="AN235" s="16" t="s">
        <v>757</v>
      </c>
      <c r="AO235" s="21">
        <v>2.0</v>
      </c>
    </row>
    <row r="236" ht="15.75" customHeight="1">
      <c r="A236" s="22">
        <v>228.0</v>
      </c>
      <c r="B236" s="22" t="s">
        <v>2095</v>
      </c>
      <c r="C236" s="22" t="s">
        <v>2096</v>
      </c>
      <c r="D236" s="66" t="s">
        <v>2097</v>
      </c>
      <c r="E236" s="22" t="s">
        <v>49</v>
      </c>
      <c r="F236" s="42" t="s">
        <v>2098</v>
      </c>
      <c r="G236" s="24">
        <v>8.619618233E9</v>
      </c>
      <c r="H236" s="22" t="s">
        <v>1385</v>
      </c>
      <c r="I236" s="22" t="s">
        <v>1386</v>
      </c>
      <c r="J236" s="22" t="s">
        <v>74</v>
      </c>
      <c r="K236" s="22" t="s">
        <v>55</v>
      </c>
      <c r="L236" s="22" t="s">
        <v>56</v>
      </c>
      <c r="M236" s="22" t="s">
        <v>57</v>
      </c>
      <c r="N236" s="22" t="s">
        <v>58</v>
      </c>
      <c r="O236" s="22">
        <v>750.0</v>
      </c>
      <c r="P236" s="22"/>
      <c r="Q236" s="22" t="s">
        <v>59</v>
      </c>
      <c r="R236" s="22" t="s">
        <v>58</v>
      </c>
      <c r="S236" s="22" t="s">
        <v>58</v>
      </c>
      <c r="T236" s="22"/>
      <c r="U236" s="22"/>
      <c r="V236" s="22" t="s">
        <v>61</v>
      </c>
      <c r="W236" s="22" t="s">
        <v>58</v>
      </c>
      <c r="X236" s="22" t="s">
        <v>58</v>
      </c>
      <c r="Y236" s="22" t="s">
        <v>58</v>
      </c>
      <c r="Z236" s="22" t="s">
        <v>58</v>
      </c>
      <c r="AA236" s="22" t="s">
        <v>58</v>
      </c>
      <c r="AB236" s="22" t="s">
        <v>58</v>
      </c>
      <c r="AC236" s="22" t="s">
        <v>58</v>
      </c>
      <c r="AD236" s="22" t="s">
        <v>58</v>
      </c>
      <c r="AE236" s="22" t="s">
        <v>61</v>
      </c>
      <c r="AF236" s="22" t="s">
        <v>61</v>
      </c>
      <c r="AG236" s="22" t="s">
        <v>58</v>
      </c>
      <c r="AH236" s="22">
        <v>40.0</v>
      </c>
      <c r="AI236" s="22">
        <v>10000.0</v>
      </c>
      <c r="AJ236" s="22">
        <v>40.0</v>
      </c>
      <c r="AK236" s="22">
        <v>0.0</v>
      </c>
      <c r="AL236" s="22"/>
      <c r="AM236" s="22"/>
      <c r="AN236" s="22"/>
      <c r="AO236" s="22"/>
    </row>
    <row r="237" ht="15.75" customHeight="1">
      <c r="A237" s="15">
        <v>229.0</v>
      </c>
      <c r="B237" s="15" t="s">
        <v>2102</v>
      </c>
      <c r="C237" s="15" t="s">
        <v>2103</v>
      </c>
      <c r="D237" s="48" t="s">
        <v>2104</v>
      </c>
      <c r="E237" s="15" t="s">
        <v>49</v>
      </c>
      <c r="F237" s="49" t="s">
        <v>2105</v>
      </c>
      <c r="G237" s="15" t="s">
        <v>2107</v>
      </c>
      <c r="H237" s="15" t="s">
        <v>472</v>
      </c>
      <c r="I237" s="15" t="s">
        <v>473</v>
      </c>
      <c r="J237" s="15" t="s">
        <v>74</v>
      </c>
      <c r="K237" s="15" t="s">
        <v>55</v>
      </c>
      <c r="L237" s="15" t="s">
        <v>56</v>
      </c>
      <c r="M237" s="15" t="s">
        <v>57</v>
      </c>
      <c r="N237" s="15" t="s">
        <v>58</v>
      </c>
      <c r="O237" s="15">
        <v>900.0</v>
      </c>
      <c r="P237" s="15">
        <v>1500.0</v>
      </c>
      <c r="Q237" s="15" t="s">
        <v>59</v>
      </c>
      <c r="R237" s="15" t="s">
        <v>58</v>
      </c>
      <c r="S237" s="15" t="s">
        <v>58</v>
      </c>
      <c r="T237" s="15"/>
      <c r="U237" s="15"/>
      <c r="V237" s="15" t="s">
        <v>61</v>
      </c>
      <c r="W237" s="15" t="s">
        <v>58</v>
      </c>
      <c r="X237" s="15" t="s">
        <v>58</v>
      </c>
      <c r="Y237" s="15" t="s">
        <v>58</v>
      </c>
      <c r="Z237" s="15" t="s">
        <v>58</v>
      </c>
      <c r="AA237" s="15" t="s">
        <v>58</v>
      </c>
      <c r="AB237" s="15" t="s">
        <v>58</v>
      </c>
      <c r="AC237" s="15" t="s">
        <v>58</v>
      </c>
      <c r="AD237" s="15" t="s">
        <v>58</v>
      </c>
      <c r="AE237" s="15" t="s">
        <v>61</v>
      </c>
      <c r="AF237" s="15" t="s">
        <v>61</v>
      </c>
      <c r="AG237" s="15" t="s">
        <v>58</v>
      </c>
      <c r="AH237" s="15">
        <v>100.0</v>
      </c>
      <c r="AI237" s="15">
        <v>5000.0</v>
      </c>
      <c r="AJ237" s="15">
        <v>100.0</v>
      </c>
      <c r="AK237" s="15">
        <v>0.0</v>
      </c>
      <c r="AL237" s="15"/>
      <c r="AM237" s="15"/>
      <c r="AN237" s="16" t="s">
        <v>757</v>
      </c>
      <c r="AO237" s="21">
        <v>2.0</v>
      </c>
    </row>
    <row r="238" ht="15.75" customHeight="1">
      <c r="A238" s="22">
        <v>230.0</v>
      </c>
      <c r="B238" s="22" t="s">
        <v>2110</v>
      </c>
      <c r="C238" s="22" t="s">
        <v>2111</v>
      </c>
      <c r="D238" s="66" t="s">
        <v>2112</v>
      </c>
      <c r="E238" s="22" t="s">
        <v>49</v>
      </c>
      <c r="F238" s="42" t="s">
        <v>2113</v>
      </c>
      <c r="G238" s="54">
        <v>9.811237638E9</v>
      </c>
      <c r="H238" s="22" t="s">
        <v>1385</v>
      </c>
      <c r="I238" s="22" t="s">
        <v>1386</v>
      </c>
      <c r="J238" s="22" t="s">
        <v>74</v>
      </c>
      <c r="K238" s="22" t="s">
        <v>55</v>
      </c>
      <c r="L238" s="22" t="s">
        <v>56</v>
      </c>
      <c r="M238" s="22" t="s">
        <v>57</v>
      </c>
      <c r="N238" s="22" t="s">
        <v>58</v>
      </c>
      <c r="O238" s="22">
        <v>500.0</v>
      </c>
      <c r="P238" s="22"/>
      <c r="Q238" s="22" t="s">
        <v>59</v>
      </c>
      <c r="R238" s="22" t="s">
        <v>58</v>
      </c>
      <c r="S238" s="22" t="s">
        <v>58</v>
      </c>
      <c r="T238" s="22"/>
      <c r="U238" s="22"/>
      <c r="V238" s="22" t="s">
        <v>61</v>
      </c>
      <c r="W238" s="22" t="s">
        <v>58</v>
      </c>
      <c r="X238" s="22" t="s">
        <v>58</v>
      </c>
      <c r="Y238" s="22" t="s">
        <v>58</v>
      </c>
      <c r="Z238" s="22" t="s">
        <v>58</v>
      </c>
      <c r="AA238" s="22" t="s">
        <v>58</v>
      </c>
      <c r="AB238" s="22" t="s">
        <v>58</v>
      </c>
      <c r="AC238" s="22" t="s">
        <v>58</v>
      </c>
      <c r="AD238" s="22" t="s">
        <v>58</v>
      </c>
      <c r="AE238" s="22" t="s">
        <v>61</v>
      </c>
      <c r="AF238" s="22" t="s">
        <v>61</v>
      </c>
      <c r="AG238" s="22" t="s">
        <v>58</v>
      </c>
      <c r="AH238" s="22">
        <v>100.0</v>
      </c>
      <c r="AI238" s="22">
        <v>10000.0</v>
      </c>
      <c r="AJ238" s="22">
        <v>100.0</v>
      </c>
      <c r="AK238" s="22">
        <v>0.0</v>
      </c>
      <c r="AL238" s="22"/>
      <c r="AM238" s="22"/>
      <c r="AN238" s="22"/>
      <c r="AO238" s="22"/>
    </row>
    <row r="239" ht="15.75" customHeight="1">
      <c r="A239" s="22">
        <v>231.0</v>
      </c>
      <c r="B239" s="22" t="s">
        <v>2119</v>
      </c>
      <c r="C239" s="22" t="s">
        <v>2120</v>
      </c>
      <c r="D239" s="66" t="s">
        <v>2121</v>
      </c>
      <c r="E239" s="22" t="s">
        <v>49</v>
      </c>
      <c r="F239" s="42" t="s">
        <v>2123</v>
      </c>
      <c r="G239" s="75" t="s">
        <v>2124</v>
      </c>
      <c r="H239" s="22" t="s">
        <v>361</v>
      </c>
      <c r="I239" s="22" t="s">
        <v>362</v>
      </c>
      <c r="J239" s="22" t="s">
        <v>74</v>
      </c>
      <c r="K239" s="22" t="s">
        <v>55</v>
      </c>
      <c r="L239" s="22" t="s">
        <v>56</v>
      </c>
      <c r="M239" s="22" t="s">
        <v>57</v>
      </c>
      <c r="N239" s="22" t="s">
        <v>58</v>
      </c>
      <c r="O239" s="22">
        <v>650.0</v>
      </c>
      <c r="P239" s="22">
        <v>950.0</v>
      </c>
      <c r="Q239" s="22" t="s">
        <v>59</v>
      </c>
      <c r="R239" s="22" t="s">
        <v>58</v>
      </c>
      <c r="S239" s="22" t="s">
        <v>58</v>
      </c>
      <c r="T239" s="22"/>
      <c r="U239" s="22"/>
      <c r="V239" s="22" t="s">
        <v>61</v>
      </c>
      <c r="W239" s="22" t="s">
        <v>58</v>
      </c>
      <c r="X239" s="22" t="s">
        <v>58</v>
      </c>
      <c r="Y239" s="22" t="s">
        <v>58</v>
      </c>
      <c r="Z239" s="22" t="s">
        <v>58</v>
      </c>
      <c r="AA239" s="22" t="s">
        <v>58</v>
      </c>
      <c r="AB239" s="22" t="s">
        <v>58</v>
      </c>
      <c r="AC239" s="22" t="s">
        <v>58</v>
      </c>
      <c r="AD239" s="22" t="s">
        <v>58</v>
      </c>
      <c r="AE239" s="22" t="s">
        <v>61</v>
      </c>
      <c r="AF239" s="22" t="s">
        <v>61</v>
      </c>
      <c r="AG239" s="22" t="s">
        <v>58</v>
      </c>
      <c r="AH239" s="22">
        <v>50.0</v>
      </c>
      <c r="AI239" s="22">
        <v>10000.0</v>
      </c>
      <c r="AJ239" s="22">
        <v>50.0</v>
      </c>
      <c r="AK239" s="22">
        <v>0.0</v>
      </c>
      <c r="AL239" s="22"/>
      <c r="AM239" s="22"/>
      <c r="AN239" s="22"/>
      <c r="AO239" s="22"/>
    </row>
    <row r="240" ht="15.75" customHeight="1">
      <c r="A240" s="22">
        <v>232.0</v>
      </c>
      <c r="B240" s="22" t="s">
        <v>2125</v>
      </c>
      <c r="C240" s="22" t="s">
        <v>2126</v>
      </c>
      <c r="D240" s="24" t="s">
        <v>69</v>
      </c>
      <c r="E240" s="22" t="s">
        <v>49</v>
      </c>
      <c r="F240" s="24" t="s">
        <v>69</v>
      </c>
      <c r="G240" s="24" t="s">
        <v>69</v>
      </c>
      <c r="H240" s="22" t="s">
        <v>727</v>
      </c>
      <c r="I240" s="22" t="s">
        <v>729</v>
      </c>
      <c r="J240" s="22" t="s">
        <v>74</v>
      </c>
      <c r="K240" s="22" t="s">
        <v>55</v>
      </c>
      <c r="L240" s="22" t="s">
        <v>56</v>
      </c>
      <c r="M240" s="22" t="s">
        <v>57</v>
      </c>
      <c r="N240" s="22" t="s">
        <v>58</v>
      </c>
      <c r="O240" s="22">
        <v>500.0</v>
      </c>
      <c r="P240" s="22">
        <v>600.0</v>
      </c>
      <c r="Q240" s="22" t="s">
        <v>59</v>
      </c>
      <c r="R240" s="22" t="s">
        <v>58</v>
      </c>
      <c r="S240" s="22" t="s">
        <v>58</v>
      </c>
      <c r="T240" s="22"/>
      <c r="U240" s="22"/>
      <c r="V240" s="22" t="s">
        <v>61</v>
      </c>
      <c r="W240" s="22" t="s">
        <v>58</v>
      </c>
      <c r="X240" s="22" t="s">
        <v>58</v>
      </c>
      <c r="Y240" s="22" t="s">
        <v>58</v>
      </c>
      <c r="Z240" s="22" t="s">
        <v>58</v>
      </c>
      <c r="AA240" s="22" t="s">
        <v>58</v>
      </c>
      <c r="AB240" s="22" t="s">
        <v>58</v>
      </c>
      <c r="AC240" s="22" t="s">
        <v>58</v>
      </c>
      <c r="AD240" s="22" t="s">
        <v>58</v>
      </c>
      <c r="AE240" s="22" t="s">
        <v>61</v>
      </c>
      <c r="AF240" s="22" t="s">
        <v>61</v>
      </c>
      <c r="AG240" s="22" t="s">
        <v>58</v>
      </c>
      <c r="AH240" s="22">
        <v>10.0</v>
      </c>
      <c r="AI240" s="22">
        <v>1500.0</v>
      </c>
      <c r="AJ240" s="22">
        <v>10.0</v>
      </c>
      <c r="AK240" s="22">
        <v>0.0</v>
      </c>
      <c r="AL240" s="22"/>
      <c r="AM240" s="22"/>
      <c r="AN240" s="22"/>
      <c r="AO240" s="22"/>
    </row>
    <row r="241" ht="15.75" customHeight="1">
      <c r="A241" s="15">
        <v>233.0</v>
      </c>
      <c r="B241" s="15" t="s">
        <v>2129</v>
      </c>
      <c r="C241" s="15" t="s">
        <v>2130</v>
      </c>
      <c r="D241" s="89" t="s">
        <v>2131</v>
      </c>
      <c r="E241" s="15" t="s">
        <v>49</v>
      </c>
      <c r="F241" s="49" t="s">
        <v>2132</v>
      </c>
      <c r="G241" s="15" t="s">
        <v>2134</v>
      </c>
      <c r="H241" s="15" t="s">
        <v>2136</v>
      </c>
      <c r="I241" s="15" t="s">
        <v>2137</v>
      </c>
      <c r="J241" s="15" t="s">
        <v>74</v>
      </c>
      <c r="K241" s="15" t="s">
        <v>55</v>
      </c>
      <c r="L241" s="15" t="s">
        <v>56</v>
      </c>
      <c r="M241" s="15" t="s">
        <v>57</v>
      </c>
      <c r="N241" s="15" t="s">
        <v>58</v>
      </c>
      <c r="O241" s="15">
        <v>2500.0</v>
      </c>
      <c r="P241" s="15">
        <v>2500.0</v>
      </c>
      <c r="Q241" s="15" t="s">
        <v>59</v>
      </c>
      <c r="R241" s="15" t="s">
        <v>58</v>
      </c>
      <c r="S241" s="15" t="s">
        <v>58</v>
      </c>
      <c r="T241" s="15"/>
      <c r="U241" s="15"/>
      <c r="V241" s="15" t="s">
        <v>61</v>
      </c>
      <c r="W241" s="15" t="s">
        <v>58</v>
      </c>
      <c r="X241" s="15" t="s">
        <v>58</v>
      </c>
      <c r="Y241" s="15" t="s">
        <v>58</v>
      </c>
      <c r="Z241" s="15" t="s">
        <v>58</v>
      </c>
      <c r="AA241" s="15" t="s">
        <v>58</v>
      </c>
      <c r="AB241" s="15" t="s">
        <v>58</v>
      </c>
      <c r="AC241" s="15" t="s">
        <v>58</v>
      </c>
      <c r="AD241" s="15" t="s">
        <v>58</v>
      </c>
      <c r="AE241" s="15" t="s">
        <v>61</v>
      </c>
      <c r="AF241" s="15" t="s">
        <v>61</v>
      </c>
      <c r="AG241" s="15" t="s">
        <v>58</v>
      </c>
      <c r="AH241" s="15">
        <v>30.0</v>
      </c>
      <c r="AI241" s="15">
        <v>250.0</v>
      </c>
      <c r="AJ241" s="15">
        <v>30.0</v>
      </c>
      <c r="AK241" s="15">
        <v>0.0</v>
      </c>
      <c r="AL241" s="15"/>
      <c r="AM241" s="15"/>
      <c r="AN241" s="16" t="s">
        <v>757</v>
      </c>
      <c r="AO241" s="21">
        <v>2.0</v>
      </c>
    </row>
    <row r="242" ht="43.5" customHeight="1">
      <c r="A242" s="22">
        <v>234.0</v>
      </c>
      <c r="B242" s="22" t="s">
        <v>705</v>
      </c>
      <c r="C242" s="22" t="s">
        <v>707</v>
      </c>
      <c r="D242" s="24" t="s">
        <v>69</v>
      </c>
      <c r="E242" s="22" t="s">
        <v>49</v>
      </c>
      <c r="F242" s="42" t="s">
        <v>2138</v>
      </c>
      <c r="G242" s="75" t="s">
        <v>2139</v>
      </c>
      <c r="H242" s="22" t="s">
        <v>147</v>
      </c>
      <c r="I242" s="22" t="s">
        <v>148</v>
      </c>
      <c r="J242" s="22" t="s">
        <v>148</v>
      </c>
      <c r="K242" s="22" t="s">
        <v>55</v>
      </c>
      <c r="L242" s="22" t="s">
        <v>56</v>
      </c>
      <c r="M242" s="22" t="s">
        <v>57</v>
      </c>
      <c r="N242" s="22" t="s">
        <v>58</v>
      </c>
      <c r="O242" s="22">
        <v>700.0</v>
      </c>
      <c r="P242" s="22">
        <v>900.0</v>
      </c>
      <c r="Q242" s="22" t="s">
        <v>59</v>
      </c>
      <c r="R242" s="22" t="s">
        <v>58</v>
      </c>
      <c r="S242" s="22" t="s">
        <v>58</v>
      </c>
      <c r="T242" s="22"/>
      <c r="U242" s="22"/>
      <c r="V242" s="22" t="s">
        <v>61</v>
      </c>
      <c r="W242" s="22" t="s">
        <v>58</v>
      </c>
      <c r="X242" s="22" t="s">
        <v>58</v>
      </c>
      <c r="Y242" s="22" t="s">
        <v>58</v>
      </c>
      <c r="Z242" s="22" t="s">
        <v>58</v>
      </c>
      <c r="AA242" s="22" t="s">
        <v>58</v>
      </c>
      <c r="AB242" s="22" t="s">
        <v>58</v>
      </c>
      <c r="AC242" s="22" t="s">
        <v>58</v>
      </c>
      <c r="AD242" s="22" t="s">
        <v>58</v>
      </c>
      <c r="AE242" s="22" t="s">
        <v>61</v>
      </c>
      <c r="AF242" s="22" t="s">
        <v>61</v>
      </c>
      <c r="AG242" s="22" t="s">
        <v>58</v>
      </c>
      <c r="AH242" s="22">
        <v>50.0</v>
      </c>
      <c r="AI242" s="22">
        <v>200.0</v>
      </c>
      <c r="AJ242" s="22">
        <v>50.0</v>
      </c>
      <c r="AK242" s="22">
        <v>0.0</v>
      </c>
      <c r="AL242" s="22"/>
      <c r="AM242" s="22"/>
      <c r="AN242" s="22"/>
      <c r="AO242" s="22"/>
    </row>
    <row r="243" ht="15.75" customHeight="1">
      <c r="A243" s="22">
        <v>235.0</v>
      </c>
      <c r="B243" s="22" t="s">
        <v>2143</v>
      </c>
      <c r="C243" s="22" t="s">
        <v>2144</v>
      </c>
      <c r="D243" s="66" t="s">
        <v>2145</v>
      </c>
      <c r="E243" s="22" t="s">
        <v>49</v>
      </c>
      <c r="F243" s="24" t="s">
        <v>69</v>
      </c>
      <c r="G243" s="24" t="s">
        <v>69</v>
      </c>
      <c r="H243" s="22" t="s">
        <v>586</v>
      </c>
      <c r="I243" s="22" t="s">
        <v>587</v>
      </c>
      <c r="J243" s="22" t="s">
        <v>74</v>
      </c>
      <c r="K243" s="22" t="s">
        <v>55</v>
      </c>
      <c r="L243" s="22" t="s">
        <v>56</v>
      </c>
      <c r="M243" s="22" t="s">
        <v>57</v>
      </c>
      <c r="N243" s="22" t="s">
        <v>58</v>
      </c>
      <c r="O243" s="22">
        <v>500.0</v>
      </c>
      <c r="P243" s="22">
        <v>1500.0</v>
      </c>
      <c r="Q243" s="22" t="s">
        <v>59</v>
      </c>
      <c r="R243" s="22" t="s">
        <v>58</v>
      </c>
      <c r="S243" s="22" t="s">
        <v>58</v>
      </c>
      <c r="T243" s="22"/>
      <c r="U243" s="22"/>
      <c r="V243" s="22" t="s">
        <v>61</v>
      </c>
      <c r="W243" s="22" t="s">
        <v>58</v>
      </c>
      <c r="X243" s="22" t="s">
        <v>58</v>
      </c>
      <c r="Y243" s="22" t="s">
        <v>58</v>
      </c>
      <c r="Z243" s="22" t="s">
        <v>58</v>
      </c>
      <c r="AA243" s="22" t="s">
        <v>58</v>
      </c>
      <c r="AB243" s="22" t="s">
        <v>58</v>
      </c>
      <c r="AC243" s="22" t="s">
        <v>58</v>
      </c>
      <c r="AD243" s="22" t="s">
        <v>58</v>
      </c>
      <c r="AE243" s="22" t="s">
        <v>61</v>
      </c>
      <c r="AF243" s="22" t="s">
        <v>61</v>
      </c>
      <c r="AG243" s="22" t="s">
        <v>58</v>
      </c>
      <c r="AH243" s="22">
        <v>50.0</v>
      </c>
      <c r="AI243" s="22">
        <v>3000.0</v>
      </c>
      <c r="AJ243" s="22">
        <v>50.0</v>
      </c>
      <c r="AK243" s="22">
        <v>0.0</v>
      </c>
      <c r="AL243" s="22"/>
      <c r="AM243" s="22"/>
      <c r="AN243" s="22"/>
      <c r="AO243" s="22"/>
    </row>
    <row r="244" ht="15.75" customHeight="1">
      <c r="A244" s="22">
        <v>236.0</v>
      </c>
      <c r="B244" s="22" t="s">
        <v>2147</v>
      </c>
      <c r="C244" s="22" t="s">
        <v>2148</v>
      </c>
      <c r="D244" s="66" t="s">
        <v>2149</v>
      </c>
      <c r="E244" s="22" t="s">
        <v>49</v>
      </c>
      <c r="F244" s="24" t="s">
        <v>69</v>
      </c>
      <c r="G244" s="24" t="s">
        <v>69</v>
      </c>
      <c r="H244" s="22" t="s">
        <v>2150</v>
      </c>
      <c r="I244" s="22" t="s">
        <v>2151</v>
      </c>
      <c r="J244" s="22" t="s">
        <v>74</v>
      </c>
      <c r="K244" s="22" t="s">
        <v>55</v>
      </c>
      <c r="L244" s="22" t="s">
        <v>56</v>
      </c>
      <c r="M244" s="22" t="s">
        <v>57</v>
      </c>
      <c r="N244" s="22" t="s">
        <v>58</v>
      </c>
      <c r="O244" s="22">
        <v>4500.0</v>
      </c>
      <c r="P244" s="22">
        <v>5000.0</v>
      </c>
      <c r="Q244" s="22" t="s">
        <v>59</v>
      </c>
      <c r="R244" s="22" t="s">
        <v>58</v>
      </c>
      <c r="S244" s="22" t="s">
        <v>58</v>
      </c>
      <c r="T244" s="22"/>
      <c r="U244" s="22"/>
      <c r="V244" s="22" t="s">
        <v>61</v>
      </c>
      <c r="W244" s="22" t="s">
        <v>58</v>
      </c>
      <c r="X244" s="22" t="s">
        <v>58</v>
      </c>
      <c r="Y244" s="22" t="s">
        <v>58</v>
      </c>
      <c r="Z244" s="22" t="s">
        <v>58</v>
      </c>
      <c r="AA244" s="22" t="s">
        <v>58</v>
      </c>
      <c r="AB244" s="22" t="s">
        <v>58</v>
      </c>
      <c r="AC244" s="22" t="s">
        <v>58</v>
      </c>
      <c r="AD244" s="22" t="s">
        <v>58</v>
      </c>
      <c r="AE244" s="22" t="s">
        <v>61</v>
      </c>
      <c r="AF244" s="22" t="s">
        <v>61</v>
      </c>
      <c r="AG244" s="22" t="s">
        <v>58</v>
      </c>
      <c r="AH244" s="22">
        <v>250.0</v>
      </c>
      <c r="AI244" s="22">
        <v>5000.0</v>
      </c>
      <c r="AJ244" s="22">
        <v>250.0</v>
      </c>
      <c r="AK244" s="22">
        <v>0.0</v>
      </c>
      <c r="AL244" s="22"/>
      <c r="AM244" s="22"/>
      <c r="AN244" s="22"/>
      <c r="AO244" s="22"/>
    </row>
    <row r="245" ht="15.75" customHeight="1">
      <c r="A245" s="22">
        <v>237.0</v>
      </c>
      <c r="B245" s="22" t="s">
        <v>2154</v>
      </c>
      <c r="C245" s="22" t="s">
        <v>2155</v>
      </c>
      <c r="D245" s="24" t="s">
        <v>69</v>
      </c>
      <c r="E245" s="22" t="s">
        <v>49</v>
      </c>
      <c r="F245" s="24" t="s">
        <v>69</v>
      </c>
      <c r="G245" s="24" t="s">
        <v>69</v>
      </c>
      <c r="H245" s="22" t="s">
        <v>303</v>
      </c>
      <c r="I245" s="22" t="s">
        <v>303</v>
      </c>
      <c r="J245" s="22" t="s">
        <v>74</v>
      </c>
      <c r="K245" s="22" t="s">
        <v>55</v>
      </c>
      <c r="L245" s="22" t="s">
        <v>56</v>
      </c>
      <c r="M245" s="22" t="s">
        <v>57</v>
      </c>
      <c r="N245" s="22" t="s">
        <v>58</v>
      </c>
      <c r="O245" s="22">
        <v>800.0</v>
      </c>
      <c r="P245" s="22"/>
      <c r="Q245" s="22" t="s">
        <v>59</v>
      </c>
      <c r="R245" s="22" t="s">
        <v>58</v>
      </c>
      <c r="S245" s="22" t="s">
        <v>58</v>
      </c>
      <c r="T245" s="22"/>
      <c r="U245" s="22"/>
      <c r="V245" s="22" t="s">
        <v>61</v>
      </c>
      <c r="W245" s="22" t="s">
        <v>58</v>
      </c>
      <c r="X245" s="22" t="s">
        <v>58</v>
      </c>
      <c r="Y245" s="22" t="s">
        <v>58</v>
      </c>
      <c r="Z245" s="22" t="s">
        <v>58</v>
      </c>
      <c r="AA245" s="22" t="s">
        <v>58</v>
      </c>
      <c r="AB245" s="22" t="s">
        <v>58</v>
      </c>
      <c r="AC245" s="22" t="s">
        <v>58</v>
      </c>
      <c r="AD245" s="22" t="s">
        <v>58</v>
      </c>
      <c r="AE245" s="22" t="s">
        <v>61</v>
      </c>
      <c r="AF245" s="22" t="s">
        <v>61</v>
      </c>
      <c r="AG245" s="22" t="s">
        <v>58</v>
      </c>
      <c r="AH245" s="22">
        <v>100.0</v>
      </c>
      <c r="AI245" s="22">
        <v>1000.0</v>
      </c>
      <c r="AJ245" s="22">
        <v>100.0</v>
      </c>
      <c r="AK245" s="22">
        <v>0.0</v>
      </c>
      <c r="AL245" s="22"/>
      <c r="AM245" s="22"/>
      <c r="AN245" s="22"/>
      <c r="AO245" s="22"/>
    </row>
    <row r="246" ht="15.75" customHeight="1">
      <c r="A246" s="22">
        <v>238.0</v>
      </c>
      <c r="B246" s="22" t="s">
        <v>1071</v>
      </c>
      <c r="C246" s="22" t="s">
        <v>1072</v>
      </c>
      <c r="D246" s="66" t="s">
        <v>1074</v>
      </c>
      <c r="E246" s="22" t="s">
        <v>49</v>
      </c>
      <c r="F246" s="42" t="s">
        <v>2157</v>
      </c>
      <c r="G246" s="75" t="s">
        <v>2158</v>
      </c>
      <c r="H246" s="22" t="s">
        <v>53</v>
      </c>
      <c r="I246" s="22" t="s">
        <v>54</v>
      </c>
      <c r="J246" s="22" t="s">
        <v>54</v>
      </c>
      <c r="K246" s="22" t="s">
        <v>55</v>
      </c>
      <c r="L246" s="22" t="s">
        <v>56</v>
      </c>
      <c r="M246" s="22" t="s">
        <v>57</v>
      </c>
      <c r="N246" s="22" t="s">
        <v>58</v>
      </c>
      <c r="O246" s="22">
        <v>800.0</v>
      </c>
      <c r="P246" s="22">
        <v>1100.0</v>
      </c>
      <c r="Q246" s="22" t="s">
        <v>59</v>
      </c>
      <c r="R246" s="22" t="s">
        <v>58</v>
      </c>
      <c r="S246" s="22" t="s">
        <v>58</v>
      </c>
      <c r="T246" s="22"/>
      <c r="U246" s="22"/>
      <c r="V246" s="22" t="s">
        <v>61</v>
      </c>
      <c r="W246" s="22" t="s">
        <v>58</v>
      </c>
      <c r="X246" s="22" t="s">
        <v>58</v>
      </c>
      <c r="Y246" s="22" t="s">
        <v>58</v>
      </c>
      <c r="Z246" s="22" t="s">
        <v>58</v>
      </c>
      <c r="AA246" s="22" t="s">
        <v>58</v>
      </c>
      <c r="AB246" s="22" t="s">
        <v>58</v>
      </c>
      <c r="AC246" s="22" t="s">
        <v>58</v>
      </c>
      <c r="AD246" s="22" t="s">
        <v>58</v>
      </c>
      <c r="AE246" s="22" t="s">
        <v>61</v>
      </c>
      <c r="AF246" s="22" t="s">
        <v>61</v>
      </c>
      <c r="AG246" s="22" t="s">
        <v>58</v>
      </c>
      <c r="AH246" s="22">
        <v>100.0</v>
      </c>
      <c r="AI246" s="22">
        <v>5000.0</v>
      </c>
      <c r="AJ246" s="22">
        <v>100.0</v>
      </c>
      <c r="AK246" s="22">
        <v>0.0</v>
      </c>
      <c r="AL246" s="22"/>
      <c r="AM246" s="22"/>
      <c r="AN246" s="22"/>
      <c r="AO246" s="22"/>
    </row>
    <row r="247" ht="15.75" customHeight="1">
      <c r="A247" s="22">
        <v>239.0</v>
      </c>
      <c r="B247" s="22" t="s">
        <v>2162</v>
      </c>
      <c r="C247" s="22" t="s">
        <v>2163</v>
      </c>
      <c r="D247" s="66" t="s">
        <v>2164</v>
      </c>
      <c r="E247" s="22" t="s">
        <v>49</v>
      </c>
      <c r="F247" s="24" t="s">
        <v>69</v>
      </c>
      <c r="G247" s="24" t="s">
        <v>69</v>
      </c>
      <c r="H247" s="22" t="s">
        <v>285</v>
      </c>
      <c r="I247" s="22" t="s">
        <v>286</v>
      </c>
      <c r="J247" s="22" t="s">
        <v>74</v>
      </c>
      <c r="K247" s="22" t="s">
        <v>55</v>
      </c>
      <c r="L247" s="22" t="s">
        <v>56</v>
      </c>
      <c r="M247" s="22" t="s">
        <v>57</v>
      </c>
      <c r="N247" s="22" t="s">
        <v>58</v>
      </c>
      <c r="O247" s="22">
        <v>900.0</v>
      </c>
      <c r="P247" s="22">
        <v>1000.0</v>
      </c>
      <c r="Q247" s="22" t="s">
        <v>59</v>
      </c>
      <c r="R247" s="22" t="s">
        <v>58</v>
      </c>
      <c r="S247" s="22" t="s">
        <v>58</v>
      </c>
      <c r="T247" s="22"/>
      <c r="U247" s="22"/>
      <c r="V247" s="22" t="s">
        <v>61</v>
      </c>
      <c r="W247" s="22" t="s">
        <v>58</v>
      </c>
      <c r="X247" s="22" t="s">
        <v>58</v>
      </c>
      <c r="Y247" s="22" t="s">
        <v>58</v>
      </c>
      <c r="Z247" s="22" t="s">
        <v>58</v>
      </c>
      <c r="AA247" s="22" t="s">
        <v>58</v>
      </c>
      <c r="AB247" s="22" t="s">
        <v>58</v>
      </c>
      <c r="AC247" s="22" t="s">
        <v>58</v>
      </c>
      <c r="AD247" s="22" t="s">
        <v>58</v>
      </c>
      <c r="AE247" s="22" t="s">
        <v>61</v>
      </c>
      <c r="AF247" s="22" t="s">
        <v>61</v>
      </c>
      <c r="AG247" s="22" t="s">
        <v>58</v>
      </c>
      <c r="AH247" s="22">
        <v>30.0</v>
      </c>
      <c r="AI247" s="22">
        <v>5000.0</v>
      </c>
      <c r="AJ247" s="22">
        <v>30.0</v>
      </c>
      <c r="AK247" s="22">
        <v>0.0</v>
      </c>
      <c r="AL247" s="22"/>
      <c r="AM247" s="22"/>
      <c r="AN247" s="22"/>
      <c r="AO247" s="22"/>
    </row>
    <row r="248" ht="30.75" customHeight="1">
      <c r="A248" s="22">
        <v>240.0</v>
      </c>
      <c r="B248" s="22" t="s">
        <v>2166</v>
      </c>
      <c r="C248" s="22" t="s">
        <v>2167</v>
      </c>
      <c r="D248" s="22" t="s">
        <v>2168</v>
      </c>
      <c r="E248" s="22" t="s">
        <v>49</v>
      </c>
      <c r="F248" s="42" t="s">
        <v>2170</v>
      </c>
      <c r="G248" s="24">
        <v>9.81135669E9</v>
      </c>
      <c r="H248" s="22" t="s">
        <v>303</v>
      </c>
      <c r="I248" s="22" t="s">
        <v>303</v>
      </c>
      <c r="J248" s="22" t="s">
        <v>74</v>
      </c>
      <c r="K248" s="22" t="s">
        <v>55</v>
      </c>
      <c r="L248" s="22" t="s">
        <v>56</v>
      </c>
      <c r="M248" s="22" t="s">
        <v>57</v>
      </c>
      <c r="N248" s="22" t="s">
        <v>58</v>
      </c>
      <c r="O248" s="22">
        <v>800.0</v>
      </c>
      <c r="P248" s="22">
        <v>1000.0</v>
      </c>
      <c r="Q248" s="22" t="s">
        <v>59</v>
      </c>
      <c r="R248" s="22" t="s">
        <v>58</v>
      </c>
      <c r="S248" s="22" t="s">
        <v>58</v>
      </c>
      <c r="T248" s="24" t="s">
        <v>2171</v>
      </c>
      <c r="U248" s="22"/>
      <c r="V248" s="22" t="s">
        <v>61</v>
      </c>
      <c r="W248" s="22" t="s">
        <v>58</v>
      </c>
      <c r="X248" s="22" t="s">
        <v>58</v>
      </c>
      <c r="Y248" s="22" t="s">
        <v>58</v>
      </c>
      <c r="Z248" s="22" t="s">
        <v>58</v>
      </c>
      <c r="AA248" s="22" t="s">
        <v>58</v>
      </c>
      <c r="AB248" s="22" t="s">
        <v>58</v>
      </c>
      <c r="AC248" s="22" t="s">
        <v>58</v>
      </c>
      <c r="AD248" s="22" t="s">
        <v>58</v>
      </c>
      <c r="AE248" s="22" t="s">
        <v>61</v>
      </c>
      <c r="AF248" s="22" t="s">
        <v>61</v>
      </c>
      <c r="AG248" s="22" t="s">
        <v>58</v>
      </c>
      <c r="AH248" s="22">
        <v>20.0</v>
      </c>
      <c r="AI248" s="22">
        <v>500.0</v>
      </c>
      <c r="AJ248" s="22">
        <v>20.0</v>
      </c>
      <c r="AK248" s="22">
        <v>0.0</v>
      </c>
      <c r="AL248" s="22"/>
      <c r="AM248" s="22"/>
      <c r="AN248" s="22"/>
      <c r="AO248" s="22"/>
    </row>
    <row r="249" ht="15.75" customHeight="1">
      <c r="A249" s="22">
        <v>241.0</v>
      </c>
      <c r="B249" s="22" t="s">
        <v>2172</v>
      </c>
      <c r="C249" s="22" t="s">
        <v>2173</v>
      </c>
      <c r="D249" s="66" t="s">
        <v>2174</v>
      </c>
      <c r="E249" s="22" t="s">
        <v>49</v>
      </c>
      <c r="F249" s="24" t="s">
        <v>69</v>
      </c>
      <c r="G249" s="24" t="s">
        <v>69</v>
      </c>
      <c r="H249" s="22" t="s">
        <v>1367</v>
      </c>
      <c r="I249" s="22" t="s">
        <v>1368</v>
      </c>
      <c r="J249" s="22" t="s">
        <v>74</v>
      </c>
      <c r="K249" s="22" t="s">
        <v>55</v>
      </c>
      <c r="L249" s="22" t="s">
        <v>56</v>
      </c>
      <c r="M249" s="22" t="s">
        <v>57</v>
      </c>
      <c r="N249" s="22" t="s">
        <v>58</v>
      </c>
      <c r="O249" s="22">
        <v>18000.0</v>
      </c>
      <c r="P249" s="22"/>
      <c r="Q249" s="22" t="s">
        <v>59</v>
      </c>
      <c r="R249" s="22" t="s">
        <v>58</v>
      </c>
      <c r="S249" s="22" t="s">
        <v>58</v>
      </c>
      <c r="T249" s="22"/>
      <c r="U249" s="22"/>
      <c r="V249" s="22" t="s">
        <v>61</v>
      </c>
      <c r="W249" s="22" t="s">
        <v>58</v>
      </c>
      <c r="X249" s="22" t="s">
        <v>58</v>
      </c>
      <c r="Y249" s="22" t="s">
        <v>58</v>
      </c>
      <c r="Z249" s="22" t="s">
        <v>58</v>
      </c>
      <c r="AA249" s="22" t="s">
        <v>58</v>
      </c>
      <c r="AB249" s="22" t="s">
        <v>58</v>
      </c>
      <c r="AC249" s="22" t="s">
        <v>58</v>
      </c>
      <c r="AD249" s="22" t="s">
        <v>58</v>
      </c>
      <c r="AE249" s="22" t="s">
        <v>61</v>
      </c>
      <c r="AF249" s="22" t="s">
        <v>61</v>
      </c>
      <c r="AG249" s="22" t="s">
        <v>58</v>
      </c>
      <c r="AH249" s="22">
        <v>100.0</v>
      </c>
      <c r="AI249" s="22">
        <v>2000.0</v>
      </c>
      <c r="AJ249" s="22">
        <v>100.0</v>
      </c>
      <c r="AK249" s="22">
        <v>0.0</v>
      </c>
      <c r="AL249" s="22"/>
      <c r="AM249" s="22"/>
      <c r="AN249" s="22"/>
      <c r="AO249" s="22"/>
    </row>
    <row r="250" ht="15.75" customHeight="1">
      <c r="A250" s="22">
        <v>242.0</v>
      </c>
      <c r="B250" s="22" t="s">
        <v>2178</v>
      </c>
      <c r="C250" s="22" t="s">
        <v>2179</v>
      </c>
      <c r="D250" s="66" t="s">
        <v>2180</v>
      </c>
      <c r="E250" s="22" t="s">
        <v>49</v>
      </c>
      <c r="F250" s="42" t="s">
        <v>2181</v>
      </c>
      <c r="G250" s="71" t="s">
        <v>2185</v>
      </c>
      <c r="H250" s="22" t="s">
        <v>738</v>
      </c>
      <c r="I250" s="22" t="s">
        <v>739</v>
      </c>
      <c r="J250" s="22" t="s">
        <v>74</v>
      </c>
      <c r="K250" s="22" t="s">
        <v>55</v>
      </c>
      <c r="L250" s="22" t="s">
        <v>56</v>
      </c>
      <c r="M250" s="22" t="s">
        <v>57</v>
      </c>
      <c r="N250" s="22" t="s">
        <v>58</v>
      </c>
      <c r="O250" s="22">
        <v>1100.0</v>
      </c>
      <c r="P250" s="22">
        <v>1700.0</v>
      </c>
      <c r="Q250" s="22" t="s">
        <v>59</v>
      </c>
      <c r="R250" s="22" t="s">
        <v>58</v>
      </c>
      <c r="S250" s="22" t="s">
        <v>58</v>
      </c>
      <c r="T250" s="22"/>
      <c r="U250" s="22"/>
      <c r="V250" s="22" t="s">
        <v>61</v>
      </c>
      <c r="W250" s="22" t="s">
        <v>58</v>
      </c>
      <c r="X250" s="22" t="s">
        <v>58</v>
      </c>
      <c r="Y250" s="22" t="s">
        <v>58</v>
      </c>
      <c r="Z250" s="22" t="s">
        <v>58</v>
      </c>
      <c r="AA250" s="22" t="s">
        <v>58</v>
      </c>
      <c r="AB250" s="22" t="s">
        <v>58</v>
      </c>
      <c r="AC250" s="22" t="s">
        <v>58</v>
      </c>
      <c r="AD250" s="22" t="s">
        <v>58</v>
      </c>
      <c r="AE250" s="22" t="s">
        <v>61</v>
      </c>
      <c r="AF250" s="22" t="s">
        <v>61</v>
      </c>
      <c r="AG250" s="22" t="s">
        <v>58</v>
      </c>
      <c r="AH250" s="22">
        <v>10.0</v>
      </c>
      <c r="AI250" s="22">
        <v>400.0</v>
      </c>
      <c r="AJ250" s="22">
        <v>10.0</v>
      </c>
      <c r="AK250" s="22">
        <v>0.0</v>
      </c>
      <c r="AL250" s="22"/>
      <c r="AM250" s="22"/>
      <c r="AN250" s="22"/>
      <c r="AO250" s="22"/>
    </row>
    <row r="251" ht="15.75" customHeight="1">
      <c r="A251" s="22">
        <v>243.0</v>
      </c>
      <c r="B251" s="22" t="s">
        <v>2188</v>
      </c>
      <c r="C251" s="22" t="s">
        <v>2189</v>
      </c>
      <c r="D251" s="24" t="s">
        <v>69</v>
      </c>
      <c r="E251" s="22" t="s">
        <v>49</v>
      </c>
      <c r="F251" s="42" t="s">
        <v>2191</v>
      </c>
      <c r="G251" s="75" t="s">
        <v>2193</v>
      </c>
      <c r="H251" s="22" t="s">
        <v>738</v>
      </c>
      <c r="I251" s="22" t="s">
        <v>739</v>
      </c>
      <c r="J251" s="22" t="s">
        <v>74</v>
      </c>
      <c r="K251" s="22" t="s">
        <v>55</v>
      </c>
      <c r="L251" s="22" t="s">
        <v>56</v>
      </c>
      <c r="M251" s="22" t="s">
        <v>57</v>
      </c>
      <c r="N251" s="22" t="s">
        <v>58</v>
      </c>
      <c r="O251" s="22">
        <v>1300.0</v>
      </c>
      <c r="P251" s="22">
        <v>1600.0</v>
      </c>
      <c r="Q251" s="22" t="s">
        <v>59</v>
      </c>
      <c r="R251" s="22" t="s">
        <v>58</v>
      </c>
      <c r="S251" s="22" t="s">
        <v>58</v>
      </c>
      <c r="T251" s="22"/>
      <c r="U251" s="22"/>
      <c r="V251" s="22" t="s">
        <v>61</v>
      </c>
      <c r="W251" s="22" t="s">
        <v>58</v>
      </c>
      <c r="X251" s="22" t="s">
        <v>58</v>
      </c>
      <c r="Y251" s="22" t="s">
        <v>58</v>
      </c>
      <c r="Z251" s="22" t="s">
        <v>58</v>
      </c>
      <c r="AA251" s="22" t="s">
        <v>58</v>
      </c>
      <c r="AB251" s="22" t="s">
        <v>58</v>
      </c>
      <c r="AC251" s="22" t="s">
        <v>58</v>
      </c>
      <c r="AD251" s="22" t="s">
        <v>58</v>
      </c>
      <c r="AE251" s="22" t="s">
        <v>61</v>
      </c>
      <c r="AF251" s="22" t="s">
        <v>61</v>
      </c>
      <c r="AG251" s="22" t="s">
        <v>58</v>
      </c>
      <c r="AH251" s="22">
        <v>100.0</v>
      </c>
      <c r="AI251" s="22">
        <v>10000.0</v>
      </c>
      <c r="AJ251" s="22">
        <v>100.0</v>
      </c>
      <c r="AK251" s="22">
        <v>0.0</v>
      </c>
      <c r="AL251" s="22"/>
      <c r="AM251" s="22"/>
      <c r="AN251" s="22"/>
      <c r="AO251" s="22"/>
    </row>
    <row r="252" ht="15.75" customHeight="1">
      <c r="A252" s="22">
        <v>244.0</v>
      </c>
      <c r="B252" s="22" t="s">
        <v>2194</v>
      </c>
      <c r="C252" s="22" t="s">
        <v>2195</v>
      </c>
      <c r="D252" s="22" t="s">
        <v>2196</v>
      </c>
      <c r="E252" s="22" t="s">
        <v>49</v>
      </c>
      <c r="F252" s="42" t="s">
        <v>2197</v>
      </c>
      <c r="G252" s="82">
        <v>9.899116462E9</v>
      </c>
      <c r="H252" s="22" t="s">
        <v>303</v>
      </c>
      <c r="I252" s="22" t="s">
        <v>303</v>
      </c>
      <c r="J252" s="22" t="s">
        <v>74</v>
      </c>
      <c r="K252" s="22" t="s">
        <v>55</v>
      </c>
      <c r="L252" s="22" t="s">
        <v>56</v>
      </c>
      <c r="M252" s="22" t="s">
        <v>57</v>
      </c>
      <c r="N252" s="22" t="s">
        <v>58</v>
      </c>
      <c r="O252" s="22">
        <v>1500.0</v>
      </c>
      <c r="P252" s="22">
        <v>1800.0</v>
      </c>
      <c r="Q252" s="22" t="s">
        <v>59</v>
      </c>
      <c r="R252" s="22" t="s">
        <v>58</v>
      </c>
      <c r="S252" s="22" t="s">
        <v>58</v>
      </c>
      <c r="T252" s="22" t="s">
        <v>948</v>
      </c>
      <c r="U252" s="22"/>
      <c r="V252" s="22" t="s">
        <v>61</v>
      </c>
      <c r="W252" s="22" t="s">
        <v>58</v>
      </c>
      <c r="X252" s="22" t="s">
        <v>58</v>
      </c>
      <c r="Y252" s="22" t="s">
        <v>58</v>
      </c>
      <c r="Z252" s="22" t="s">
        <v>58</v>
      </c>
      <c r="AA252" s="22" t="s">
        <v>58</v>
      </c>
      <c r="AB252" s="22" t="s">
        <v>58</v>
      </c>
      <c r="AC252" s="22" t="s">
        <v>58</v>
      </c>
      <c r="AD252" s="22" t="s">
        <v>58</v>
      </c>
      <c r="AE252" s="22" t="s">
        <v>61</v>
      </c>
      <c r="AF252" s="22" t="s">
        <v>61</v>
      </c>
      <c r="AG252" s="22" t="s">
        <v>58</v>
      </c>
      <c r="AH252" s="22">
        <v>0.0</v>
      </c>
      <c r="AI252" s="22">
        <v>0.0</v>
      </c>
      <c r="AJ252" s="22">
        <v>0.0</v>
      </c>
      <c r="AK252" s="22">
        <v>0.0</v>
      </c>
      <c r="AL252" s="22"/>
      <c r="AM252" s="22"/>
      <c r="AN252" s="22"/>
      <c r="AO252" s="22"/>
    </row>
    <row r="253" ht="15.75" customHeight="1">
      <c r="A253" s="22">
        <v>245.0</v>
      </c>
      <c r="B253" s="22" t="s">
        <v>2201</v>
      </c>
      <c r="C253" s="22" t="s">
        <v>2202</v>
      </c>
      <c r="D253" s="66" t="s">
        <v>2203</v>
      </c>
      <c r="E253" s="22" t="s">
        <v>49</v>
      </c>
      <c r="F253" s="42" t="s">
        <v>2197</v>
      </c>
      <c r="G253" s="82" t="s">
        <v>2204</v>
      </c>
      <c r="H253" s="22" t="s">
        <v>513</v>
      </c>
      <c r="I253" s="22" t="s">
        <v>514</v>
      </c>
      <c r="J253" s="22" t="s">
        <v>74</v>
      </c>
      <c r="K253" s="22" t="s">
        <v>55</v>
      </c>
      <c r="L253" s="22" t="s">
        <v>56</v>
      </c>
      <c r="M253" s="22" t="s">
        <v>57</v>
      </c>
      <c r="N253" s="22" t="s">
        <v>58</v>
      </c>
      <c r="O253" s="22">
        <v>500.0</v>
      </c>
      <c r="P253" s="22"/>
      <c r="Q253" s="22" t="s">
        <v>59</v>
      </c>
      <c r="R253" s="22" t="s">
        <v>58</v>
      </c>
      <c r="S253" s="22" t="s">
        <v>58</v>
      </c>
      <c r="T253" s="22"/>
      <c r="U253" s="22"/>
      <c r="V253" s="22" t="s">
        <v>61</v>
      </c>
      <c r="W253" s="22" t="s">
        <v>58</v>
      </c>
      <c r="X253" s="22" t="s">
        <v>58</v>
      </c>
      <c r="Y253" s="22" t="s">
        <v>58</v>
      </c>
      <c r="Z253" s="22" t="s">
        <v>58</v>
      </c>
      <c r="AA253" s="22" t="s">
        <v>58</v>
      </c>
      <c r="AB253" s="22" t="s">
        <v>58</v>
      </c>
      <c r="AC253" s="22" t="s">
        <v>58</v>
      </c>
      <c r="AD253" s="22" t="s">
        <v>58</v>
      </c>
      <c r="AE253" s="22" t="s">
        <v>61</v>
      </c>
      <c r="AF253" s="22" t="s">
        <v>61</v>
      </c>
      <c r="AG253" s="22" t="s">
        <v>58</v>
      </c>
      <c r="AH253" s="22">
        <v>50.0</v>
      </c>
      <c r="AI253" s="22">
        <v>1000.0</v>
      </c>
      <c r="AJ253" s="22">
        <v>50.0</v>
      </c>
      <c r="AK253" s="22">
        <v>0.0</v>
      </c>
      <c r="AL253" s="22"/>
      <c r="AM253" s="22"/>
      <c r="AN253" s="22"/>
      <c r="AO253" s="22"/>
    </row>
    <row r="254" ht="15.75" customHeight="1">
      <c r="A254" s="22">
        <v>246.0</v>
      </c>
      <c r="B254" s="22" t="s">
        <v>2205</v>
      </c>
      <c r="C254" s="22" t="s">
        <v>2206</v>
      </c>
      <c r="D254" s="22" t="s">
        <v>2207</v>
      </c>
      <c r="E254" s="22" t="s">
        <v>49</v>
      </c>
      <c r="F254" s="24" t="s">
        <v>2208</v>
      </c>
      <c r="G254" s="24" t="s">
        <v>69</v>
      </c>
      <c r="H254" s="22" t="s">
        <v>303</v>
      </c>
      <c r="I254" s="22" t="s">
        <v>303</v>
      </c>
      <c r="J254" s="22" t="s">
        <v>74</v>
      </c>
      <c r="K254" s="22" t="s">
        <v>55</v>
      </c>
      <c r="L254" s="22" t="s">
        <v>56</v>
      </c>
      <c r="M254" s="22" t="s">
        <v>57</v>
      </c>
      <c r="N254" s="22" t="s">
        <v>58</v>
      </c>
      <c r="O254" s="22">
        <v>1600.0</v>
      </c>
      <c r="P254" s="22">
        <v>1800.0</v>
      </c>
      <c r="Q254" s="22" t="s">
        <v>59</v>
      </c>
      <c r="R254" s="22" t="s">
        <v>58</v>
      </c>
      <c r="S254" s="22" t="s">
        <v>58</v>
      </c>
      <c r="T254" s="24" t="s">
        <v>2210</v>
      </c>
      <c r="U254" s="22"/>
      <c r="V254" s="22" t="s">
        <v>61</v>
      </c>
      <c r="W254" s="22" t="s">
        <v>58</v>
      </c>
      <c r="X254" s="22" t="s">
        <v>58</v>
      </c>
      <c r="Y254" s="22" t="s">
        <v>58</v>
      </c>
      <c r="Z254" s="22" t="s">
        <v>58</v>
      </c>
      <c r="AA254" s="22" t="s">
        <v>58</v>
      </c>
      <c r="AB254" s="22" t="s">
        <v>58</v>
      </c>
      <c r="AC254" s="22" t="s">
        <v>58</v>
      </c>
      <c r="AD254" s="22" t="s">
        <v>58</v>
      </c>
      <c r="AE254" s="22" t="s">
        <v>61</v>
      </c>
      <c r="AF254" s="22" t="s">
        <v>61</v>
      </c>
      <c r="AG254" s="22" t="s">
        <v>58</v>
      </c>
      <c r="AH254" s="22">
        <v>20.0</v>
      </c>
      <c r="AI254" s="22">
        <v>300.0</v>
      </c>
      <c r="AJ254" s="22">
        <v>20.0</v>
      </c>
      <c r="AK254" s="22">
        <v>0.0</v>
      </c>
      <c r="AL254" s="22"/>
      <c r="AM254" s="22"/>
      <c r="AN254" s="22"/>
      <c r="AO254" s="22"/>
    </row>
    <row r="255" ht="15.75" customHeight="1">
      <c r="A255" s="22">
        <v>247.0</v>
      </c>
      <c r="B255" s="22" t="s">
        <v>2213</v>
      </c>
      <c r="C255" s="22" t="s">
        <v>2215</v>
      </c>
      <c r="D255" s="66" t="s">
        <v>2216</v>
      </c>
      <c r="E255" s="22" t="s">
        <v>49</v>
      </c>
      <c r="F255" s="24" t="s">
        <v>2208</v>
      </c>
      <c r="G255" s="24" t="s">
        <v>69</v>
      </c>
      <c r="H255" s="22" t="s">
        <v>1385</v>
      </c>
      <c r="I255" s="22" t="s">
        <v>1386</v>
      </c>
      <c r="J255" s="22" t="s">
        <v>74</v>
      </c>
      <c r="K255" s="22" t="s">
        <v>55</v>
      </c>
      <c r="L255" s="22" t="s">
        <v>56</v>
      </c>
      <c r="M255" s="22" t="s">
        <v>57</v>
      </c>
      <c r="N255" s="22" t="s">
        <v>58</v>
      </c>
      <c r="O255" s="22">
        <v>1050.0</v>
      </c>
      <c r="P255" s="22">
        <v>1350.0</v>
      </c>
      <c r="Q255" s="22" t="s">
        <v>59</v>
      </c>
      <c r="R255" s="22" t="s">
        <v>58</v>
      </c>
      <c r="S255" s="22" t="s">
        <v>58</v>
      </c>
      <c r="T255" s="22"/>
      <c r="U255" s="22"/>
      <c r="V255" s="22" t="s">
        <v>61</v>
      </c>
      <c r="W255" s="22" t="s">
        <v>58</v>
      </c>
      <c r="X255" s="22" t="s">
        <v>58</v>
      </c>
      <c r="Y255" s="22" t="s">
        <v>58</v>
      </c>
      <c r="Z255" s="22" t="s">
        <v>58</v>
      </c>
      <c r="AA255" s="22" t="s">
        <v>58</v>
      </c>
      <c r="AB255" s="22" t="s">
        <v>58</v>
      </c>
      <c r="AC255" s="22" t="s">
        <v>58</v>
      </c>
      <c r="AD255" s="22" t="s">
        <v>58</v>
      </c>
      <c r="AE255" s="22" t="s">
        <v>61</v>
      </c>
      <c r="AF255" s="22" t="s">
        <v>61</v>
      </c>
      <c r="AG255" s="22" t="s">
        <v>58</v>
      </c>
      <c r="AH255" s="22">
        <v>50.0</v>
      </c>
      <c r="AI255" s="22">
        <v>2500.0</v>
      </c>
      <c r="AJ255" s="22">
        <v>50.0</v>
      </c>
      <c r="AK255" s="22">
        <v>0.0</v>
      </c>
      <c r="AL255" s="22"/>
      <c r="AM255" s="22"/>
      <c r="AN255" s="22"/>
      <c r="AO255" s="22"/>
    </row>
    <row r="256" ht="15.75" customHeight="1">
      <c r="A256" s="22">
        <v>248.0</v>
      </c>
      <c r="B256" s="22" t="s">
        <v>1364</v>
      </c>
      <c r="C256" s="22" t="s">
        <v>1365</v>
      </c>
      <c r="D256" s="66" t="s">
        <v>2221</v>
      </c>
      <c r="E256" s="22" t="s">
        <v>49</v>
      </c>
      <c r="F256" s="42" t="s">
        <v>2222</v>
      </c>
      <c r="G256" s="82">
        <v>8.595399049E9</v>
      </c>
      <c r="H256" s="22" t="s">
        <v>1370</v>
      </c>
      <c r="I256" s="22" t="s">
        <v>1209</v>
      </c>
      <c r="J256" s="22" t="s">
        <v>1209</v>
      </c>
      <c r="K256" s="22" t="s">
        <v>55</v>
      </c>
      <c r="L256" s="22" t="s">
        <v>56</v>
      </c>
      <c r="M256" s="22" t="s">
        <v>57</v>
      </c>
      <c r="N256" s="22" t="s">
        <v>58</v>
      </c>
      <c r="O256" s="22">
        <v>1000.0</v>
      </c>
      <c r="P256" s="22">
        <v>1400.0</v>
      </c>
      <c r="Q256" s="22" t="s">
        <v>59</v>
      </c>
      <c r="R256" s="22" t="s">
        <v>58</v>
      </c>
      <c r="S256" s="22" t="s">
        <v>58</v>
      </c>
      <c r="T256" s="22"/>
      <c r="U256" s="22"/>
      <c r="V256" s="22" t="s">
        <v>61</v>
      </c>
      <c r="W256" s="22" t="s">
        <v>58</v>
      </c>
      <c r="X256" s="22" t="s">
        <v>58</v>
      </c>
      <c r="Y256" s="22" t="s">
        <v>58</v>
      </c>
      <c r="Z256" s="22" t="s">
        <v>58</v>
      </c>
      <c r="AA256" s="22" t="s">
        <v>58</v>
      </c>
      <c r="AB256" s="22" t="s">
        <v>58</v>
      </c>
      <c r="AC256" s="22" t="s">
        <v>58</v>
      </c>
      <c r="AD256" s="22" t="s">
        <v>58</v>
      </c>
      <c r="AE256" s="22" t="s">
        <v>61</v>
      </c>
      <c r="AF256" s="22" t="s">
        <v>61</v>
      </c>
      <c r="AG256" s="22" t="s">
        <v>58</v>
      </c>
      <c r="AH256" s="22">
        <v>50.0</v>
      </c>
      <c r="AI256" s="22">
        <v>2000.0</v>
      </c>
      <c r="AJ256" s="22">
        <v>50.0</v>
      </c>
      <c r="AK256" s="22">
        <v>0.0</v>
      </c>
      <c r="AL256" s="22"/>
      <c r="AM256" s="22"/>
      <c r="AN256" s="22"/>
      <c r="AO256" s="22"/>
    </row>
    <row r="257" ht="15.75" customHeight="1">
      <c r="A257" s="22">
        <v>249.0</v>
      </c>
      <c r="B257" s="22" t="s">
        <v>1320</v>
      </c>
      <c r="C257" s="22" t="s">
        <v>1321</v>
      </c>
      <c r="D257" s="22" t="s">
        <v>1322</v>
      </c>
      <c r="E257" s="22" t="s">
        <v>49</v>
      </c>
      <c r="F257" s="42" t="s">
        <v>2225</v>
      </c>
      <c r="G257" s="75" t="s">
        <v>2226</v>
      </c>
      <c r="H257" s="22" t="s">
        <v>599</v>
      </c>
      <c r="I257" s="22" t="s">
        <v>601</v>
      </c>
      <c r="J257" s="22" t="s">
        <v>601</v>
      </c>
      <c r="K257" s="22" t="s">
        <v>55</v>
      </c>
      <c r="L257" s="22" t="s">
        <v>56</v>
      </c>
      <c r="M257" s="22" t="s">
        <v>57</v>
      </c>
      <c r="N257" s="22" t="s">
        <v>58</v>
      </c>
      <c r="O257" s="22">
        <v>1500.0</v>
      </c>
      <c r="P257" s="22">
        <v>1800.0</v>
      </c>
      <c r="Q257" s="22" t="s">
        <v>59</v>
      </c>
      <c r="R257" s="22" t="s">
        <v>58</v>
      </c>
      <c r="S257" s="22" t="s">
        <v>58</v>
      </c>
      <c r="T257" s="22" t="s">
        <v>275</v>
      </c>
      <c r="U257" s="22"/>
      <c r="V257" s="22" t="s">
        <v>61</v>
      </c>
      <c r="W257" s="22" t="s">
        <v>58</v>
      </c>
      <c r="X257" s="22" t="s">
        <v>58</v>
      </c>
      <c r="Y257" s="22" t="s">
        <v>58</v>
      </c>
      <c r="Z257" s="22" t="s">
        <v>58</v>
      </c>
      <c r="AA257" s="22" t="s">
        <v>58</v>
      </c>
      <c r="AB257" s="22" t="s">
        <v>58</v>
      </c>
      <c r="AC257" s="22" t="s">
        <v>58</v>
      </c>
      <c r="AD257" s="22" t="s">
        <v>58</v>
      </c>
      <c r="AE257" s="22" t="s">
        <v>61</v>
      </c>
      <c r="AF257" s="22" t="s">
        <v>61</v>
      </c>
      <c r="AG257" s="22" t="s">
        <v>58</v>
      </c>
      <c r="AH257" s="22">
        <v>15.0</v>
      </c>
      <c r="AI257" s="22">
        <v>1000.0</v>
      </c>
      <c r="AJ257" s="22">
        <v>15.0</v>
      </c>
      <c r="AK257" s="22">
        <v>0.0</v>
      </c>
      <c r="AL257" s="22"/>
      <c r="AM257" s="22"/>
      <c r="AN257" s="22"/>
      <c r="AO257" s="22"/>
    </row>
    <row r="258" ht="15.75" customHeight="1">
      <c r="A258" s="22">
        <v>250.0</v>
      </c>
      <c r="B258" s="22" t="s">
        <v>2229</v>
      </c>
      <c r="C258" s="22" t="s">
        <v>2230</v>
      </c>
      <c r="D258" s="22" t="s">
        <v>2231</v>
      </c>
      <c r="E258" s="22" t="s">
        <v>49</v>
      </c>
      <c r="F258" s="24" t="s">
        <v>2208</v>
      </c>
      <c r="G258" s="24" t="s">
        <v>69</v>
      </c>
      <c r="H258" s="22" t="s">
        <v>860</v>
      </c>
      <c r="I258" s="22" t="s">
        <v>861</v>
      </c>
      <c r="J258" s="22" t="s">
        <v>74</v>
      </c>
      <c r="K258" s="22" t="s">
        <v>55</v>
      </c>
      <c r="L258" s="22" t="s">
        <v>56</v>
      </c>
      <c r="M258" s="22" t="s">
        <v>57</v>
      </c>
      <c r="N258" s="22" t="s">
        <v>58</v>
      </c>
      <c r="O258" s="22">
        <v>1100.0</v>
      </c>
      <c r="P258" s="22">
        <v>1250.0</v>
      </c>
      <c r="Q258" s="22" t="s">
        <v>59</v>
      </c>
      <c r="R258" s="22" t="s">
        <v>58</v>
      </c>
      <c r="S258" s="22" t="s">
        <v>58</v>
      </c>
      <c r="T258" s="24" t="s">
        <v>2233</v>
      </c>
      <c r="U258" s="24" t="s">
        <v>2234</v>
      </c>
      <c r="V258" s="22" t="s">
        <v>61</v>
      </c>
      <c r="W258" s="22" t="s">
        <v>58</v>
      </c>
      <c r="X258" s="22" t="s">
        <v>58</v>
      </c>
      <c r="Y258" s="22" t="s">
        <v>58</v>
      </c>
      <c r="Z258" s="22" t="s">
        <v>58</v>
      </c>
      <c r="AA258" s="22" t="s">
        <v>58</v>
      </c>
      <c r="AB258" s="22" t="s">
        <v>61</v>
      </c>
      <c r="AC258" s="22" t="s">
        <v>58</v>
      </c>
      <c r="AD258" s="22" t="s">
        <v>58</v>
      </c>
      <c r="AE258" s="22" t="s">
        <v>61</v>
      </c>
      <c r="AF258" s="22" t="s">
        <v>61</v>
      </c>
      <c r="AG258" s="22" t="s">
        <v>58</v>
      </c>
      <c r="AH258" s="22">
        <v>100.0</v>
      </c>
      <c r="AI258" s="22">
        <v>15000.0</v>
      </c>
      <c r="AJ258" s="22">
        <v>100.0</v>
      </c>
      <c r="AK258" s="22">
        <v>0.0</v>
      </c>
      <c r="AL258" s="22"/>
      <c r="AM258" s="22"/>
      <c r="AN258" s="22"/>
      <c r="AO258" s="22"/>
    </row>
    <row r="259" ht="15.75" customHeight="1">
      <c r="A259" s="22">
        <v>251.0</v>
      </c>
      <c r="B259" s="22" t="s">
        <v>2235</v>
      </c>
      <c r="C259" s="22" t="s">
        <v>2236</v>
      </c>
      <c r="D259" s="66" t="s">
        <v>2237</v>
      </c>
      <c r="E259" s="22" t="s">
        <v>49</v>
      </c>
      <c r="F259" s="24" t="s">
        <v>2208</v>
      </c>
      <c r="G259" s="24" t="s">
        <v>69</v>
      </c>
      <c r="H259" s="22" t="s">
        <v>142</v>
      </c>
      <c r="I259" s="22" t="s">
        <v>144</v>
      </c>
      <c r="J259" s="22" t="s">
        <v>74</v>
      </c>
      <c r="K259" s="22" t="s">
        <v>55</v>
      </c>
      <c r="L259" s="22" t="s">
        <v>56</v>
      </c>
      <c r="M259" s="22" t="s">
        <v>57</v>
      </c>
      <c r="N259" s="22" t="s">
        <v>58</v>
      </c>
      <c r="O259" s="22">
        <v>500.0</v>
      </c>
      <c r="P259" s="22">
        <v>1100.0</v>
      </c>
      <c r="Q259" s="22" t="s">
        <v>59</v>
      </c>
      <c r="R259" s="22" t="s">
        <v>58</v>
      </c>
      <c r="S259" s="22" t="s">
        <v>58</v>
      </c>
      <c r="T259" s="22"/>
      <c r="U259" s="22"/>
      <c r="V259" s="22" t="s">
        <v>61</v>
      </c>
      <c r="W259" s="22" t="s">
        <v>58</v>
      </c>
      <c r="X259" s="22" t="s">
        <v>58</v>
      </c>
      <c r="Y259" s="22" t="s">
        <v>58</v>
      </c>
      <c r="Z259" s="22" t="s">
        <v>58</v>
      </c>
      <c r="AA259" s="22" t="s">
        <v>58</v>
      </c>
      <c r="AB259" s="22" t="s">
        <v>58</v>
      </c>
      <c r="AC259" s="22" t="s">
        <v>58</v>
      </c>
      <c r="AD259" s="22" t="s">
        <v>58</v>
      </c>
      <c r="AE259" s="22" t="s">
        <v>61</v>
      </c>
      <c r="AF259" s="22" t="s">
        <v>61</v>
      </c>
      <c r="AG259" s="22" t="s">
        <v>58</v>
      </c>
      <c r="AH259" s="22">
        <v>50.0</v>
      </c>
      <c r="AI259" s="22">
        <v>4000.0</v>
      </c>
      <c r="AJ259" s="22">
        <v>50.0</v>
      </c>
      <c r="AK259" s="22">
        <v>0.0</v>
      </c>
      <c r="AL259" s="22"/>
      <c r="AM259" s="22"/>
      <c r="AN259" s="22"/>
      <c r="AO259" s="22"/>
    </row>
    <row r="260" ht="15.75" customHeight="1">
      <c r="A260" s="22">
        <v>252.0</v>
      </c>
      <c r="B260" s="22" t="s">
        <v>2243</v>
      </c>
      <c r="C260" s="22" t="s">
        <v>2244</v>
      </c>
      <c r="D260" s="66" t="s">
        <v>2245</v>
      </c>
      <c r="E260" s="22" t="s">
        <v>49</v>
      </c>
      <c r="F260" s="24" t="s">
        <v>2208</v>
      </c>
      <c r="G260" s="24" t="s">
        <v>69</v>
      </c>
      <c r="H260" s="22" t="s">
        <v>2064</v>
      </c>
      <c r="I260" s="22" t="s">
        <v>2065</v>
      </c>
      <c r="J260" s="22" t="s">
        <v>74</v>
      </c>
      <c r="K260" s="22" t="s">
        <v>55</v>
      </c>
      <c r="L260" s="22" t="s">
        <v>56</v>
      </c>
      <c r="M260" s="22" t="s">
        <v>57</v>
      </c>
      <c r="N260" s="22" t="s">
        <v>58</v>
      </c>
      <c r="O260" s="22">
        <v>999.0</v>
      </c>
      <c r="P260" s="22">
        <v>1200.0</v>
      </c>
      <c r="Q260" s="22" t="s">
        <v>59</v>
      </c>
      <c r="R260" s="22" t="s">
        <v>58</v>
      </c>
      <c r="S260" s="22" t="s">
        <v>58</v>
      </c>
      <c r="T260" s="22"/>
      <c r="U260" s="22"/>
      <c r="V260" s="22" t="s">
        <v>61</v>
      </c>
      <c r="W260" s="22" t="s">
        <v>58</v>
      </c>
      <c r="X260" s="22" t="s">
        <v>58</v>
      </c>
      <c r="Y260" s="22" t="s">
        <v>58</v>
      </c>
      <c r="Z260" s="22" t="s">
        <v>58</v>
      </c>
      <c r="AA260" s="22" t="s">
        <v>58</v>
      </c>
      <c r="AB260" s="22" t="s">
        <v>58</v>
      </c>
      <c r="AC260" s="22" t="s">
        <v>58</v>
      </c>
      <c r="AD260" s="22" t="s">
        <v>58</v>
      </c>
      <c r="AE260" s="22" t="s">
        <v>61</v>
      </c>
      <c r="AF260" s="22" t="s">
        <v>61</v>
      </c>
      <c r="AG260" s="22" t="s">
        <v>58</v>
      </c>
      <c r="AH260" s="22">
        <v>10.0</v>
      </c>
      <c r="AI260" s="22">
        <v>500.0</v>
      </c>
      <c r="AJ260" s="22">
        <v>10.0</v>
      </c>
      <c r="AK260" s="22">
        <v>0.0</v>
      </c>
      <c r="AL260" s="22"/>
      <c r="AM260" s="22"/>
      <c r="AN260" s="22"/>
      <c r="AO260" s="22"/>
    </row>
    <row r="261" ht="15.75" customHeight="1">
      <c r="A261" s="22">
        <v>253.0</v>
      </c>
      <c r="B261" s="22" t="s">
        <v>2247</v>
      </c>
      <c r="C261" s="22" t="s">
        <v>2248</v>
      </c>
      <c r="D261" s="70" t="s">
        <v>2249</v>
      </c>
      <c r="E261" s="22" t="s">
        <v>49</v>
      </c>
      <c r="F261" s="22"/>
      <c r="G261" s="22" t="s">
        <v>2250</v>
      </c>
      <c r="H261" s="22" t="s">
        <v>2251</v>
      </c>
      <c r="I261" s="22" t="s">
        <v>2252</v>
      </c>
      <c r="J261" s="22" t="s">
        <v>74</v>
      </c>
      <c r="K261" s="22" t="s">
        <v>55</v>
      </c>
      <c r="L261" s="22" t="s">
        <v>56</v>
      </c>
      <c r="M261" s="22" t="s">
        <v>57</v>
      </c>
      <c r="N261" s="22" t="s">
        <v>58</v>
      </c>
      <c r="O261" s="22">
        <v>499.0</v>
      </c>
      <c r="P261" s="22"/>
      <c r="Q261" s="22" t="s">
        <v>59</v>
      </c>
      <c r="R261" s="22" t="s">
        <v>58</v>
      </c>
      <c r="S261" s="22" t="s">
        <v>58</v>
      </c>
      <c r="T261" s="22"/>
      <c r="U261" s="22"/>
      <c r="V261" s="22" t="s">
        <v>61</v>
      </c>
      <c r="W261" s="22" t="s">
        <v>58</v>
      </c>
      <c r="X261" s="22" t="s">
        <v>58</v>
      </c>
      <c r="Y261" s="22" t="s">
        <v>58</v>
      </c>
      <c r="Z261" s="22" t="s">
        <v>58</v>
      </c>
      <c r="AA261" s="22" t="s">
        <v>58</v>
      </c>
      <c r="AB261" s="22" t="s">
        <v>58</v>
      </c>
      <c r="AC261" s="22" t="s">
        <v>58</v>
      </c>
      <c r="AD261" s="22" t="s">
        <v>58</v>
      </c>
      <c r="AE261" s="22" t="s">
        <v>61</v>
      </c>
      <c r="AF261" s="22" t="s">
        <v>61</v>
      </c>
      <c r="AG261" s="22" t="s">
        <v>58</v>
      </c>
      <c r="AH261" s="22">
        <v>10.0</v>
      </c>
      <c r="AI261" s="22">
        <v>1000.0</v>
      </c>
      <c r="AJ261" s="22">
        <v>10.0</v>
      </c>
      <c r="AK261" s="22">
        <v>0.0</v>
      </c>
      <c r="AL261" s="22"/>
      <c r="AM261" s="22"/>
      <c r="AN261" s="24" t="s">
        <v>757</v>
      </c>
      <c r="AO261" s="22"/>
    </row>
    <row r="262" ht="15.75" customHeight="1">
      <c r="A262" s="22">
        <v>254.0</v>
      </c>
      <c r="B262" s="22" t="s">
        <v>2255</v>
      </c>
      <c r="C262" s="22" t="s">
        <v>2256</v>
      </c>
      <c r="D262" s="24" t="s">
        <v>69</v>
      </c>
      <c r="E262" s="22" t="s">
        <v>49</v>
      </c>
      <c r="F262" s="24" t="s">
        <v>69</v>
      </c>
      <c r="G262" s="24" t="s">
        <v>69</v>
      </c>
      <c r="H262" s="22" t="s">
        <v>123</v>
      </c>
      <c r="I262" s="22" t="s">
        <v>124</v>
      </c>
      <c r="J262" s="22" t="s">
        <v>74</v>
      </c>
      <c r="K262" s="22" t="s">
        <v>55</v>
      </c>
      <c r="L262" s="22" t="s">
        <v>56</v>
      </c>
      <c r="M262" s="22" t="s">
        <v>57</v>
      </c>
      <c r="N262" s="22" t="s">
        <v>58</v>
      </c>
      <c r="O262" s="22">
        <v>800.0</v>
      </c>
      <c r="P262" s="22">
        <v>1000.0</v>
      </c>
      <c r="Q262" s="22" t="s">
        <v>59</v>
      </c>
      <c r="R262" s="22" t="s">
        <v>58</v>
      </c>
      <c r="S262" s="22" t="s">
        <v>58</v>
      </c>
      <c r="T262" s="22"/>
      <c r="U262" s="22"/>
      <c r="V262" s="22" t="s">
        <v>61</v>
      </c>
      <c r="W262" s="22" t="s">
        <v>58</v>
      </c>
      <c r="X262" s="22" t="s">
        <v>58</v>
      </c>
      <c r="Y262" s="22" t="s">
        <v>58</v>
      </c>
      <c r="Z262" s="22" t="s">
        <v>58</v>
      </c>
      <c r="AA262" s="22" t="s">
        <v>58</v>
      </c>
      <c r="AB262" s="22" t="s">
        <v>58</v>
      </c>
      <c r="AC262" s="22" t="s">
        <v>58</v>
      </c>
      <c r="AD262" s="22" t="s">
        <v>58</v>
      </c>
      <c r="AE262" s="22" t="s">
        <v>61</v>
      </c>
      <c r="AF262" s="22" t="s">
        <v>61</v>
      </c>
      <c r="AG262" s="22" t="s">
        <v>58</v>
      </c>
      <c r="AH262" s="22">
        <v>100.0</v>
      </c>
      <c r="AI262" s="22">
        <v>10000.0</v>
      </c>
      <c r="AJ262" s="22">
        <v>100.0</v>
      </c>
      <c r="AK262" s="22">
        <v>0.0</v>
      </c>
      <c r="AL262" s="22"/>
      <c r="AM262" s="22"/>
      <c r="AN262" s="22"/>
      <c r="AO262" s="22"/>
    </row>
    <row r="263" ht="15.75" customHeight="1">
      <c r="A263" s="22">
        <v>255.0</v>
      </c>
      <c r="B263" s="22" t="s">
        <v>1012</v>
      </c>
      <c r="C263" s="22" t="s">
        <v>1013</v>
      </c>
      <c r="D263" s="66" t="s">
        <v>1014</v>
      </c>
      <c r="E263" s="22" t="s">
        <v>49</v>
      </c>
      <c r="F263" s="42" t="s">
        <v>2259</v>
      </c>
      <c r="G263" s="71" t="s">
        <v>2261</v>
      </c>
      <c r="H263" s="22" t="s">
        <v>266</v>
      </c>
      <c r="I263" s="22" t="s">
        <v>267</v>
      </c>
      <c r="J263" s="22" t="s">
        <v>267</v>
      </c>
      <c r="K263" s="22" t="s">
        <v>55</v>
      </c>
      <c r="L263" s="22" t="s">
        <v>56</v>
      </c>
      <c r="M263" s="22" t="s">
        <v>57</v>
      </c>
      <c r="N263" s="22" t="s">
        <v>58</v>
      </c>
      <c r="O263" s="22">
        <v>500.0</v>
      </c>
      <c r="P263" s="22"/>
      <c r="Q263" s="22" t="s">
        <v>59</v>
      </c>
      <c r="R263" s="22" t="s">
        <v>58</v>
      </c>
      <c r="S263" s="22" t="s">
        <v>58</v>
      </c>
      <c r="T263" s="22"/>
      <c r="U263" s="22"/>
      <c r="V263" s="22" t="s">
        <v>61</v>
      </c>
      <c r="W263" s="22" t="s">
        <v>58</v>
      </c>
      <c r="X263" s="22" t="s">
        <v>58</v>
      </c>
      <c r="Y263" s="22" t="s">
        <v>58</v>
      </c>
      <c r="Z263" s="22" t="s">
        <v>58</v>
      </c>
      <c r="AA263" s="22" t="s">
        <v>58</v>
      </c>
      <c r="AB263" s="22" t="s">
        <v>58</v>
      </c>
      <c r="AC263" s="22" t="s">
        <v>58</v>
      </c>
      <c r="AD263" s="22" t="s">
        <v>58</v>
      </c>
      <c r="AE263" s="22" t="s">
        <v>61</v>
      </c>
      <c r="AF263" s="22" t="s">
        <v>61</v>
      </c>
      <c r="AG263" s="22" t="s">
        <v>58</v>
      </c>
      <c r="AH263" s="22">
        <v>50.0</v>
      </c>
      <c r="AI263" s="22">
        <v>20000.0</v>
      </c>
      <c r="AJ263" s="22">
        <v>50.0</v>
      </c>
      <c r="AK263" s="22">
        <v>0.0</v>
      </c>
      <c r="AL263" s="22"/>
      <c r="AM263" s="22"/>
      <c r="AN263" s="22"/>
      <c r="AO263" s="22"/>
    </row>
    <row r="264" ht="15.75" customHeight="1">
      <c r="A264" s="22">
        <v>256.0</v>
      </c>
      <c r="B264" s="22" t="s">
        <v>2268</v>
      </c>
      <c r="C264" s="22" t="s">
        <v>2269</v>
      </c>
      <c r="D264" s="66" t="s">
        <v>2270</v>
      </c>
      <c r="E264" s="22" t="s">
        <v>49</v>
      </c>
      <c r="F264" s="42" t="s">
        <v>2272</v>
      </c>
      <c r="G264" s="91">
        <v>7.727051744E9</v>
      </c>
      <c r="H264" s="22" t="s">
        <v>303</v>
      </c>
      <c r="I264" s="22" t="s">
        <v>303</v>
      </c>
      <c r="J264" s="22" t="s">
        <v>74</v>
      </c>
      <c r="K264" s="22" t="s">
        <v>55</v>
      </c>
      <c r="L264" s="22" t="s">
        <v>56</v>
      </c>
      <c r="M264" s="22" t="s">
        <v>57</v>
      </c>
      <c r="N264" s="22" t="s">
        <v>58</v>
      </c>
      <c r="O264" s="22">
        <v>500.0</v>
      </c>
      <c r="P264" s="22">
        <v>700.0</v>
      </c>
      <c r="Q264" s="22" t="s">
        <v>59</v>
      </c>
      <c r="R264" s="22" t="s">
        <v>58</v>
      </c>
      <c r="S264" s="22" t="s">
        <v>58</v>
      </c>
      <c r="T264" s="22"/>
      <c r="U264" s="22"/>
      <c r="V264" s="22" t="s">
        <v>61</v>
      </c>
      <c r="W264" s="22" t="s">
        <v>58</v>
      </c>
      <c r="X264" s="22" t="s">
        <v>58</v>
      </c>
      <c r="Y264" s="22" t="s">
        <v>58</v>
      </c>
      <c r="Z264" s="22" t="s">
        <v>58</v>
      </c>
      <c r="AA264" s="22" t="s">
        <v>58</v>
      </c>
      <c r="AB264" s="22" t="s">
        <v>58</v>
      </c>
      <c r="AC264" s="22" t="s">
        <v>58</v>
      </c>
      <c r="AD264" s="22" t="s">
        <v>58</v>
      </c>
      <c r="AE264" s="22" t="s">
        <v>61</v>
      </c>
      <c r="AF264" s="22" t="s">
        <v>61</v>
      </c>
      <c r="AG264" s="22" t="s">
        <v>58</v>
      </c>
      <c r="AH264" s="22">
        <v>50.0</v>
      </c>
      <c r="AI264" s="22">
        <v>1000.0</v>
      </c>
      <c r="AJ264" s="22">
        <v>50.0</v>
      </c>
      <c r="AK264" s="22">
        <v>0.0</v>
      </c>
      <c r="AL264" s="22"/>
      <c r="AM264" s="22"/>
      <c r="AN264" s="22"/>
      <c r="AO264" s="22"/>
    </row>
    <row r="265" ht="15.75" customHeight="1">
      <c r="A265" s="22">
        <v>257.0</v>
      </c>
      <c r="B265" s="22" t="s">
        <v>2281</v>
      </c>
      <c r="C265" s="22" t="s">
        <v>2282</v>
      </c>
      <c r="D265" s="66" t="s">
        <v>2283</v>
      </c>
      <c r="E265" s="22" t="s">
        <v>49</v>
      </c>
      <c r="F265" s="42" t="s">
        <v>2284</v>
      </c>
      <c r="G265" s="54">
        <v>9.26262675E8</v>
      </c>
      <c r="H265" s="22" t="s">
        <v>72</v>
      </c>
      <c r="I265" s="22" t="s">
        <v>73</v>
      </c>
      <c r="J265" s="22" t="s">
        <v>74</v>
      </c>
      <c r="K265" s="22" t="s">
        <v>55</v>
      </c>
      <c r="L265" s="22" t="s">
        <v>56</v>
      </c>
      <c r="M265" s="22" t="s">
        <v>57</v>
      </c>
      <c r="N265" s="22" t="s">
        <v>58</v>
      </c>
      <c r="O265" s="22">
        <v>300.0</v>
      </c>
      <c r="P265" s="22">
        <v>350.0</v>
      </c>
      <c r="Q265" s="22" t="s">
        <v>59</v>
      </c>
      <c r="R265" s="22" t="s">
        <v>58</v>
      </c>
      <c r="S265" s="22" t="s">
        <v>58</v>
      </c>
      <c r="T265" s="22"/>
      <c r="U265" s="22"/>
      <c r="V265" s="22" t="s">
        <v>61</v>
      </c>
      <c r="W265" s="22" t="s">
        <v>58</v>
      </c>
      <c r="X265" s="22" t="s">
        <v>58</v>
      </c>
      <c r="Y265" s="22" t="s">
        <v>58</v>
      </c>
      <c r="Z265" s="22" t="s">
        <v>58</v>
      </c>
      <c r="AA265" s="22" t="s">
        <v>58</v>
      </c>
      <c r="AB265" s="22" t="s">
        <v>58</v>
      </c>
      <c r="AC265" s="22" t="s">
        <v>58</v>
      </c>
      <c r="AD265" s="22" t="s">
        <v>58</v>
      </c>
      <c r="AE265" s="22" t="s">
        <v>61</v>
      </c>
      <c r="AF265" s="22" t="s">
        <v>61</v>
      </c>
      <c r="AG265" s="22" t="s">
        <v>58</v>
      </c>
      <c r="AH265" s="22">
        <v>50.0</v>
      </c>
      <c r="AI265" s="22">
        <v>5000.0</v>
      </c>
      <c r="AJ265" s="22">
        <v>50.0</v>
      </c>
      <c r="AK265" s="22">
        <v>0.0</v>
      </c>
      <c r="AL265" s="22"/>
      <c r="AM265" s="22"/>
      <c r="AN265" s="22"/>
      <c r="AO265" s="22"/>
    </row>
    <row r="266" ht="15.75" customHeight="1">
      <c r="A266" s="22">
        <v>258.0</v>
      </c>
      <c r="B266" s="22" t="s">
        <v>2289</v>
      </c>
      <c r="C266" s="22" t="s">
        <v>2290</v>
      </c>
      <c r="D266" s="66" t="s">
        <v>2291</v>
      </c>
      <c r="E266" s="22" t="s">
        <v>49</v>
      </c>
      <c r="F266" s="42" t="s">
        <v>2292</v>
      </c>
      <c r="G266" s="82">
        <v>8.077524146E9</v>
      </c>
      <c r="H266" s="22" t="s">
        <v>303</v>
      </c>
      <c r="I266" s="22" t="s">
        <v>303</v>
      </c>
      <c r="J266" s="22" t="s">
        <v>74</v>
      </c>
      <c r="K266" s="22" t="s">
        <v>55</v>
      </c>
      <c r="L266" s="22" t="s">
        <v>56</v>
      </c>
      <c r="M266" s="22" t="s">
        <v>57</v>
      </c>
      <c r="N266" s="22" t="s">
        <v>58</v>
      </c>
      <c r="O266" s="22">
        <v>600.0</v>
      </c>
      <c r="P266" s="22"/>
      <c r="Q266" s="22" t="s">
        <v>59</v>
      </c>
      <c r="R266" s="22" t="s">
        <v>58</v>
      </c>
      <c r="S266" s="22" t="s">
        <v>58</v>
      </c>
      <c r="T266" s="22"/>
      <c r="U266" s="22"/>
      <c r="V266" s="22" t="s">
        <v>61</v>
      </c>
      <c r="W266" s="22" t="s">
        <v>58</v>
      </c>
      <c r="X266" s="22" t="s">
        <v>58</v>
      </c>
      <c r="Y266" s="22" t="s">
        <v>58</v>
      </c>
      <c r="Z266" s="22" t="s">
        <v>58</v>
      </c>
      <c r="AA266" s="22" t="s">
        <v>58</v>
      </c>
      <c r="AB266" s="22" t="s">
        <v>58</v>
      </c>
      <c r="AC266" s="22" t="s">
        <v>58</v>
      </c>
      <c r="AD266" s="22" t="s">
        <v>58</v>
      </c>
      <c r="AE266" s="22" t="s">
        <v>61</v>
      </c>
      <c r="AF266" s="22" t="s">
        <v>61</v>
      </c>
      <c r="AG266" s="22" t="s">
        <v>58</v>
      </c>
      <c r="AH266" s="22">
        <v>150.0</v>
      </c>
      <c r="AI266" s="22">
        <v>8000.0</v>
      </c>
      <c r="AJ266" s="22">
        <v>150.0</v>
      </c>
      <c r="AK266" s="22">
        <v>0.0</v>
      </c>
      <c r="AL266" s="22"/>
      <c r="AM266" s="22"/>
      <c r="AN266" s="22"/>
      <c r="AO266" s="22"/>
    </row>
    <row r="267" ht="15.75" customHeight="1">
      <c r="A267" s="22">
        <v>259.0</v>
      </c>
      <c r="B267" s="22" t="s">
        <v>2296</v>
      </c>
      <c r="C267" s="22" t="s">
        <v>2297</v>
      </c>
      <c r="D267" s="24" t="s">
        <v>69</v>
      </c>
      <c r="E267" s="22" t="s">
        <v>49</v>
      </c>
      <c r="F267" s="24" t="s">
        <v>69</v>
      </c>
      <c r="G267" s="24" t="s">
        <v>69</v>
      </c>
      <c r="H267" s="22" t="s">
        <v>727</v>
      </c>
      <c r="I267" s="22" t="s">
        <v>729</v>
      </c>
      <c r="J267" s="22" t="s">
        <v>74</v>
      </c>
      <c r="K267" s="22" t="s">
        <v>55</v>
      </c>
      <c r="L267" s="22" t="s">
        <v>56</v>
      </c>
      <c r="M267" s="22" t="s">
        <v>57</v>
      </c>
      <c r="N267" s="22" t="s">
        <v>58</v>
      </c>
      <c r="O267" s="22">
        <v>800.0</v>
      </c>
      <c r="P267" s="22">
        <v>1000.0</v>
      </c>
      <c r="Q267" s="22" t="s">
        <v>59</v>
      </c>
      <c r="R267" s="22" t="s">
        <v>58</v>
      </c>
      <c r="S267" s="22" t="s">
        <v>58</v>
      </c>
      <c r="T267" s="22"/>
      <c r="U267" s="22"/>
      <c r="V267" s="22" t="s">
        <v>61</v>
      </c>
      <c r="W267" s="22" t="s">
        <v>58</v>
      </c>
      <c r="X267" s="22" t="s">
        <v>58</v>
      </c>
      <c r="Y267" s="22" t="s">
        <v>58</v>
      </c>
      <c r="Z267" s="22" t="s">
        <v>58</v>
      </c>
      <c r="AA267" s="22" t="s">
        <v>58</v>
      </c>
      <c r="AB267" s="22" t="s">
        <v>58</v>
      </c>
      <c r="AC267" s="22" t="s">
        <v>58</v>
      </c>
      <c r="AD267" s="22" t="s">
        <v>58</v>
      </c>
      <c r="AE267" s="22" t="s">
        <v>61</v>
      </c>
      <c r="AF267" s="22" t="s">
        <v>61</v>
      </c>
      <c r="AG267" s="22" t="s">
        <v>58</v>
      </c>
      <c r="AH267" s="22">
        <v>30.0</v>
      </c>
      <c r="AI267" s="22">
        <v>2500.0</v>
      </c>
      <c r="AJ267" s="22">
        <v>30.0</v>
      </c>
      <c r="AK267" s="22">
        <v>0.0</v>
      </c>
      <c r="AL267" s="22"/>
      <c r="AM267" s="22"/>
      <c r="AN267" s="22"/>
      <c r="AO267" s="22"/>
    </row>
    <row r="268" ht="15.75" customHeight="1">
      <c r="A268" s="22">
        <v>260.0</v>
      </c>
      <c r="B268" s="22" t="s">
        <v>2303</v>
      </c>
      <c r="C268" s="22" t="s">
        <v>2304</v>
      </c>
      <c r="D268" s="66" t="s">
        <v>2305</v>
      </c>
      <c r="E268" s="22" t="s">
        <v>49</v>
      </c>
      <c r="F268" s="42" t="s">
        <v>2306</v>
      </c>
      <c r="G268" s="75" t="s">
        <v>2307</v>
      </c>
      <c r="H268" s="22" t="s">
        <v>72</v>
      </c>
      <c r="I268" s="22" t="s">
        <v>73</v>
      </c>
      <c r="J268" s="22" t="s">
        <v>74</v>
      </c>
      <c r="K268" s="22" t="s">
        <v>55</v>
      </c>
      <c r="L268" s="22" t="s">
        <v>56</v>
      </c>
      <c r="M268" s="22" t="s">
        <v>57</v>
      </c>
      <c r="N268" s="22" t="s">
        <v>58</v>
      </c>
      <c r="O268" s="22">
        <v>650.0</v>
      </c>
      <c r="P268" s="22">
        <v>800.0</v>
      </c>
      <c r="Q268" s="22" t="s">
        <v>59</v>
      </c>
      <c r="R268" s="22" t="s">
        <v>58</v>
      </c>
      <c r="S268" s="22" t="s">
        <v>58</v>
      </c>
      <c r="T268" s="22"/>
      <c r="U268" s="22"/>
      <c r="V268" s="22" t="s">
        <v>61</v>
      </c>
      <c r="W268" s="22" t="s">
        <v>58</v>
      </c>
      <c r="X268" s="22" t="s">
        <v>58</v>
      </c>
      <c r="Y268" s="22" t="s">
        <v>58</v>
      </c>
      <c r="Z268" s="22" t="s">
        <v>58</v>
      </c>
      <c r="AA268" s="22" t="s">
        <v>58</v>
      </c>
      <c r="AB268" s="22" t="s">
        <v>58</v>
      </c>
      <c r="AC268" s="22" t="s">
        <v>58</v>
      </c>
      <c r="AD268" s="22" t="s">
        <v>58</v>
      </c>
      <c r="AE268" s="22" t="s">
        <v>61</v>
      </c>
      <c r="AF268" s="22" t="s">
        <v>61</v>
      </c>
      <c r="AG268" s="22" t="s">
        <v>58</v>
      </c>
      <c r="AH268" s="22">
        <v>50.0</v>
      </c>
      <c r="AI268" s="22">
        <v>4000.0</v>
      </c>
      <c r="AJ268" s="22">
        <v>50.0</v>
      </c>
      <c r="AK268" s="22">
        <v>0.0</v>
      </c>
      <c r="AL268" s="22"/>
      <c r="AM268" s="22"/>
      <c r="AN268" s="22"/>
      <c r="AO268" s="22"/>
    </row>
    <row r="269" ht="15.75" customHeight="1">
      <c r="A269" s="22">
        <v>261.0</v>
      </c>
      <c r="B269" s="22" t="s">
        <v>843</v>
      </c>
      <c r="C269" s="22" t="s">
        <v>844</v>
      </c>
      <c r="D269" s="66" t="s">
        <v>2313</v>
      </c>
      <c r="E269" s="22" t="s">
        <v>49</v>
      </c>
      <c r="F269" s="42" t="s">
        <v>2314</v>
      </c>
      <c r="G269" s="92">
        <v>9.311197376E9</v>
      </c>
      <c r="H269" s="22" t="s">
        <v>273</v>
      </c>
      <c r="I269" s="22" t="s">
        <v>274</v>
      </c>
      <c r="J269" s="22" t="s">
        <v>274</v>
      </c>
      <c r="K269" s="22" t="s">
        <v>55</v>
      </c>
      <c r="L269" s="22" t="s">
        <v>56</v>
      </c>
      <c r="M269" s="22" t="s">
        <v>57</v>
      </c>
      <c r="N269" s="22" t="s">
        <v>58</v>
      </c>
      <c r="O269" s="22">
        <v>1300.0</v>
      </c>
      <c r="P269" s="22"/>
      <c r="Q269" s="22" t="s">
        <v>59</v>
      </c>
      <c r="R269" s="22" t="s">
        <v>58</v>
      </c>
      <c r="S269" s="22" t="s">
        <v>58</v>
      </c>
      <c r="T269" s="22"/>
      <c r="U269" s="22"/>
      <c r="V269" s="22" t="s">
        <v>61</v>
      </c>
      <c r="W269" s="22" t="s">
        <v>58</v>
      </c>
      <c r="X269" s="22" t="s">
        <v>58</v>
      </c>
      <c r="Y269" s="22" t="s">
        <v>58</v>
      </c>
      <c r="Z269" s="22" t="s">
        <v>58</v>
      </c>
      <c r="AA269" s="22" t="s">
        <v>58</v>
      </c>
      <c r="AB269" s="22" t="s">
        <v>58</v>
      </c>
      <c r="AC269" s="22" t="s">
        <v>58</v>
      </c>
      <c r="AD269" s="22" t="s">
        <v>58</v>
      </c>
      <c r="AE269" s="22" t="s">
        <v>61</v>
      </c>
      <c r="AF269" s="22" t="s">
        <v>61</v>
      </c>
      <c r="AG269" s="22" t="s">
        <v>58</v>
      </c>
      <c r="AH269" s="22">
        <v>50.0</v>
      </c>
      <c r="AI269" s="22">
        <v>5000.0</v>
      </c>
      <c r="AJ269" s="22">
        <v>50.0</v>
      </c>
      <c r="AK269" s="22">
        <v>0.0</v>
      </c>
      <c r="AL269" s="22"/>
      <c r="AM269" s="22"/>
      <c r="AN269" s="22"/>
      <c r="AO269" s="22"/>
    </row>
    <row r="270" ht="15.75" customHeight="1">
      <c r="A270" s="22">
        <v>262.0</v>
      </c>
      <c r="B270" s="22" t="s">
        <v>2318</v>
      </c>
      <c r="C270" s="22" t="s">
        <v>2319</v>
      </c>
      <c r="D270" s="22" t="s">
        <v>2320</v>
      </c>
      <c r="E270" s="22" t="s">
        <v>49</v>
      </c>
      <c r="F270" s="24" t="s">
        <v>69</v>
      </c>
      <c r="G270" s="24" t="s">
        <v>69</v>
      </c>
      <c r="H270" s="22" t="s">
        <v>860</v>
      </c>
      <c r="I270" s="22" t="s">
        <v>861</v>
      </c>
      <c r="J270" s="22" t="s">
        <v>74</v>
      </c>
      <c r="K270" s="22" t="s">
        <v>55</v>
      </c>
      <c r="L270" s="22" t="s">
        <v>56</v>
      </c>
      <c r="M270" s="22" t="s">
        <v>57</v>
      </c>
      <c r="N270" s="22" t="s">
        <v>58</v>
      </c>
      <c r="O270" s="22">
        <v>800.0</v>
      </c>
      <c r="P270" s="22">
        <v>1000.0</v>
      </c>
      <c r="Q270" s="22" t="s">
        <v>59</v>
      </c>
      <c r="R270" s="22" t="s">
        <v>58</v>
      </c>
      <c r="S270" s="22" t="s">
        <v>58</v>
      </c>
      <c r="T270" s="22" t="s">
        <v>275</v>
      </c>
      <c r="U270" s="22" t="s">
        <v>275</v>
      </c>
      <c r="V270" s="22" t="s">
        <v>61</v>
      </c>
      <c r="W270" s="22" t="s">
        <v>58</v>
      </c>
      <c r="X270" s="22" t="s">
        <v>58</v>
      </c>
      <c r="Y270" s="22" t="s">
        <v>58</v>
      </c>
      <c r="Z270" s="22" t="s">
        <v>58</v>
      </c>
      <c r="AA270" s="22" t="s">
        <v>58</v>
      </c>
      <c r="AB270" s="22" t="s">
        <v>58</v>
      </c>
      <c r="AC270" s="22" t="s">
        <v>61</v>
      </c>
      <c r="AD270" s="22" t="s">
        <v>58</v>
      </c>
      <c r="AE270" s="22" t="s">
        <v>61</v>
      </c>
      <c r="AF270" s="22" t="s">
        <v>61</v>
      </c>
      <c r="AG270" s="22" t="s">
        <v>58</v>
      </c>
      <c r="AH270" s="22">
        <v>20.0</v>
      </c>
      <c r="AI270" s="22">
        <v>5000.0</v>
      </c>
      <c r="AJ270" s="22">
        <v>20.0</v>
      </c>
      <c r="AK270" s="22">
        <v>0.0</v>
      </c>
      <c r="AL270" s="22"/>
      <c r="AM270" s="22"/>
      <c r="AN270" s="22"/>
      <c r="AO270" s="22"/>
    </row>
    <row r="271" ht="15.75" customHeight="1">
      <c r="A271" s="22">
        <v>263.0</v>
      </c>
      <c r="B271" s="22" t="s">
        <v>2322</v>
      </c>
      <c r="C271" s="22" t="s">
        <v>2323</v>
      </c>
      <c r="D271" s="24" t="s">
        <v>69</v>
      </c>
      <c r="E271" s="22" t="s">
        <v>49</v>
      </c>
      <c r="F271" s="42" t="s">
        <v>2324</v>
      </c>
      <c r="G271" s="81" t="s">
        <v>2327</v>
      </c>
      <c r="H271" s="22" t="s">
        <v>123</v>
      </c>
      <c r="I271" s="22" t="s">
        <v>124</v>
      </c>
      <c r="J271" s="22" t="s">
        <v>74</v>
      </c>
      <c r="K271" s="22" t="s">
        <v>55</v>
      </c>
      <c r="L271" s="22" t="s">
        <v>56</v>
      </c>
      <c r="M271" s="22" t="s">
        <v>57</v>
      </c>
      <c r="N271" s="22" t="s">
        <v>58</v>
      </c>
      <c r="O271" s="22">
        <v>700.0</v>
      </c>
      <c r="P271" s="22">
        <v>1050.0</v>
      </c>
      <c r="Q271" s="22" t="s">
        <v>59</v>
      </c>
      <c r="R271" s="22" t="s">
        <v>58</v>
      </c>
      <c r="S271" s="22" t="s">
        <v>58</v>
      </c>
      <c r="T271" s="22"/>
      <c r="U271" s="22"/>
      <c r="V271" s="22" t="s">
        <v>61</v>
      </c>
      <c r="W271" s="22" t="s">
        <v>58</v>
      </c>
      <c r="X271" s="22" t="s">
        <v>58</v>
      </c>
      <c r="Y271" s="22" t="s">
        <v>58</v>
      </c>
      <c r="Z271" s="22" t="s">
        <v>58</v>
      </c>
      <c r="AA271" s="22" t="s">
        <v>58</v>
      </c>
      <c r="AB271" s="22" t="s">
        <v>58</v>
      </c>
      <c r="AC271" s="22" t="s">
        <v>58</v>
      </c>
      <c r="AD271" s="22" t="s">
        <v>58</v>
      </c>
      <c r="AE271" s="22" t="s">
        <v>61</v>
      </c>
      <c r="AF271" s="22" t="s">
        <v>61</v>
      </c>
      <c r="AG271" s="22" t="s">
        <v>58</v>
      </c>
      <c r="AH271" s="22">
        <v>100.0</v>
      </c>
      <c r="AI271" s="22">
        <v>0.0</v>
      </c>
      <c r="AJ271" s="22">
        <v>100.0</v>
      </c>
      <c r="AK271" s="22">
        <v>0.0</v>
      </c>
      <c r="AL271" s="22"/>
      <c r="AM271" s="22"/>
      <c r="AN271" s="22"/>
      <c r="AO271" s="22"/>
    </row>
    <row r="272" ht="31.5" customHeight="1">
      <c r="A272" s="22">
        <v>264.0</v>
      </c>
      <c r="B272" s="22" t="s">
        <v>2328</v>
      </c>
      <c r="C272" s="22" t="s">
        <v>2329</v>
      </c>
      <c r="D272" s="22" t="s">
        <v>2331</v>
      </c>
      <c r="E272" s="22" t="s">
        <v>49</v>
      </c>
      <c r="F272" s="24" t="s">
        <v>69</v>
      </c>
      <c r="G272" s="24" t="s">
        <v>69</v>
      </c>
      <c r="H272" s="22" t="s">
        <v>303</v>
      </c>
      <c r="I272" s="22" t="s">
        <v>303</v>
      </c>
      <c r="J272" s="22" t="s">
        <v>74</v>
      </c>
      <c r="K272" s="22" t="s">
        <v>55</v>
      </c>
      <c r="L272" s="22" t="s">
        <v>56</v>
      </c>
      <c r="M272" s="22" t="s">
        <v>57</v>
      </c>
      <c r="N272" s="22" t="s">
        <v>58</v>
      </c>
      <c r="O272" s="22">
        <v>550.0</v>
      </c>
      <c r="P272" s="22"/>
      <c r="Q272" s="22" t="s">
        <v>59</v>
      </c>
      <c r="R272" s="22" t="s">
        <v>58</v>
      </c>
      <c r="S272" s="22" t="s">
        <v>58</v>
      </c>
      <c r="T272" s="24" t="s">
        <v>2333</v>
      </c>
      <c r="U272" s="22"/>
      <c r="V272" s="22" t="s">
        <v>61</v>
      </c>
      <c r="W272" s="22" t="s">
        <v>58</v>
      </c>
      <c r="X272" s="22" t="s">
        <v>58</v>
      </c>
      <c r="Y272" s="22" t="s">
        <v>58</v>
      </c>
      <c r="Z272" s="22" t="s">
        <v>58</v>
      </c>
      <c r="AA272" s="22" t="s">
        <v>58</v>
      </c>
      <c r="AB272" s="22" t="s">
        <v>58</v>
      </c>
      <c r="AC272" s="22" t="s">
        <v>58</v>
      </c>
      <c r="AD272" s="22" t="s">
        <v>58</v>
      </c>
      <c r="AE272" s="22" t="s">
        <v>61</v>
      </c>
      <c r="AF272" s="22" t="s">
        <v>61</v>
      </c>
      <c r="AG272" s="22" t="s">
        <v>58</v>
      </c>
      <c r="AH272" s="22">
        <v>0.0</v>
      </c>
      <c r="AI272" s="22">
        <v>0.0</v>
      </c>
      <c r="AJ272" s="22">
        <v>0.0</v>
      </c>
      <c r="AK272" s="22">
        <v>0.0</v>
      </c>
      <c r="AL272" s="22"/>
      <c r="AM272" s="22"/>
      <c r="AN272" s="22"/>
      <c r="AO272" s="22"/>
    </row>
    <row r="273" ht="15.75" customHeight="1">
      <c r="A273" s="22">
        <v>265.0</v>
      </c>
      <c r="B273" s="22" t="s">
        <v>2334</v>
      </c>
      <c r="C273" s="22" t="s">
        <v>2335</v>
      </c>
      <c r="D273" s="66" t="s">
        <v>2336</v>
      </c>
      <c r="E273" s="22" t="s">
        <v>49</v>
      </c>
      <c r="F273" s="42" t="s">
        <v>2337</v>
      </c>
      <c r="G273" s="71" t="s">
        <v>2344</v>
      </c>
      <c r="H273" s="22" t="s">
        <v>123</v>
      </c>
      <c r="I273" s="22" t="s">
        <v>124</v>
      </c>
      <c r="J273" s="22" t="s">
        <v>74</v>
      </c>
      <c r="K273" s="22" t="s">
        <v>55</v>
      </c>
      <c r="L273" s="22" t="s">
        <v>56</v>
      </c>
      <c r="M273" s="22" t="s">
        <v>57</v>
      </c>
      <c r="N273" s="22" t="s">
        <v>58</v>
      </c>
      <c r="O273" s="22">
        <v>900.0</v>
      </c>
      <c r="P273" s="22">
        <v>1100.0</v>
      </c>
      <c r="Q273" s="22" t="s">
        <v>59</v>
      </c>
      <c r="R273" s="22" t="s">
        <v>58</v>
      </c>
      <c r="S273" s="22" t="s">
        <v>58</v>
      </c>
      <c r="T273" s="22"/>
      <c r="U273" s="22"/>
      <c r="V273" s="22" t="s">
        <v>61</v>
      </c>
      <c r="W273" s="22" t="s">
        <v>58</v>
      </c>
      <c r="X273" s="22" t="s">
        <v>58</v>
      </c>
      <c r="Y273" s="22" t="s">
        <v>58</v>
      </c>
      <c r="Z273" s="22" t="s">
        <v>58</v>
      </c>
      <c r="AA273" s="22" t="s">
        <v>58</v>
      </c>
      <c r="AB273" s="22" t="s">
        <v>58</v>
      </c>
      <c r="AC273" s="22" t="s">
        <v>58</v>
      </c>
      <c r="AD273" s="22" t="s">
        <v>58</v>
      </c>
      <c r="AE273" s="22" t="s">
        <v>61</v>
      </c>
      <c r="AF273" s="22" t="s">
        <v>61</v>
      </c>
      <c r="AG273" s="22" t="s">
        <v>58</v>
      </c>
      <c r="AH273" s="22">
        <v>200.0</v>
      </c>
      <c r="AI273" s="22">
        <v>2500.0</v>
      </c>
      <c r="AJ273" s="22">
        <v>200.0</v>
      </c>
      <c r="AK273" s="22">
        <v>0.0</v>
      </c>
      <c r="AL273" s="22"/>
      <c r="AM273" s="22"/>
      <c r="AN273" s="22"/>
      <c r="AO273" s="22"/>
    </row>
    <row r="274" ht="15.75" customHeight="1">
      <c r="A274" s="22">
        <v>266.0</v>
      </c>
      <c r="B274" s="22" t="s">
        <v>2347</v>
      </c>
      <c r="C274" s="22" t="s">
        <v>2348</v>
      </c>
      <c r="D274" s="93" t="s">
        <v>2350</v>
      </c>
      <c r="E274" s="22" t="s">
        <v>49</v>
      </c>
      <c r="F274" s="42" t="s">
        <v>2351</v>
      </c>
      <c r="G274" s="81" t="s">
        <v>2353</v>
      </c>
      <c r="H274" s="22" t="s">
        <v>303</v>
      </c>
      <c r="I274" s="22" t="s">
        <v>303</v>
      </c>
      <c r="J274" s="22" t="s">
        <v>74</v>
      </c>
      <c r="K274" s="22" t="s">
        <v>55</v>
      </c>
      <c r="L274" s="22" t="s">
        <v>56</v>
      </c>
      <c r="M274" s="22" t="s">
        <v>57</v>
      </c>
      <c r="N274" s="22" t="s">
        <v>58</v>
      </c>
      <c r="O274" s="22">
        <v>600.0</v>
      </c>
      <c r="P274" s="22">
        <v>600.0</v>
      </c>
      <c r="Q274" s="22" t="s">
        <v>59</v>
      </c>
      <c r="R274" s="22" t="s">
        <v>58</v>
      </c>
      <c r="S274" s="22" t="s">
        <v>58</v>
      </c>
      <c r="T274" s="22"/>
      <c r="U274" s="22"/>
      <c r="V274" s="22" t="s">
        <v>61</v>
      </c>
      <c r="W274" s="22" t="s">
        <v>58</v>
      </c>
      <c r="X274" s="22" t="s">
        <v>58</v>
      </c>
      <c r="Y274" s="22" t="s">
        <v>58</v>
      </c>
      <c r="Z274" s="22" t="s">
        <v>58</v>
      </c>
      <c r="AA274" s="22" t="s">
        <v>58</v>
      </c>
      <c r="AB274" s="22" t="s">
        <v>58</v>
      </c>
      <c r="AC274" s="22" t="s">
        <v>58</v>
      </c>
      <c r="AD274" s="22" t="s">
        <v>58</v>
      </c>
      <c r="AE274" s="22" t="s">
        <v>61</v>
      </c>
      <c r="AF274" s="22" t="s">
        <v>61</v>
      </c>
      <c r="AG274" s="22" t="s">
        <v>58</v>
      </c>
      <c r="AH274" s="22">
        <v>200.0</v>
      </c>
      <c r="AI274" s="22">
        <v>2000.0</v>
      </c>
      <c r="AJ274" s="22">
        <v>200.0</v>
      </c>
      <c r="AK274" s="22">
        <v>0.0</v>
      </c>
      <c r="AL274" s="22"/>
      <c r="AM274" s="22"/>
      <c r="AN274" s="22"/>
      <c r="AO274" s="22"/>
    </row>
    <row r="275" ht="15.75" customHeight="1">
      <c r="A275" s="22">
        <v>267.0</v>
      </c>
      <c r="B275" s="22" t="s">
        <v>565</v>
      </c>
      <c r="C275" s="22" t="s">
        <v>566</v>
      </c>
      <c r="D275" s="66" t="s">
        <v>2355</v>
      </c>
      <c r="E275" s="22" t="s">
        <v>49</v>
      </c>
      <c r="F275" s="42" t="s">
        <v>2356</v>
      </c>
      <c r="G275" s="81" t="s">
        <v>2358</v>
      </c>
      <c r="H275" s="22" t="s">
        <v>570</v>
      </c>
      <c r="I275" s="22" t="s">
        <v>571</v>
      </c>
      <c r="J275" s="22" t="s">
        <v>571</v>
      </c>
      <c r="K275" s="22" t="s">
        <v>55</v>
      </c>
      <c r="L275" s="22" t="s">
        <v>56</v>
      </c>
      <c r="M275" s="22" t="s">
        <v>57</v>
      </c>
      <c r="N275" s="22" t="s">
        <v>58</v>
      </c>
      <c r="O275" s="22">
        <v>600.0</v>
      </c>
      <c r="P275" s="22"/>
      <c r="Q275" s="22" t="s">
        <v>59</v>
      </c>
      <c r="R275" s="22" t="s">
        <v>58</v>
      </c>
      <c r="S275" s="22" t="s">
        <v>58</v>
      </c>
      <c r="T275" s="22"/>
      <c r="U275" s="22"/>
      <c r="V275" s="22" t="s">
        <v>61</v>
      </c>
      <c r="W275" s="22" t="s">
        <v>58</v>
      </c>
      <c r="X275" s="22" t="s">
        <v>58</v>
      </c>
      <c r="Y275" s="22" t="s">
        <v>58</v>
      </c>
      <c r="Z275" s="22" t="s">
        <v>58</v>
      </c>
      <c r="AA275" s="22" t="s">
        <v>58</v>
      </c>
      <c r="AB275" s="22" t="s">
        <v>58</v>
      </c>
      <c r="AC275" s="22" t="s">
        <v>58</v>
      </c>
      <c r="AD275" s="22" t="s">
        <v>58</v>
      </c>
      <c r="AE275" s="22" t="s">
        <v>61</v>
      </c>
      <c r="AF275" s="22" t="s">
        <v>61</v>
      </c>
      <c r="AG275" s="22" t="s">
        <v>58</v>
      </c>
      <c r="AH275" s="22">
        <v>50.0</v>
      </c>
      <c r="AI275" s="22">
        <v>1000.0</v>
      </c>
      <c r="AJ275" s="22">
        <v>50.0</v>
      </c>
      <c r="AK275" s="22">
        <v>0.0</v>
      </c>
      <c r="AL275" s="22"/>
      <c r="AM275" s="22"/>
      <c r="AN275" s="22"/>
      <c r="AO275" s="22"/>
    </row>
    <row r="276" ht="15.75" customHeight="1">
      <c r="A276" s="22">
        <v>268.0</v>
      </c>
      <c r="B276" s="22" t="s">
        <v>1478</v>
      </c>
      <c r="C276" s="22" t="s">
        <v>1479</v>
      </c>
      <c r="D276" s="66" t="s">
        <v>1480</v>
      </c>
      <c r="E276" s="22" t="s">
        <v>49</v>
      </c>
      <c r="F276" s="42" t="s">
        <v>2360</v>
      </c>
      <c r="G276" s="24" t="s">
        <v>69</v>
      </c>
      <c r="H276" s="22" t="s">
        <v>1409</v>
      </c>
      <c r="I276" s="22" t="s">
        <v>1411</v>
      </c>
      <c r="J276" s="22" t="s">
        <v>1411</v>
      </c>
      <c r="K276" s="22" t="s">
        <v>55</v>
      </c>
      <c r="L276" s="22" t="s">
        <v>56</v>
      </c>
      <c r="M276" s="22" t="s">
        <v>57</v>
      </c>
      <c r="N276" s="22" t="s">
        <v>58</v>
      </c>
      <c r="O276" s="22">
        <v>400.0</v>
      </c>
      <c r="P276" s="22">
        <v>700.0</v>
      </c>
      <c r="Q276" s="22" t="s">
        <v>59</v>
      </c>
      <c r="R276" s="22" t="s">
        <v>58</v>
      </c>
      <c r="S276" s="22" t="s">
        <v>58</v>
      </c>
      <c r="T276" s="22"/>
      <c r="U276" s="22"/>
      <c r="V276" s="22" t="s">
        <v>61</v>
      </c>
      <c r="W276" s="22" t="s">
        <v>58</v>
      </c>
      <c r="X276" s="22" t="s">
        <v>58</v>
      </c>
      <c r="Y276" s="22" t="s">
        <v>58</v>
      </c>
      <c r="Z276" s="22" t="s">
        <v>58</v>
      </c>
      <c r="AA276" s="22" t="s">
        <v>58</v>
      </c>
      <c r="AB276" s="22" t="s">
        <v>58</v>
      </c>
      <c r="AC276" s="22" t="s">
        <v>58</v>
      </c>
      <c r="AD276" s="22" t="s">
        <v>58</v>
      </c>
      <c r="AE276" s="22" t="s">
        <v>61</v>
      </c>
      <c r="AF276" s="22" t="s">
        <v>61</v>
      </c>
      <c r="AG276" s="22" t="s">
        <v>58</v>
      </c>
      <c r="AH276" s="22">
        <v>20.0</v>
      </c>
      <c r="AI276" s="22">
        <v>20000.0</v>
      </c>
      <c r="AJ276" s="22">
        <v>20.0</v>
      </c>
      <c r="AK276" s="22">
        <v>0.0</v>
      </c>
      <c r="AL276" s="22"/>
      <c r="AM276" s="22"/>
      <c r="AN276" s="22"/>
      <c r="AO276" s="22"/>
    </row>
    <row r="277" ht="15.75" customHeight="1">
      <c r="A277" s="22">
        <v>269.0</v>
      </c>
      <c r="B277" s="22" t="s">
        <v>2366</v>
      </c>
      <c r="C277" s="22" t="s">
        <v>2367</v>
      </c>
      <c r="D277" s="22" t="s">
        <v>2368</v>
      </c>
      <c r="E277" s="22" t="s">
        <v>49</v>
      </c>
      <c r="F277" s="42" t="s">
        <v>2369</v>
      </c>
      <c r="G277" s="81" t="s">
        <v>2373</v>
      </c>
      <c r="H277" s="22" t="s">
        <v>303</v>
      </c>
      <c r="I277" s="22" t="s">
        <v>303</v>
      </c>
      <c r="J277" s="22" t="s">
        <v>74</v>
      </c>
      <c r="K277" s="22" t="s">
        <v>55</v>
      </c>
      <c r="L277" s="22" t="s">
        <v>56</v>
      </c>
      <c r="M277" s="22" t="s">
        <v>57</v>
      </c>
      <c r="N277" s="22" t="s">
        <v>58</v>
      </c>
      <c r="O277" s="22">
        <v>1100.0</v>
      </c>
      <c r="P277" s="22">
        <v>1700.0</v>
      </c>
      <c r="Q277" s="22" t="s">
        <v>59</v>
      </c>
      <c r="R277" s="22" t="s">
        <v>58</v>
      </c>
      <c r="S277" s="22" t="s">
        <v>58</v>
      </c>
      <c r="T277" s="22"/>
      <c r="U277" s="22"/>
      <c r="V277" s="22" t="s">
        <v>61</v>
      </c>
      <c r="W277" s="22" t="s">
        <v>58</v>
      </c>
      <c r="X277" s="22" t="s">
        <v>58</v>
      </c>
      <c r="Y277" s="22" t="s">
        <v>58</v>
      </c>
      <c r="Z277" s="22" t="s">
        <v>58</v>
      </c>
      <c r="AA277" s="22" t="s">
        <v>58</v>
      </c>
      <c r="AB277" s="22" t="s">
        <v>58</v>
      </c>
      <c r="AC277" s="22" t="s">
        <v>58</v>
      </c>
      <c r="AD277" s="22" t="s">
        <v>58</v>
      </c>
      <c r="AE277" s="22" t="s">
        <v>61</v>
      </c>
      <c r="AF277" s="22" t="s">
        <v>61</v>
      </c>
      <c r="AG277" s="22" t="s">
        <v>58</v>
      </c>
      <c r="AH277" s="22">
        <v>100.0</v>
      </c>
      <c r="AI277" s="22">
        <v>500.0</v>
      </c>
      <c r="AJ277" s="22">
        <v>100.0</v>
      </c>
      <c r="AK277" s="22">
        <v>0.0</v>
      </c>
      <c r="AL277" s="22"/>
      <c r="AM277" s="22"/>
      <c r="AN277" s="22"/>
      <c r="AO277" s="22"/>
    </row>
    <row r="278" ht="15.75" customHeight="1">
      <c r="A278" s="22">
        <v>270.0</v>
      </c>
      <c r="B278" s="22" t="s">
        <v>2375</v>
      </c>
      <c r="C278" s="22" t="s">
        <v>2376</v>
      </c>
      <c r="D278" s="22"/>
      <c r="E278" s="22" t="s">
        <v>49</v>
      </c>
      <c r="F278" s="88" t="s">
        <v>2377</v>
      </c>
      <c r="G278" s="22"/>
      <c r="H278" s="22" t="s">
        <v>513</v>
      </c>
      <c r="I278" s="22" t="s">
        <v>514</v>
      </c>
      <c r="J278" s="22" t="s">
        <v>74</v>
      </c>
      <c r="K278" s="22" t="s">
        <v>55</v>
      </c>
      <c r="L278" s="22" t="s">
        <v>56</v>
      </c>
      <c r="M278" s="22" t="s">
        <v>57</v>
      </c>
      <c r="N278" s="22" t="s">
        <v>58</v>
      </c>
      <c r="O278" s="22">
        <v>1200.0</v>
      </c>
      <c r="P278" s="22">
        <v>1500.0</v>
      </c>
      <c r="Q278" s="22" t="s">
        <v>59</v>
      </c>
      <c r="R278" s="22" t="s">
        <v>58</v>
      </c>
      <c r="S278" s="22" t="s">
        <v>58</v>
      </c>
      <c r="T278" s="22"/>
      <c r="U278" s="22"/>
      <c r="V278" s="22" t="s">
        <v>61</v>
      </c>
      <c r="W278" s="22" t="s">
        <v>58</v>
      </c>
      <c r="X278" s="22" t="s">
        <v>58</v>
      </c>
      <c r="Y278" s="22" t="s">
        <v>58</v>
      </c>
      <c r="Z278" s="22" t="s">
        <v>58</v>
      </c>
      <c r="AA278" s="22" t="s">
        <v>58</v>
      </c>
      <c r="AB278" s="22" t="s">
        <v>58</v>
      </c>
      <c r="AC278" s="22" t="s">
        <v>58</v>
      </c>
      <c r="AD278" s="22" t="s">
        <v>58</v>
      </c>
      <c r="AE278" s="22" t="s">
        <v>61</v>
      </c>
      <c r="AF278" s="22" t="s">
        <v>61</v>
      </c>
      <c r="AG278" s="22" t="s">
        <v>58</v>
      </c>
      <c r="AH278" s="22">
        <v>250.0</v>
      </c>
      <c r="AI278" s="22">
        <v>1000.0</v>
      </c>
      <c r="AJ278" s="22">
        <v>250.0</v>
      </c>
      <c r="AK278" s="22">
        <v>0.0</v>
      </c>
      <c r="AL278" s="22"/>
      <c r="AM278" s="22"/>
      <c r="AN278" s="24" t="s">
        <v>65</v>
      </c>
      <c r="AO278" s="22"/>
    </row>
    <row r="279" ht="15.75" customHeight="1">
      <c r="A279" s="22">
        <v>271.0</v>
      </c>
      <c r="B279" s="22" t="s">
        <v>2379</v>
      </c>
      <c r="C279" s="22" t="s">
        <v>2380</v>
      </c>
      <c r="D279" s="22" t="s">
        <v>2381</v>
      </c>
      <c r="E279" s="22" t="s">
        <v>49</v>
      </c>
      <c r="F279" s="24" t="s">
        <v>69</v>
      </c>
      <c r="G279" s="24" t="s">
        <v>69</v>
      </c>
      <c r="H279" s="22" t="s">
        <v>142</v>
      </c>
      <c r="I279" s="22" t="s">
        <v>144</v>
      </c>
      <c r="J279" s="22" t="s">
        <v>74</v>
      </c>
      <c r="K279" s="22" t="s">
        <v>55</v>
      </c>
      <c r="L279" s="22" t="s">
        <v>56</v>
      </c>
      <c r="M279" s="22" t="s">
        <v>57</v>
      </c>
      <c r="N279" s="22" t="s">
        <v>58</v>
      </c>
      <c r="O279" s="22">
        <v>200.0</v>
      </c>
      <c r="P279" s="22">
        <v>250.0</v>
      </c>
      <c r="Q279" s="22" t="s">
        <v>59</v>
      </c>
      <c r="R279" s="22" t="s">
        <v>58</v>
      </c>
      <c r="S279" s="22" t="s">
        <v>58</v>
      </c>
      <c r="T279" s="22" t="s">
        <v>2383</v>
      </c>
      <c r="U279" s="24" t="s">
        <v>2384</v>
      </c>
      <c r="V279" s="22" t="s">
        <v>61</v>
      </c>
      <c r="W279" s="22" t="s">
        <v>58</v>
      </c>
      <c r="X279" s="22" t="s">
        <v>58</v>
      </c>
      <c r="Y279" s="22" t="s">
        <v>58</v>
      </c>
      <c r="Z279" s="22" t="s">
        <v>58</v>
      </c>
      <c r="AA279" s="22" t="s">
        <v>58</v>
      </c>
      <c r="AB279" s="22" t="s">
        <v>58</v>
      </c>
      <c r="AC279" s="22" t="s">
        <v>58</v>
      </c>
      <c r="AD279" s="22" t="s">
        <v>58</v>
      </c>
      <c r="AE279" s="22" t="s">
        <v>61</v>
      </c>
      <c r="AF279" s="22" t="s">
        <v>61</v>
      </c>
      <c r="AG279" s="22" t="s">
        <v>58</v>
      </c>
      <c r="AH279" s="22">
        <v>300.0</v>
      </c>
      <c r="AI279" s="22">
        <v>200.0</v>
      </c>
      <c r="AJ279" s="22">
        <v>300.0</v>
      </c>
      <c r="AK279" s="22">
        <v>0.0</v>
      </c>
      <c r="AL279" s="22"/>
      <c r="AM279" s="22"/>
      <c r="AN279" s="22"/>
      <c r="AO279" s="22"/>
    </row>
    <row r="280" ht="15.75" customHeight="1">
      <c r="A280" s="22">
        <v>272.0</v>
      </c>
      <c r="B280" s="22" t="s">
        <v>997</v>
      </c>
      <c r="C280" s="22" t="s">
        <v>998</v>
      </c>
      <c r="D280" s="22" t="s">
        <v>999</v>
      </c>
      <c r="E280" s="22" t="s">
        <v>49</v>
      </c>
      <c r="F280" s="42" t="s">
        <v>2385</v>
      </c>
      <c r="G280" s="81" t="s">
        <v>1590</v>
      </c>
      <c r="H280" s="22" t="s">
        <v>1000</v>
      </c>
      <c r="I280" s="22" t="s">
        <v>1001</v>
      </c>
      <c r="J280" s="22" t="s">
        <v>1001</v>
      </c>
      <c r="K280" s="22" t="s">
        <v>55</v>
      </c>
      <c r="L280" s="22" t="s">
        <v>56</v>
      </c>
      <c r="M280" s="22" t="s">
        <v>57</v>
      </c>
      <c r="N280" s="22" t="s">
        <v>58</v>
      </c>
      <c r="O280" s="22">
        <v>650.0</v>
      </c>
      <c r="P280" s="22">
        <v>850.0</v>
      </c>
      <c r="Q280" s="22" t="s">
        <v>59</v>
      </c>
      <c r="R280" s="22" t="s">
        <v>58</v>
      </c>
      <c r="S280" s="22" t="s">
        <v>58</v>
      </c>
      <c r="T280" s="22" t="s">
        <v>275</v>
      </c>
      <c r="U280" s="22"/>
      <c r="V280" s="22" t="s">
        <v>61</v>
      </c>
      <c r="W280" s="22" t="s">
        <v>58</v>
      </c>
      <c r="X280" s="22" t="s">
        <v>58</v>
      </c>
      <c r="Y280" s="22" t="s">
        <v>58</v>
      </c>
      <c r="Z280" s="22" t="s">
        <v>58</v>
      </c>
      <c r="AA280" s="22" t="s">
        <v>58</v>
      </c>
      <c r="AB280" s="22" t="s">
        <v>58</v>
      </c>
      <c r="AC280" s="22" t="s">
        <v>58</v>
      </c>
      <c r="AD280" s="22" t="s">
        <v>58</v>
      </c>
      <c r="AE280" s="22" t="s">
        <v>61</v>
      </c>
      <c r="AF280" s="22" t="s">
        <v>61</v>
      </c>
      <c r="AG280" s="22" t="s">
        <v>58</v>
      </c>
      <c r="AH280" s="22">
        <v>20.0</v>
      </c>
      <c r="AI280" s="22">
        <v>500.0</v>
      </c>
      <c r="AJ280" s="22">
        <v>20.0</v>
      </c>
      <c r="AK280" s="22">
        <v>0.0</v>
      </c>
      <c r="AL280" s="22"/>
      <c r="AM280" s="22"/>
      <c r="AN280" s="22"/>
      <c r="AO280" s="22"/>
    </row>
    <row r="281" ht="15.75" customHeight="1">
      <c r="A281" s="22">
        <v>273.0</v>
      </c>
      <c r="B281" s="22" t="s">
        <v>2388</v>
      </c>
      <c r="C281" s="22" t="s">
        <v>2389</v>
      </c>
      <c r="D281" s="24" t="s">
        <v>69</v>
      </c>
      <c r="E281" s="22" t="s">
        <v>49</v>
      </c>
      <c r="F281" s="24" t="s">
        <v>69</v>
      </c>
      <c r="G281" s="24" t="s">
        <v>69</v>
      </c>
      <c r="H281" s="22" t="s">
        <v>2393</v>
      </c>
      <c r="I281" s="22" t="s">
        <v>2394</v>
      </c>
      <c r="J281" s="22" t="s">
        <v>74</v>
      </c>
      <c r="K281" s="22" t="s">
        <v>55</v>
      </c>
      <c r="L281" s="22" t="s">
        <v>56</v>
      </c>
      <c r="M281" s="22" t="s">
        <v>57</v>
      </c>
      <c r="N281" s="22" t="s">
        <v>58</v>
      </c>
      <c r="O281" s="22">
        <v>600.0</v>
      </c>
      <c r="P281" s="22">
        <v>800.0</v>
      </c>
      <c r="Q281" s="22" t="s">
        <v>59</v>
      </c>
      <c r="R281" s="22" t="s">
        <v>58</v>
      </c>
      <c r="S281" s="22" t="s">
        <v>58</v>
      </c>
      <c r="T281" s="22"/>
      <c r="U281" s="22"/>
      <c r="V281" s="22" t="s">
        <v>61</v>
      </c>
      <c r="W281" s="22" t="s">
        <v>58</v>
      </c>
      <c r="X281" s="22" t="s">
        <v>58</v>
      </c>
      <c r="Y281" s="22" t="s">
        <v>58</v>
      </c>
      <c r="Z281" s="22" t="s">
        <v>58</v>
      </c>
      <c r="AA281" s="22" t="s">
        <v>58</v>
      </c>
      <c r="AB281" s="22" t="s">
        <v>58</v>
      </c>
      <c r="AC281" s="22" t="s">
        <v>58</v>
      </c>
      <c r="AD281" s="22" t="s">
        <v>58</v>
      </c>
      <c r="AE281" s="22" t="s">
        <v>61</v>
      </c>
      <c r="AF281" s="22" t="s">
        <v>61</v>
      </c>
      <c r="AG281" s="22" t="s">
        <v>58</v>
      </c>
      <c r="AH281" s="22">
        <v>100.0</v>
      </c>
      <c r="AI281" s="22">
        <v>2000.0</v>
      </c>
      <c r="AJ281" s="22">
        <v>100.0</v>
      </c>
      <c r="AK281" s="22">
        <v>0.0</v>
      </c>
      <c r="AL281" s="22"/>
      <c r="AM281" s="22"/>
      <c r="AN281" s="22"/>
      <c r="AO281" s="22"/>
    </row>
    <row r="282" ht="15.75" customHeight="1">
      <c r="A282" s="22">
        <v>274.0</v>
      </c>
      <c r="B282" s="22" t="s">
        <v>2395</v>
      </c>
      <c r="C282" s="22" t="s">
        <v>2396</v>
      </c>
      <c r="D282" s="66" t="s">
        <v>2397</v>
      </c>
      <c r="E282" s="22" t="s">
        <v>49</v>
      </c>
      <c r="F282" s="42" t="s">
        <v>2398</v>
      </c>
      <c r="G282" s="82">
        <v>9.910190922E9</v>
      </c>
      <c r="H282" s="22" t="s">
        <v>1385</v>
      </c>
      <c r="I282" s="22" t="s">
        <v>1386</v>
      </c>
      <c r="J282" s="22" t="s">
        <v>74</v>
      </c>
      <c r="K282" s="22" t="s">
        <v>55</v>
      </c>
      <c r="L282" s="22" t="s">
        <v>56</v>
      </c>
      <c r="M282" s="22" t="s">
        <v>57</v>
      </c>
      <c r="N282" s="22" t="s">
        <v>58</v>
      </c>
      <c r="O282" s="22">
        <v>700.0</v>
      </c>
      <c r="P282" s="22">
        <v>1000.0</v>
      </c>
      <c r="Q282" s="22" t="s">
        <v>59</v>
      </c>
      <c r="R282" s="22" t="s">
        <v>58</v>
      </c>
      <c r="S282" s="22" t="s">
        <v>58</v>
      </c>
      <c r="T282" s="22"/>
      <c r="U282" s="22"/>
      <c r="V282" s="22" t="s">
        <v>61</v>
      </c>
      <c r="W282" s="22" t="s">
        <v>58</v>
      </c>
      <c r="X282" s="22" t="s">
        <v>58</v>
      </c>
      <c r="Y282" s="22" t="s">
        <v>58</v>
      </c>
      <c r="Z282" s="22" t="s">
        <v>58</v>
      </c>
      <c r="AA282" s="22" t="s">
        <v>58</v>
      </c>
      <c r="AB282" s="22" t="s">
        <v>58</v>
      </c>
      <c r="AC282" s="22" t="s">
        <v>58</v>
      </c>
      <c r="AD282" s="22" t="s">
        <v>58</v>
      </c>
      <c r="AE282" s="22" t="s">
        <v>61</v>
      </c>
      <c r="AF282" s="22" t="s">
        <v>61</v>
      </c>
      <c r="AG282" s="22" t="s">
        <v>58</v>
      </c>
      <c r="AH282" s="22">
        <v>100.0</v>
      </c>
      <c r="AI282" s="22">
        <v>1000.0</v>
      </c>
      <c r="AJ282" s="22">
        <v>100.0</v>
      </c>
      <c r="AK282" s="22">
        <v>0.0</v>
      </c>
      <c r="AL282" s="22"/>
      <c r="AM282" s="22"/>
      <c r="AN282" s="22"/>
      <c r="AO282" s="22"/>
    </row>
    <row r="283" ht="15.75" customHeight="1">
      <c r="A283" s="22">
        <v>275.0</v>
      </c>
      <c r="B283" s="22" t="s">
        <v>2402</v>
      </c>
      <c r="C283" s="22" t="s">
        <v>2403</v>
      </c>
      <c r="D283" s="66" t="s">
        <v>2404</v>
      </c>
      <c r="E283" s="22" t="s">
        <v>49</v>
      </c>
      <c r="F283" s="42" t="s">
        <v>2405</v>
      </c>
      <c r="G283" s="94" t="s">
        <v>2410</v>
      </c>
      <c r="H283" s="22" t="s">
        <v>1385</v>
      </c>
      <c r="I283" s="22" t="s">
        <v>1386</v>
      </c>
      <c r="J283" s="22" t="s">
        <v>74</v>
      </c>
      <c r="K283" s="22" t="s">
        <v>55</v>
      </c>
      <c r="L283" s="22" t="s">
        <v>56</v>
      </c>
      <c r="M283" s="22" t="s">
        <v>57</v>
      </c>
      <c r="N283" s="22" t="s">
        <v>58</v>
      </c>
      <c r="O283" s="22">
        <v>1000.0</v>
      </c>
      <c r="P283" s="22"/>
      <c r="Q283" s="22" t="s">
        <v>59</v>
      </c>
      <c r="R283" s="22" t="s">
        <v>58</v>
      </c>
      <c r="S283" s="22" t="s">
        <v>58</v>
      </c>
      <c r="T283" s="22"/>
      <c r="U283" s="22"/>
      <c r="V283" s="22" t="s">
        <v>61</v>
      </c>
      <c r="W283" s="22" t="s">
        <v>58</v>
      </c>
      <c r="X283" s="22" t="s">
        <v>58</v>
      </c>
      <c r="Y283" s="22" t="s">
        <v>58</v>
      </c>
      <c r="Z283" s="22" t="s">
        <v>58</v>
      </c>
      <c r="AA283" s="22" t="s">
        <v>58</v>
      </c>
      <c r="AB283" s="22" t="s">
        <v>58</v>
      </c>
      <c r="AC283" s="22" t="s">
        <v>58</v>
      </c>
      <c r="AD283" s="22" t="s">
        <v>58</v>
      </c>
      <c r="AE283" s="22" t="s">
        <v>61</v>
      </c>
      <c r="AF283" s="22" t="s">
        <v>61</v>
      </c>
      <c r="AG283" s="22" t="s">
        <v>58</v>
      </c>
      <c r="AH283" s="22">
        <v>500.0</v>
      </c>
      <c r="AI283" s="22">
        <v>5000.0</v>
      </c>
      <c r="AJ283" s="22">
        <v>500.0</v>
      </c>
      <c r="AK283" s="22">
        <v>0.0</v>
      </c>
      <c r="AL283" s="22"/>
      <c r="AM283" s="22"/>
      <c r="AN283" s="22"/>
      <c r="AO283" s="22"/>
    </row>
    <row r="284" ht="15.75" customHeight="1">
      <c r="A284" s="22">
        <v>276.0</v>
      </c>
      <c r="B284" s="22" t="s">
        <v>2413</v>
      </c>
      <c r="C284" s="22" t="s">
        <v>2414</v>
      </c>
      <c r="D284" s="66" t="s">
        <v>2415</v>
      </c>
      <c r="E284" s="22" t="s">
        <v>49</v>
      </c>
      <c r="F284" s="24" t="s">
        <v>69</v>
      </c>
      <c r="G284" s="94" t="s">
        <v>69</v>
      </c>
      <c r="H284" s="22" t="s">
        <v>123</v>
      </c>
      <c r="I284" s="22" t="s">
        <v>124</v>
      </c>
      <c r="J284" s="22" t="s">
        <v>74</v>
      </c>
      <c r="K284" s="22" t="s">
        <v>55</v>
      </c>
      <c r="L284" s="22" t="s">
        <v>56</v>
      </c>
      <c r="M284" s="22" t="s">
        <v>57</v>
      </c>
      <c r="N284" s="22" t="s">
        <v>58</v>
      </c>
      <c r="O284" s="22">
        <v>200.0</v>
      </c>
      <c r="P284" s="22">
        <v>100.0</v>
      </c>
      <c r="Q284" s="22" t="s">
        <v>59</v>
      </c>
      <c r="R284" s="22" t="s">
        <v>58</v>
      </c>
      <c r="S284" s="22" t="s">
        <v>58</v>
      </c>
      <c r="T284" s="22"/>
      <c r="U284" s="22"/>
      <c r="V284" s="22" t="s">
        <v>61</v>
      </c>
      <c r="W284" s="22" t="s">
        <v>58</v>
      </c>
      <c r="X284" s="22" t="s">
        <v>58</v>
      </c>
      <c r="Y284" s="22" t="s">
        <v>58</v>
      </c>
      <c r="Z284" s="22" t="s">
        <v>58</v>
      </c>
      <c r="AA284" s="22" t="s">
        <v>58</v>
      </c>
      <c r="AB284" s="22" t="s">
        <v>58</v>
      </c>
      <c r="AC284" s="22" t="s">
        <v>58</v>
      </c>
      <c r="AD284" s="22" t="s">
        <v>58</v>
      </c>
      <c r="AE284" s="22" t="s">
        <v>61</v>
      </c>
      <c r="AF284" s="22" t="s">
        <v>61</v>
      </c>
      <c r="AG284" s="22" t="s">
        <v>58</v>
      </c>
      <c r="AH284" s="22">
        <v>50.0</v>
      </c>
      <c r="AI284" s="22">
        <v>500.0</v>
      </c>
      <c r="AJ284" s="22">
        <v>50.0</v>
      </c>
      <c r="AK284" s="22">
        <v>0.0</v>
      </c>
      <c r="AL284" s="22"/>
      <c r="AM284" s="22"/>
      <c r="AN284" s="22"/>
      <c r="AO284" s="22"/>
    </row>
    <row r="285" ht="15.75" customHeight="1">
      <c r="A285" s="15">
        <v>277.0</v>
      </c>
      <c r="B285" s="15" t="s">
        <v>2416</v>
      </c>
      <c r="C285" s="15" t="s">
        <v>2417</v>
      </c>
      <c r="D285" s="48" t="s">
        <v>2418</v>
      </c>
      <c r="E285" s="15" t="s">
        <v>49</v>
      </c>
      <c r="F285" s="49" t="s">
        <v>2419</v>
      </c>
      <c r="G285" s="15" t="s">
        <v>2420</v>
      </c>
      <c r="H285" s="15" t="s">
        <v>72</v>
      </c>
      <c r="I285" s="15" t="s">
        <v>73</v>
      </c>
      <c r="J285" s="15" t="s">
        <v>74</v>
      </c>
      <c r="K285" s="15" t="s">
        <v>55</v>
      </c>
      <c r="L285" s="15" t="s">
        <v>56</v>
      </c>
      <c r="M285" s="15" t="s">
        <v>57</v>
      </c>
      <c r="N285" s="15" t="s">
        <v>58</v>
      </c>
      <c r="O285" s="15">
        <v>1500.0</v>
      </c>
      <c r="P285" s="15">
        <v>2000.0</v>
      </c>
      <c r="Q285" s="15" t="s">
        <v>59</v>
      </c>
      <c r="R285" s="15" t="s">
        <v>58</v>
      </c>
      <c r="S285" s="15" t="s">
        <v>58</v>
      </c>
      <c r="T285" s="15"/>
      <c r="U285" s="15"/>
      <c r="V285" s="15" t="s">
        <v>61</v>
      </c>
      <c r="W285" s="15" t="s">
        <v>58</v>
      </c>
      <c r="X285" s="15" t="s">
        <v>58</v>
      </c>
      <c r="Y285" s="15" t="s">
        <v>58</v>
      </c>
      <c r="Z285" s="15" t="s">
        <v>58</v>
      </c>
      <c r="AA285" s="15" t="s">
        <v>58</v>
      </c>
      <c r="AB285" s="15" t="s">
        <v>58</v>
      </c>
      <c r="AC285" s="15" t="s">
        <v>58</v>
      </c>
      <c r="AD285" s="15" t="s">
        <v>58</v>
      </c>
      <c r="AE285" s="15" t="s">
        <v>61</v>
      </c>
      <c r="AF285" s="15" t="s">
        <v>61</v>
      </c>
      <c r="AG285" s="15" t="s">
        <v>58</v>
      </c>
      <c r="AH285" s="15">
        <v>100.0</v>
      </c>
      <c r="AI285" s="15">
        <v>2000.0</v>
      </c>
      <c r="AJ285" s="15">
        <v>100.0</v>
      </c>
      <c r="AK285" s="15">
        <v>0.0</v>
      </c>
      <c r="AL285" s="15"/>
      <c r="AM285" s="15"/>
      <c r="AN285" s="16" t="s">
        <v>757</v>
      </c>
      <c r="AO285" s="21">
        <v>2.0</v>
      </c>
    </row>
    <row r="286" ht="15.75" customHeight="1">
      <c r="A286" s="22">
        <v>278.0</v>
      </c>
      <c r="B286" s="22" t="s">
        <v>2425</v>
      </c>
      <c r="C286" s="22" t="s">
        <v>2426</v>
      </c>
      <c r="D286" s="66" t="s">
        <v>2427</v>
      </c>
      <c r="E286" s="22" t="s">
        <v>49</v>
      </c>
      <c r="F286" s="24" t="s">
        <v>69</v>
      </c>
      <c r="G286" s="24" t="s">
        <v>69</v>
      </c>
      <c r="H286" s="22" t="s">
        <v>285</v>
      </c>
      <c r="I286" s="22" t="s">
        <v>286</v>
      </c>
      <c r="J286" s="22" t="s">
        <v>74</v>
      </c>
      <c r="K286" s="22" t="s">
        <v>55</v>
      </c>
      <c r="L286" s="22" t="s">
        <v>56</v>
      </c>
      <c r="M286" s="22" t="s">
        <v>57</v>
      </c>
      <c r="N286" s="22" t="s">
        <v>58</v>
      </c>
      <c r="O286" s="22">
        <v>2500.0</v>
      </c>
      <c r="P286" s="22">
        <v>3000.0</v>
      </c>
      <c r="Q286" s="22" t="s">
        <v>59</v>
      </c>
      <c r="R286" s="22" t="s">
        <v>58</v>
      </c>
      <c r="S286" s="22" t="s">
        <v>58</v>
      </c>
      <c r="T286" s="22"/>
      <c r="U286" s="22"/>
      <c r="V286" s="22" t="s">
        <v>61</v>
      </c>
      <c r="W286" s="22" t="s">
        <v>58</v>
      </c>
      <c r="X286" s="22" t="s">
        <v>58</v>
      </c>
      <c r="Y286" s="22" t="s">
        <v>58</v>
      </c>
      <c r="Z286" s="22" t="s">
        <v>58</v>
      </c>
      <c r="AA286" s="22" t="s">
        <v>58</v>
      </c>
      <c r="AB286" s="22" t="s">
        <v>58</v>
      </c>
      <c r="AC286" s="22" t="s">
        <v>58</v>
      </c>
      <c r="AD286" s="22" t="s">
        <v>58</v>
      </c>
      <c r="AE286" s="22" t="s">
        <v>61</v>
      </c>
      <c r="AF286" s="22" t="s">
        <v>61</v>
      </c>
      <c r="AG286" s="22" t="s">
        <v>58</v>
      </c>
      <c r="AH286" s="22">
        <v>200.0</v>
      </c>
      <c r="AI286" s="22">
        <v>5000.0</v>
      </c>
      <c r="AJ286" s="22">
        <v>200.0</v>
      </c>
      <c r="AK286" s="22">
        <v>0.0</v>
      </c>
      <c r="AL286" s="22"/>
      <c r="AM286" s="22"/>
      <c r="AN286" s="22"/>
      <c r="AO286" s="22"/>
    </row>
    <row r="287" ht="15.75" customHeight="1">
      <c r="A287" s="22">
        <v>279.0</v>
      </c>
      <c r="B287" s="22" t="s">
        <v>2430</v>
      </c>
      <c r="C287" s="22" t="s">
        <v>2431</v>
      </c>
      <c r="D287" s="66" t="s">
        <v>2432</v>
      </c>
      <c r="E287" s="22" t="s">
        <v>49</v>
      </c>
      <c r="F287" s="42" t="s">
        <v>2433</v>
      </c>
      <c r="G287" s="81" t="s">
        <v>2434</v>
      </c>
      <c r="H287" s="22" t="s">
        <v>123</v>
      </c>
      <c r="I287" s="22" t="s">
        <v>124</v>
      </c>
      <c r="J287" s="22" t="s">
        <v>74</v>
      </c>
      <c r="K287" s="22" t="s">
        <v>55</v>
      </c>
      <c r="L287" s="22" t="s">
        <v>56</v>
      </c>
      <c r="M287" s="22" t="s">
        <v>57</v>
      </c>
      <c r="N287" s="22" t="s">
        <v>58</v>
      </c>
      <c r="O287" s="22">
        <v>800.0</v>
      </c>
      <c r="P287" s="22">
        <v>1200.0</v>
      </c>
      <c r="Q287" s="22" t="s">
        <v>59</v>
      </c>
      <c r="R287" s="22" t="s">
        <v>58</v>
      </c>
      <c r="S287" s="22" t="s">
        <v>58</v>
      </c>
      <c r="T287" s="22"/>
      <c r="U287" s="22"/>
      <c r="V287" s="22" t="s">
        <v>61</v>
      </c>
      <c r="W287" s="22" t="s">
        <v>58</v>
      </c>
      <c r="X287" s="22" t="s">
        <v>58</v>
      </c>
      <c r="Y287" s="22" t="s">
        <v>58</v>
      </c>
      <c r="Z287" s="22" t="s">
        <v>58</v>
      </c>
      <c r="AA287" s="22" t="s">
        <v>58</v>
      </c>
      <c r="AB287" s="22" t="s">
        <v>58</v>
      </c>
      <c r="AC287" s="22" t="s">
        <v>58</v>
      </c>
      <c r="AD287" s="22" t="s">
        <v>58</v>
      </c>
      <c r="AE287" s="22" t="s">
        <v>61</v>
      </c>
      <c r="AF287" s="22" t="s">
        <v>61</v>
      </c>
      <c r="AG287" s="22" t="s">
        <v>58</v>
      </c>
      <c r="AH287" s="22">
        <v>500.0</v>
      </c>
      <c r="AI287" s="22">
        <v>5000.0</v>
      </c>
      <c r="AJ287" s="22">
        <v>500.0</v>
      </c>
      <c r="AK287" s="22">
        <v>0.0</v>
      </c>
      <c r="AL287" s="22"/>
      <c r="AM287" s="22"/>
      <c r="AN287" s="22"/>
      <c r="AO287" s="22"/>
    </row>
    <row r="288" ht="15.75" customHeight="1">
      <c r="A288" s="22">
        <v>280.0</v>
      </c>
      <c r="B288" s="22" t="s">
        <v>2436</v>
      </c>
      <c r="C288" s="22" t="s">
        <v>2437</v>
      </c>
      <c r="D288" s="66" t="s">
        <v>2438</v>
      </c>
      <c r="E288" s="22" t="s">
        <v>49</v>
      </c>
      <c r="F288" s="42" t="s">
        <v>2440</v>
      </c>
      <c r="G288" s="81" t="s">
        <v>2444</v>
      </c>
      <c r="H288" s="22" t="s">
        <v>123</v>
      </c>
      <c r="I288" s="22" t="s">
        <v>124</v>
      </c>
      <c r="J288" s="22" t="s">
        <v>74</v>
      </c>
      <c r="K288" s="22" t="s">
        <v>55</v>
      </c>
      <c r="L288" s="22" t="s">
        <v>56</v>
      </c>
      <c r="M288" s="22" t="s">
        <v>57</v>
      </c>
      <c r="N288" s="22" t="s">
        <v>58</v>
      </c>
      <c r="O288" s="22">
        <v>2200.0</v>
      </c>
      <c r="P288" s="22">
        <v>2500.0</v>
      </c>
      <c r="Q288" s="22" t="s">
        <v>59</v>
      </c>
      <c r="R288" s="22" t="s">
        <v>58</v>
      </c>
      <c r="S288" s="22" t="s">
        <v>58</v>
      </c>
      <c r="T288" s="22"/>
      <c r="U288" s="22"/>
      <c r="V288" s="22" t="s">
        <v>61</v>
      </c>
      <c r="W288" s="22" t="s">
        <v>58</v>
      </c>
      <c r="X288" s="22" t="s">
        <v>58</v>
      </c>
      <c r="Y288" s="22" t="s">
        <v>58</v>
      </c>
      <c r="Z288" s="22" t="s">
        <v>58</v>
      </c>
      <c r="AA288" s="22" t="s">
        <v>58</v>
      </c>
      <c r="AB288" s="22" t="s">
        <v>58</v>
      </c>
      <c r="AC288" s="22" t="s">
        <v>58</v>
      </c>
      <c r="AD288" s="22" t="s">
        <v>58</v>
      </c>
      <c r="AE288" s="22" t="s">
        <v>61</v>
      </c>
      <c r="AF288" s="22" t="s">
        <v>61</v>
      </c>
      <c r="AG288" s="22" t="s">
        <v>58</v>
      </c>
      <c r="AH288" s="22">
        <v>800.0</v>
      </c>
      <c r="AI288" s="22">
        <v>3000.0</v>
      </c>
      <c r="AJ288" s="22">
        <v>800.0</v>
      </c>
      <c r="AK288" s="22">
        <v>0.0</v>
      </c>
      <c r="AL288" s="22"/>
      <c r="AM288" s="22"/>
      <c r="AN288" s="22"/>
      <c r="AO288" s="22"/>
    </row>
    <row r="289" ht="15.75" customHeight="1">
      <c r="A289" s="15">
        <v>281.0</v>
      </c>
      <c r="B289" s="15" t="s">
        <v>2445</v>
      </c>
      <c r="C289" s="15" t="s">
        <v>2446</v>
      </c>
      <c r="D289" s="15" t="s">
        <v>2447</v>
      </c>
      <c r="E289" s="15" t="s">
        <v>49</v>
      </c>
      <c r="F289" s="49" t="s">
        <v>2449</v>
      </c>
      <c r="G289" s="15" t="s">
        <v>2451</v>
      </c>
      <c r="H289" s="15" t="s">
        <v>142</v>
      </c>
      <c r="I289" s="15" t="s">
        <v>144</v>
      </c>
      <c r="J289" s="15" t="s">
        <v>74</v>
      </c>
      <c r="K289" s="15" t="s">
        <v>55</v>
      </c>
      <c r="L289" s="15" t="s">
        <v>56</v>
      </c>
      <c r="M289" s="15" t="s">
        <v>57</v>
      </c>
      <c r="N289" s="15" t="s">
        <v>58</v>
      </c>
      <c r="O289" s="15">
        <v>2000.0</v>
      </c>
      <c r="P289" s="15"/>
      <c r="Q289" s="15" t="s">
        <v>59</v>
      </c>
      <c r="R289" s="15" t="s">
        <v>58</v>
      </c>
      <c r="S289" s="15" t="s">
        <v>58</v>
      </c>
      <c r="T289" s="16" t="s">
        <v>2453</v>
      </c>
      <c r="U289" s="15"/>
      <c r="V289" s="15" t="s">
        <v>61</v>
      </c>
      <c r="W289" s="15" t="s">
        <v>58</v>
      </c>
      <c r="X289" s="15" t="s">
        <v>58</v>
      </c>
      <c r="Y289" s="15" t="s">
        <v>58</v>
      </c>
      <c r="Z289" s="15" t="s">
        <v>58</v>
      </c>
      <c r="AA289" s="15" t="s">
        <v>58</v>
      </c>
      <c r="AB289" s="15" t="s">
        <v>58</v>
      </c>
      <c r="AC289" s="15" t="s">
        <v>58</v>
      </c>
      <c r="AD289" s="15" t="s">
        <v>58</v>
      </c>
      <c r="AE289" s="15" t="s">
        <v>61</v>
      </c>
      <c r="AF289" s="15" t="s">
        <v>61</v>
      </c>
      <c r="AG289" s="15" t="s">
        <v>58</v>
      </c>
      <c r="AH289" s="15">
        <v>50.0</v>
      </c>
      <c r="AI289" s="15">
        <v>5000.0</v>
      </c>
      <c r="AJ289" s="15">
        <v>50.0</v>
      </c>
      <c r="AK289" s="15">
        <v>0.0</v>
      </c>
      <c r="AL289" s="15"/>
      <c r="AM289" s="15"/>
      <c r="AN289" s="16"/>
      <c r="AO289" s="21">
        <v>2.0</v>
      </c>
    </row>
    <row r="290" ht="15.75" customHeight="1">
      <c r="A290" s="22">
        <v>282.0</v>
      </c>
      <c r="B290" s="22" t="s">
        <v>2456</v>
      </c>
      <c r="C290" s="22" t="s">
        <v>2457</v>
      </c>
      <c r="D290" s="22" t="s">
        <v>2458</v>
      </c>
      <c r="E290" s="22" t="s">
        <v>49</v>
      </c>
      <c r="F290" s="24" t="s">
        <v>69</v>
      </c>
      <c r="G290" s="54" t="s">
        <v>69</v>
      </c>
      <c r="H290" s="22" t="s">
        <v>2136</v>
      </c>
      <c r="I290" s="22" t="s">
        <v>2137</v>
      </c>
      <c r="J290" s="22" t="s">
        <v>74</v>
      </c>
      <c r="K290" s="22" t="s">
        <v>55</v>
      </c>
      <c r="L290" s="22" t="s">
        <v>56</v>
      </c>
      <c r="M290" s="22" t="s">
        <v>57</v>
      </c>
      <c r="N290" s="22" t="s">
        <v>58</v>
      </c>
      <c r="O290" s="22">
        <v>1000.0</v>
      </c>
      <c r="P290" s="22">
        <v>1500.0</v>
      </c>
      <c r="Q290" s="22" t="s">
        <v>59</v>
      </c>
      <c r="R290" s="22" t="s">
        <v>58</v>
      </c>
      <c r="S290" s="22" t="s">
        <v>58</v>
      </c>
      <c r="T290" s="22" t="s">
        <v>2460</v>
      </c>
      <c r="U290" s="22"/>
      <c r="V290" s="22" t="s">
        <v>61</v>
      </c>
      <c r="W290" s="22" t="s">
        <v>58</v>
      </c>
      <c r="X290" s="22" t="s">
        <v>58</v>
      </c>
      <c r="Y290" s="22" t="s">
        <v>58</v>
      </c>
      <c r="Z290" s="22" t="s">
        <v>58</v>
      </c>
      <c r="AA290" s="22" t="s">
        <v>58</v>
      </c>
      <c r="AB290" s="22" t="s">
        <v>58</v>
      </c>
      <c r="AC290" s="22" t="s">
        <v>58</v>
      </c>
      <c r="AD290" s="22" t="s">
        <v>58</v>
      </c>
      <c r="AE290" s="22" t="s">
        <v>61</v>
      </c>
      <c r="AF290" s="22" t="s">
        <v>61</v>
      </c>
      <c r="AG290" s="22" t="s">
        <v>58</v>
      </c>
      <c r="AH290" s="22">
        <v>100.0</v>
      </c>
      <c r="AI290" s="22">
        <v>1000.0</v>
      </c>
      <c r="AJ290" s="22">
        <v>100.0</v>
      </c>
      <c r="AK290" s="22">
        <v>0.0</v>
      </c>
      <c r="AL290" s="22"/>
      <c r="AM290" s="22"/>
      <c r="AN290" s="22"/>
      <c r="AO290" s="22"/>
    </row>
    <row r="291" ht="15.75" customHeight="1">
      <c r="A291" s="22">
        <v>283.0</v>
      </c>
      <c r="B291" s="22" t="s">
        <v>1054</v>
      </c>
      <c r="C291" s="22" t="s">
        <v>1056</v>
      </c>
      <c r="D291" s="22" t="s">
        <v>1058</v>
      </c>
      <c r="E291" s="22" t="s">
        <v>49</v>
      </c>
      <c r="F291" s="24" t="s">
        <v>69</v>
      </c>
      <c r="G291" s="24" t="s">
        <v>69</v>
      </c>
      <c r="H291" s="22" t="s">
        <v>376</v>
      </c>
      <c r="I291" s="22" t="s">
        <v>377</v>
      </c>
      <c r="J291" s="22" t="s">
        <v>377</v>
      </c>
      <c r="K291" s="22" t="s">
        <v>55</v>
      </c>
      <c r="L291" s="22" t="s">
        <v>56</v>
      </c>
      <c r="M291" s="22" t="s">
        <v>57</v>
      </c>
      <c r="N291" s="22" t="s">
        <v>58</v>
      </c>
      <c r="O291" s="22">
        <v>1200.0</v>
      </c>
      <c r="P291" s="22">
        <v>1450.0</v>
      </c>
      <c r="Q291" s="22" t="s">
        <v>59</v>
      </c>
      <c r="R291" s="22" t="s">
        <v>58</v>
      </c>
      <c r="S291" s="22" t="s">
        <v>58</v>
      </c>
      <c r="T291" s="22"/>
      <c r="U291" s="22"/>
      <c r="V291" s="22" t="s">
        <v>61</v>
      </c>
      <c r="W291" s="22" t="s">
        <v>58</v>
      </c>
      <c r="X291" s="22" t="s">
        <v>58</v>
      </c>
      <c r="Y291" s="22" t="s">
        <v>58</v>
      </c>
      <c r="Z291" s="22" t="s">
        <v>58</v>
      </c>
      <c r="AA291" s="22" t="s">
        <v>58</v>
      </c>
      <c r="AB291" s="22" t="s">
        <v>58</v>
      </c>
      <c r="AC291" s="22" t="s">
        <v>58</v>
      </c>
      <c r="AD291" s="22" t="s">
        <v>58</v>
      </c>
      <c r="AE291" s="22" t="s">
        <v>61</v>
      </c>
      <c r="AF291" s="22" t="s">
        <v>61</v>
      </c>
      <c r="AG291" s="22" t="s">
        <v>58</v>
      </c>
      <c r="AH291" s="22">
        <v>70.0</v>
      </c>
      <c r="AI291" s="22">
        <v>1000.0</v>
      </c>
      <c r="AJ291" s="22">
        <v>70.0</v>
      </c>
      <c r="AK291" s="22">
        <v>0.0</v>
      </c>
      <c r="AL291" s="22"/>
      <c r="AM291" s="22"/>
      <c r="AN291" s="22"/>
      <c r="AO291" s="22"/>
    </row>
    <row r="292" ht="15.75" customHeight="1">
      <c r="A292" s="15">
        <v>284.0</v>
      </c>
      <c r="B292" s="15" t="s">
        <v>2466</v>
      </c>
      <c r="C292" s="15" t="s">
        <v>2469</v>
      </c>
      <c r="D292" s="48" t="s">
        <v>2470</v>
      </c>
      <c r="E292" s="15" t="s">
        <v>49</v>
      </c>
      <c r="F292" s="49" t="s">
        <v>2471</v>
      </c>
      <c r="G292" s="15" t="s">
        <v>2474</v>
      </c>
      <c r="H292" s="15" t="s">
        <v>407</v>
      </c>
      <c r="I292" s="15" t="s">
        <v>408</v>
      </c>
      <c r="J292" s="15" t="s">
        <v>74</v>
      </c>
      <c r="K292" s="15" t="s">
        <v>55</v>
      </c>
      <c r="L292" s="15" t="s">
        <v>56</v>
      </c>
      <c r="M292" s="15" t="s">
        <v>57</v>
      </c>
      <c r="N292" s="15" t="s">
        <v>58</v>
      </c>
      <c r="O292" s="15">
        <v>500.0</v>
      </c>
      <c r="P292" s="15">
        <v>700.0</v>
      </c>
      <c r="Q292" s="15" t="s">
        <v>59</v>
      </c>
      <c r="R292" s="15" t="s">
        <v>58</v>
      </c>
      <c r="S292" s="15" t="s">
        <v>58</v>
      </c>
      <c r="T292" s="15"/>
      <c r="U292" s="15"/>
      <c r="V292" s="15" t="s">
        <v>61</v>
      </c>
      <c r="W292" s="15" t="s">
        <v>58</v>
      </c>
      <c r="X292" s="15" t="s">
        <v>58</v>
      </c>
      <c r="Y292" s="15" t="s">
        <v>58</v>
      </c>
      <c r="Z292" s="15" t="s">
        <v>58</v>
      </c>
      <c r="AA292" s="15" t="s">
        <v>58</v>
      </c>
      <c r="AB292" s="15" t="s">
        <v>58</v>
      </c>
      <c r="AC292" s="15" t="s">
        <v>58</v>
      </c>
      <c r="AD292" s="15" t="s">
        <v>58</v>
      </c>
      <c r="AE292" s="15" t="s">
        <v>61</v>
      </c>
      <c r="AF292" s="15" t="s">
        <v>61</v>
      </c>
      <c r="AG292" s="15" t="s">
        <v>58</v>
      </c>
      <c r="AH292" s="15">
        <v>100.0</v>
      </c>
      <c r="AI292" s="15">
        <v>3000.0</v>
      </c>
      <c r="AJ292" s="15">
        <v>100.0</v>
      </c>
      <c r="AK292" s="15">
        <v>0.0</v>
      </c>
      <c r="AL292" s="15"/>
      <c r="AM292" s="15"/>
      <c r="AN292" s="16" t="s">
        <v>757</v>
      </c>
      <c r="AO292" s="21">
        <v>2.0</v>
      </c>
    </row>
    <row r="293" ht="15.75" customHeight="1">
      <c r="A293" s="22">
        <v>285.0</v>
      </c>
      <c r="B293" s="22" t="s">
        <v>2483</v>
      </c>
      <c r="C293" s="22" t="s">
        <v>2484</v>
      </c>
      <c r="D293" s="66" t="s">
        <v>2486</v>
      </c>
      <c r="E293" s="22" t="s">
        <v>49</v>
      </c>
      <c r="F293" s="42" t="s">
        <v>2487</v>
      </c>
      <c r="G293" s="94" t="s">
        <v>2489</v>
      </c>
      <c r="H293" s="22" t="s">
        <v>513</v>
      </c>
      <c r="I293" s="22" t="s">
        <v>514</v>
      </c>
      <c r="J293" s="22" t="s">
        <v>74</v>
      </c>
      <c r="K293" s="22" t="s">
        <v>55</v>
      </c>
      <c r="L293" s="22" t="s">
        <v>56</v>
      </c>
      <c r="M293" s="22" t="s">
        <v>57</v>
      </c>
      <c r="N293" s="22" t="s">
        <v>58</v>
      </c>
      <c r="O293" s="22">
        <v>800.0</v>
      </c>
      <c r="P293" s="22">
        <v>1200.0</v>
      </c>
      <c r="Q293" s="22" t="s">
        <v>59</v>
      </c>
      <c r="R293" s="22" t="s">
        <v>58</v>
      </c>
      <c r="S293" s="22" t="s">
        <v>58</v>
      </c>
      <c r="T293" s="22"/>
      <c r="U293" s="22"/>
      <c r="V293" s="22" t="s">
        <v>61</v>
      </c>
      <c r="W293" s="22" t="s">
        <v>58</v>
      </c>
      <c r="X293" s="22" t="s">
        <v>58</v>
      </c>
      <c r="Y293" s="22" t="s">
        <v>58</v>
      </c>
      <c r="Z293" s="22" t="s">
        <v>58</v>
      </c>
      <c r="AA293" s="22" t="s">
        <v>58</v>
      </c>
      <c r="AB293" s="22" t="s">
        <v>58</v>
      </c>
      <c r="AC293" s="22" t="s">
        <v>58</v>
      </c>
      <c r="AD293" s="22" t="s">
        <v>58</v>
      </c>
      <c r="AE293" s="22" t="s">
        <v>61</v>
      </c>
      <c r="AF293" s="22" t="s">
        <v>61</v>
      </c>
      <c r="AG293" s="22" t="s">
        <v>58</v>
      </c>
      <c r="AH293" s="22">
        <v>50.0</v>
      </c>
      <c r="AI293" s="22">
        <v>2000.0</v>
      </c>
      <c r="AJ293" s="22">
        <v>50.0</v>
      </c>
      <c r="AK293" s="22">
        <v>0.0</v>
      </c>
      <c r="AL293" s="22"/>
      <c r="AM293" s="22"/>
      <c r="AN293" s="22"/>
      <c r="AO293" s="22"/>
    </row>
    <row r="294" ht="15.75" customHeight="1">
      <c r="A294" s="22">
        <v>286.0</v>
      </c>
      <c r="B294" s="22" t="s">
        <v>2491</v>
      </c>
      <c r="C294" s="22" t="s">
        <v>2493</v>
      </c>
      <c r="D294" s="66" t="s">
        <v>2494</v>
      </c>
      <c r="E294" s="22" t="s">
        <v>49</v>
      </c>
      <c r="F294" s="42" t="s">
        <v>2495</v>
      </c>
      <c r="G294" s="94" t="s">
        <v>2496</v>
      </c>
      <c r="H294" s="22" t="s">
        <v>1385</v>
      </c>
      <c r="I294" s="22" t="s">
        <v>1386</v>
      </c>
      <c r="J294" s="22" t="s">
        <v>74</v>
      </c>
      <c r="K294" s="22" t="s">
        <v>55</v>
      </c>
      <c r="L294" s="22" t="s">
        <v>56</v>
      </c>
      <c r="M294" s="22" t="s">
        <v>57</v>
      </c>
      <c r="N294" s="22" t="s">
        <v>58</v>
      </c>
      <c r="O294" s="22">
        <v>1100.0</v>
      </c>
      <c r="P294" s="22">
        <v>2500.0</v>
      </c>
      <c r="Q294" s="22" t="s">
        <v>59</v>
      </c>
      <c r="R294" s="22" t="s">
        <v>58</v>
      </c>
      <c r="S294" s="22" t="s">
        <v>58</v>
      </c>
      <c r="T294" s="22"/>
      <c r="U294" s="22"/>
      <c r="V294" s="22" t="s">
        <v>61</v>
      </c>
      <c r="W294" s="22" t="s">
        <v>58</v>
      </c>
      <c r="X294" s="22" t="s">
        <v>58</v>
      </c>
      <c r="Y294" s="22" t="s">
        <v>58</v>
      </c>
      <c r="Z294" s="22" t="s">
        <v>58</v>
      </c>
      <c r="AA294" s="22" t="s">
        <v>58</v>
      </c>
      <c r="AB294" s="22" t="s">
        <v>58</v>
      </c>
      <c r="AC294" s="22" t="s">
        <v>58</v>
      </c>
      <c r="AD294" s="22" t="s">
        <v>58</v>
      </c>
      <c r="AE294" s="22" t="s">
        <v>61</v>
      </c>
      <c r="AF294" s="22" t="s">
        <v>61</v>
      </c>
      <c r="AG294" s="22" t="s">
        <v>58</v>
      </c>
      <c r="AH294" s="22">
        <v>20.0</v>
      </c>
      <c r="AI294" s="22">
        <v>2500.0</v>
      </c>
      <c r="AJ294" s="22">
        <v>20.0</v>
      </c>
      <c r="AK294" s="22">
        <v>0.0</v>
      </c>
      <c r="AL294" s="22"/>
      <c r="AM294" s="22"/>
      <c r="AN294" s="22"/>
      <c r="AO294" s="22"/>
    </row>
    <row r="295" ht="15.75" customHeight="1">
      <c r="A295" s="22">
        <v>287.0</v>
      </c>
      <c r="B295" s="22" t="s">
        <v>2503</v>
      </c>
      <c r="C295" s="22" t="s">
        <v>2504</v>
      </c>
      <c r="D295" s="66" t="s">
        <v>2505</v>
      </c>
      <c r="E295" s="22" t="s">
        <v>49</v>
      </c>
      <c r="F295" s="24" t="s">
        <v>69</v>
      </c>
      <c r="G295" s="94" t="s">
        <v>69</v>
      </c>
      <c r="H295" s="22" t="s">
        <v>1385</v>
      </c>
      <c r="I295" s="22" t="s">
        <v>1386</v>
      </c>
      <c r="J295" s="22" t="s">
        <v>74</v>
      </c>
      <c r="K295" s="22" t="s">
        <v>55</v>
      </c>
      <c r="L295" s="22" t="s">
        <v>56</v>
      </c>
      <c r="M295" s="22" t="s">
        <v>57</v>
      </c>
      <c r="N295" s="22" t="s">
        <v>58</v>
      </c>
      <c r="O295" s="22">
        <v>1100.0</v>
      </c>
      <c r="P295" s="22"/>
      <c r="Q295" s="22" t="s">
        <v>59</v>
      </c>
      <c r="R295" s="22" t="s">
        <v>58</v>
      </c>
      <c r="S295" s="22" t="s">
        <v>58</v>
      </c>
      <c r="T295" s="22"/>
      <c r="U295" s="22"/>
      <c r="V295" s="22" t="s">
        <v>61</v>
      </c>
      <c r="W295" s="22" t="s">
        <v>58</v>
      </c>
      <c r="X295" s="22" t="s">
        <v>58</v>
      </c>
      <c r="Y295" s="22" t="s">
        <v>58</v>
      </c>
      <c r="Z295" s="22" t="s">
        <v>58</v>
      </c>
      <c r="AA295" s="22" t="s">
        <v>58</v>
      </c>
      <c r="AB295" s="22" t="s">
        <v>58</v>
      </c>
      <c r="AC295" s="22" t="s">
        <v>58</v>
      </c>
      <c r="AD295" s="22" t="s">
        <v>58</v>
      </c>
      <c r="AE295" s="22" t="s">
        <v>61</v>
      </c>
      <c r="AF295" s="22" t="s">
        <v>61</v>
      </c>
      <c r="AG295" s="22" t="s">
        <v>58</v>
      </c>
      <c r="AH295" s="22">
        <v>50.0</v>
      </c>
      <c r="AI295" s="22">
        <v>5000.0</v>
      </c>
      <c r="AJ295" s="22">
        <v>50.0</v>
      </c>
      <c r="AK295" s="22">
        <v>0.0</v>
      </c>
      <c r="AL295" s="22"/>
      <c r="AM295" s="22"/>
      <c r="AN295" s="22"/>
      <c r="AO295" s="22"/>
    </row>
    <row r="296" ht="15.75" customHeight="1">
      <c r="A296" s="22">
        <v>288.0</v>
      </c>
      <c r="B296" s="22" t="s">
        <v>2509</v>
      </c>
      <c r="C296" s="22" t="s">
        <v>2510</v>
      </c>
      <c r="D296" s="64" t="s">
        <v>2511</v>
      </c>
      <c r="E296" s="22" t="s">
        <v>49</v>
      </c>
      <c r="F296" s="24" t="s">
        <v>69</v>
      </c>
      <c r="G296" s="24" t="s">
        <v>69</v>
      </c>
      <c r="H296" s="22" t="s">
        <v>513</v>
      </c>
      <c r="I296" s="22" t="s">
        <v>514</v>
      </c>
      <c r="J296" s="22" t="s">
        <v>74</v>
      </c>
      <c r="K296" s="22" t="s">
        <v>55</v>
      </c>
      <c r="L296" s="22" t="s">
        <v>56</v>
      </c>
      <c r="M296" s="22" t="s">
        <v>57</v>
      </c>
      <c r="N296" s="22" t="s">
        <v>58</v>
      </c>
      <c r="O296" s="22">
        <v>400.0</v>
      </c>
      <c r="P296" s="22"/>
      <c r="Q296" s="22" t="s">
        <v>59</v>
      </c>
      <c r="R296" s="22" t="s">
        <v>58</v>
      </c>
      <c r="S296" s="22" t="s">
        <v>58</v>
      </c>
      <c r="T296" s="22"/>
      <c r="U296" s="22"/>
      <c r="V296" s="22" t="s">
        <v>61</v>
      </c>
      <c r="W296" s="22" t="s">
        <v>58</v>
      </c>
      <c r="X296" s="22" t="s">
        <v>58</v>
      </c>
      <c r="Y296" s="22" t="s">
        <v>58</v>
      </c>
      <c r="Z296" s="22" t="s">
        <v>58</v>
      </c>
      <c r="AA296" s="22" t="s">
        <v>58</v>
      </c>
      <c r="AB296" s="22" t="s">
        <v>58</v>
      </c>
      <c r="AC296" s="22" t="s">
        <v>58</v>
      </c>
      <c r="AD296" s="22" t="s">
        <v>58</v>
      </c>
      <c r="AE296" s="22" t="s">
        <v>61</v>
      </c>
      <c r="AF296" s="22" t="s">
        <v>61</v>
      </c>
      <c r="AG296" s="22" t="s">
        <v>58</v>
      </c>
      <c r="AH296" s="22">
        <v>0.0</v>
      </c>
      <c r="AI296" s="22">
        <v>2100.0</v>
      </c>
      <c r="AJ296" s="22">
        <v>0.0</v>
      </c>
      <c r="AK296" s="22">
        <v>0.0</v>
      </c>
      <c r="AL296" s="22"/>
      <c r="AM296" s="22"/>
      <c r="AN296" s="22"/>
      <c r="AO296" s="22"/>
    </row>
    <row r="297" ht="15.75" customHeight="1">
      <c r="A297" s="22">
        <v>289.0</v>
      </c>
      <c r="B297" s="22" t="s">
        <v>1029</v>
      </c>
      <c r="C297" s="22" t="s">
        <v>1030</v>
      </c>
      <c r="D297" s="66" t="s">
        <v>1031</v>
      </c>
      <c r="E297" s="22" t="s">
        <v>49</v>
      </c>
      <c r="F297" s="27" t="s">
        <v>2514</v>
      </c>
      <c r="G297" s="82">
        <v>8.85127849E9</v>
      </c>
      <c r="H297" s="22" t="s">
        <v>1034</v>
      </c>
      <c r="I297" s="22" t="s">
        <v>1035</v>
      </c>
      <c r="J297" s="22" t="s">
        <v>1035</v>
      </c>
      <c r="K297" s="22" t="s">
        <v>55</v>
      </c>
      <c r="L297" s="22" t="s">
        <v>56</v>
      </c>
      <c r="M297" s="22" t="s">
        <v>57</v>
      </c>
      <c r="N297" s="22" t="s">
        <v>58</v>
      </c>
      <c r="O297" s="22">
        <v>650.0</v>
      </c>
      <c r="P297" s="22">
        <v>900.0</v>
      </c>
      <c r="Q297" s="22" t="s">
        <v>59</v>
      </c>
      <c r="R297" s="22" t="s">
        <v>58</v>
      </c>
      <c r="S297" s="22" t="s">
        <v>58</v>
      </c>
      <c r="T297" s="22"/>
      <c r="U297" s="22"/>
      <c r="V297" s="22" t="s">
        <v>61</v>
      </c>
      <c r="W297" s="22" t="s">
        <v>58</v>
      </c>
      <c r="X297" s="22" t="s">
        <v>58</v>
      </c>
      <c r="Y297" s="22" t="s">
        <v>58</v>
      </c>
      <c r="Z297" s="22" t="s">
        <v>58</v>
      </c>
      <c r="AA297" s="22" t="s">
        <v>58</v>
      </c>
      <c r="AB297" s="22" t="s">
        <v>58</v>
      </c>
      <c r="AC297" s="22" t="s">
        <v>58</v>
      </c>
      <c r="AD297" s="22" t="s">
        <v>58</v>
      </c>
      <c r="AE297" s="22" t="s">
        <v>61</v>
      </c>
      <c r="AF297" s="22" t="s">
        <v>61</v>
      </c>
      <c r="AG297" s="22" t="s">
        <v>58</v>
      </c>
      <c r="AH297" s="22">
        <v>20.0</v>
      </c>
      <c r="AI297" s="22">
        <v>350.0</v>
      </c>
      <c r="AJ297" s="22">
        <v>20.0</v>
      </c>
      <c r="AK297" s="22">
        <v>0.0</v>
      </c>
      <c r="AL297" s="22"/>
      <c r="AM297" s="22"/>
      <c r="AN297" s="22"/>
      <c r="AO297" s="22"/>
    </row>
    <row r="298" ht="15.75" customHeight="1">
      <c r="A298" s="22">
        <v>290.0</v>
      </c>
      <c r="B298" s="22" t="s">
        <v>1064</v>
      </c>
      <c r="C298" s="22" t="s">
        <v>1065</v>
      </c>
      <c r="D298" s="22" t="s">
        <v>1066</v>
      </c>
      <c r="E298" s="22" t="s">
        <v>49</v>
      </c>
      <c r="F298" s="42" t="s">
        <v>2518</v>
      </c>
      <c r="G298" s="54">
        <v>9.891191356E9</v>
      </c>
      <c r="H298" s="22" t="s">
        <v>784</v>
      </c>
      <c r="I298" s="22" t="s">
        <v>785</v>
      </c>
      <c r="J298" s="22" t="s">
        <v>785</v>
      </c>
      <c r="K298" s="22" t="s">
        <v>55</v>
      </c>
      <c r="L298" s="22" t="s">
        <v>56</v>
      </c>
      <c r="M298" s="22" t="s">
        <v>57</v>
      </c>
      <c r="N298" s="22" t="s">
        <v>58</v>
      </c>
      <c r="O298" s="22">
        <v>450.0</v>
      </c>
      <c r="P298" s="22">
        <v>650.0</v>
      </c>
      <c r="Q298" s="22" t="s">
        <v>59</v>
      </c>
      <c r="R298" s="22" t="s">
        <v>58</v>
      </c>
      <c r="S298" s="22" t="s">
        <v>58</v>
      </c>
      <c r="T298" s="22"/>
      <c r="U298" s="22"/>
      <c r="V298" s="22" t="s">
        <v>61</v>
      </c>
      <c r="W298" s="22" t="s">
        <v>58</v>
      </c>
      <c r="X298" s="22" t="s">
        <v>58</v>
      </c>
      <c r="Y298" s="22" t="s">
        <v>58</v>
      </c>
      <c r="Z298" s="22" t="s">
        <v>58</v>
      </c>
      <c r="AA298" s="22" t="s">
        <v>58</v>
      </c>
      <c r="AB298" s="22" t="s">
        <v>58</v>
      </c>
      <c r="AC298" s="22" t="s">
        <v>58</v>
      </c>
      <c r="AD298" s="22" t="s">
        <v>58</v>
      </c>
      <c r="AE298" s="22" t="s">
        <v>61</v>
      </c>
      <c r="AF298" s="22" t="s">
        <v>61</v>
      </c>
      <c r="AG298" s="22" t="s">
        <v>58</v>
      </c>
      <c r="AH298" s="22">
        <v>50.0</v>
      </c>
      <c r="AI298" s="22">
        <v>200.0</v>
      </c>
      <c r="AJ298" s="22">
        <v>50.0</v>
      </c>
      <c r="AK298" s="22">
        <v>0.0</v>
      </c>
      <c r="AL298" s="22"/>
      <c r="AM298" s="22"/>
      <c r="AN298" s="22"/>
      <c r="AO298" s="22"/>
    </row>
    <row r="299" ht="15.75" customHeight="1">
      <c r="A299" s="22">
        <v>291.0</v>
      </c>
      <c r="B299" s="22" t="s">
        <v>2521</v>
      </c>
      <c r="C299" s="22" t="s">
        <v>2522</v>
      </c>
      <c r="D299" s="66" t="s">
        <v>2523</v>
      </c>
      <c r="E299" s="22" t="s">
        <v>49</v>
      </c>
      <c r="F299" s="42" t="s">
        <v>2524</v>
      </c>
      <c r="G299" s="54" t="s">
        <v>2526</v>
      </c>
      <c r="H299" s="22" t="s">
        <v>303</v>
      </c>
      <c r="I299" s="22" t="s">
        <v>303</v>
      </c>
      <c r="J299" s="22" t="s">
        <v>74</v>
      </c>
      <c r="K299" s="22" t="s">
        <v>55</v>
      </c>
      <c r="L299" s="22" t="s">
        <v>56</v>
      </c>
      <c r="M299" s="22" t="s">
        <v>57</v>
      </c>
      <c r="N299" s="22" t="s">
        <v>58</v>
      </c>
      <c r="O299" s="22">
        <v>1000.0</v>
      </c>
      <c r="P299" s="22">
        <v>1200.0</v>
      </c>
      <c r="Q299" s="22" t="s">
        <v>59</v>
      </c>
      <c r="R299" s="22" t="s">
        <v>58</v>
      </c>
      <c r="S299" s="22" t="s">
        <v>58</v>
      </c>
      <c r="T299" s="22"/>
      <c r="U299" s="22"/>
      <c r="V299" s="22" t="s">
        <v>61</v>
      </c>
      <c r="W299" s="22" t="s">
        <v>58</v>
      </c>
      <c r="X299" s="22" t="s">
        <v>58</v>
      </c>
      <c r="Y299" s="22" t="s">
        <v>58</v>
      </c>
      <c r="Z299" s="22" t="s">
        <v>58</v>
      </c>
      <c r="AA299" s="22" t="s">
        <v>58</v>
      </c>
      <c r="AB299" s="22" t="s">
        <v>58</v>
      </c>
      <c r="AC299" s="22" t="s">
        <v>58</v>
      </c>
      <c r="AD299" s="22" t="s">
        <v>58</v>
      </c>
      <c r="AE299" s="22" t="s">
        <v>61</v>
      </c>
      <c r="AF299" s="22" t="s">
        <v>61</v>
      </c>
      <c r="AG299" s="22" t="s">
        <v>58</v>
      </c>
      <c r="AH299" s="22">
        <v>200.0</v>
      </c>
      <c r="AI299" s="22">
        <v>12000.0</v>
      </c>
      <c r="AJ299" s="22">
        <v>200.0</v>
      </c>
      <c r="AK299" s="22">
        <v>0.0</v>
      </c>
      <c r="AL299" s="22"/>
      <c r="AM299" s="22"/>
      <c r="AN299" s="22"/>
      <c r="AO299" s="22"/>
    </row>
    <row r="300" ht="15.75" customHeight="1">
      <c r="A300" s="22">
        <v>292.0</v>
      </c>
      <c r="B300" s="22" t="s">
        <v>2528</v>
      </c>
      <c r="C300" s="22" t="s">
        <v>2529</v>
      </c>
      <c r="D300" s="22" t="s">
        <v>2530</v>
      </c>
      <c r="E300" s="22" t="s">
        <v>49</v>
      </c>
      <c r="F300" s="42" t="s">
        <v>2531</v>
      </c>
      <c r="G300" s="96" t="s">
        <v>2532</v>
      </c>
      <c r="H300" s="22" t="s">
        <v>2539</v>
      </c>
      <c r="I300" s="22" t="s">
        <v>1289</v>
      </c>
      <c r="J300" s="22" t="s">
        <v>74</v>
      </c>
      <c r="K300" s="22" t="s">
        <v>55</v>
      </c>
      <c r="L300" s="22" t="s">
        <v>56</v>
      </c>
      <c r="M300" s="22" t="s">
        <v>57</v>
      </c>
      <c r="N300" s="22" t="s">
        <v>58</v>
      </c>
      <c r="O300" s="22">
        <v>2000.0</v>
      </c>
      <c r="P300" s="22">
        <v>2200.0</v>
      </c>
      <c r="Q300" s="22" t="s">
        <v>59</v>
      </c>
      <c r="R300" s="22" t="s">
        <v>58</v>
      </c>
      <c r="S300" s="22" t="s">
        <v>58</v>
      </c>
      <c r="T300" s="24" t="s">
        <v>2543</v>
      </c>
      <c r="U300" s="22"/>
      <c r="V300" s="22" t="s">
        <v>61</v>
      </c>
      <c r="W300" s="22" t="s">
        <v>58</v>
      </c>
      <c r="X300" s="22" t="s">
        <v>58</v>
      </c>
      <c r="Y300" s="22" t="s">
        <v>58</v>
      </c>
      <c r="Z300" s="22" t="s">
        <v>58</v>
      </c>
      <c r="AA300" s="22" t="s">
        <v>58</v>
      </c>
      <c r="AB300" s="22" t="s">
        <v>58</v>
      </c>
      <c r="AC300" s="22" t="s">
        <v>58</v>
      </c>
      <c r="AD300" s="22" t="s">
        <v>58</v>
      </c>
      <c r="AE300" s="22" t="s">
        <v>61</v>
      </c>
      <c r="AF300" s="22" t="s">
        <v>61</v>
      </c>
      <c r="AG300" s="22" t="s">
        <v>58</v>
      </c>
      <c r="AH300" s="22">
        <v>50.0</v>
      </c>
      <c r="AI300" s="22">
        <v>20000.0</v>
      </c>
      <c r="AJ300" s="22">
        <v>50.0</v>
      </c>
      <c r="AK300" s="22">
        <v>0.0</v>
      </c>
      <c r="AL300" s="22"/>
      <c r="AM300" s="22"/>
      <c r="AN300" s="22"/>
      <c r="AO300" s="22"/>
    </row>
    <row r="301" ht="15.75" customHeight="1">
      <c r="A301" s="22">
        <v>293.0</v>
      </c>
      <c r="B301" s="22" t="s">
        <v>2546</v>
      </c>
      <c r="C301" s="22" t="s">
        <v>2547</v>
      </c>
      <c r="D301" s="22" t="s">
        <v>2548</v>
      </c>
      <c r="E301" s="22" t="s">
        <v>49</v>
      </c>
      <c r="F301" s="42" t="s">
        <v>2549</v>
      </c>
      <c r="G301" s="81" t="s">
        <v>2554</v>
      </c>
      <c r="H301" s="22" t="s">
        <v>72</v>
      </c>
      <c r="I301" s="22" t="s">
        <v>73</v>
      </c>
      <c r="J301" s="22" t="s">
        <v>74</v>
      </c>
      <c r="K301" s="22" t="s">
        <v>55</v>
      </c>
      <c r="L301" s="22" t="s">
        <v>56</v>
      </c>
      <c r="M301" s="22" t="s">
        <v>57</v>
      </c>
      <c r="N301" s="22" t="s">
        <v>58</v>
      </c>
      <c r="O301" s="22">
        <v>700.0</v>
      </c>
      <c r="P301" s="22">
        <v>750.0</v>
      </c>
      <c r="Q301" s="22" t="s">
        <v>59</v>
      </c>
      <c r="R301" s="22" t="s">
        <v>58</v>
      </c>
      <c r="S301" s="22" t="s">
        <v>58</v>
      </c>
      <c r="T301" s="24" t="s">
        <v>2556</v>
      </c>
      <c r="U301" s="22"/>
      <c r="V301" s="22" t="s">
        <v>61</v>
      </c>
      <c r="W301" s="22" t="s">
        <v>58</v>
      </c>
      <c r="X301" s="22" t="s">
        <v>58</v>
      </c>
      <c r="Y301" s="22" t="s">
        <v>58</v>
      </c>
      <c r="Z301" s="22" t="s">
        <v>58</v>
      </c>
      <c r="AA301" s="22" t="s">
        <v>58</v>
      </c>
      <c r="AB301" s="22" t="s">
        <v>58</v>
      </c>
      <c r="AC301" s="22" t="s">
        <v>58</v>
      </c>
      <c r="AD301" s="22" t="s">
        <v>58</v>
      </c>
      <c r="AE301" s="22" t="s">
        <v>61</v>
      </c>
      <c r="AF301" s="22" t="s">
        <v>61</v>
      </c>
      <c r="AG301" s="22" t="s">
        <v>58</v>
      </c>
      <c r="AH301" s="22">
        <v>25.0</v>
      </c>
      <c r="AI301" s="22">
        <v>1000.0</v>
      </c>
      <c r="AJ301" s="22">
        <v>25.0</v>
      </c>
      <c r="AK301" s="22">
        <v>0.0</v>
      </c>
      <c r="AL301" s="22"/>
      <c r="AM301" s="22"/>
      <c r="AN301" s="22"/>
      <c r="AO301" s="22"/>
    </row>
    <row r="302" ht="15.75" customHeight="1">
      <c r="A302" s="22">
        <v>294.0</v>
      </c>
      <c r="B302" s="22" t="s">
        <v>2558</v>
      </c>
      <c r="C302" s="22" t="s">
        <v>2559</v>
      </c>
      <c r="D302" s="66" t="s">
        <v>2560</v>
      </c>
      <c r="E302" s="22" t="s">
        <v>49</v>
      </c>
      <c r="F302" s="42" t="s">
        <v>2561</v>
      </c>
      <c r="G302" s="94" t="s">
        <v>2563</v>
      </c>
      <c r="H302" s="22" t="s">
        <v>2564</v>
      </c>
      <c r="I302" s="22" t="s">
        <v>2565</v>
      </c>
      <c r="J302" s="22" t="s">
        <v>74</v>
      </c>
      <c r="K302" s="22" t="s">
        <v>55</v>
      </c>
      <c r="L302" s="22" t="s">
        <v>56</v>
      </c>
      <c r="M302" s="22" t="s">
        <v>57</v>
      </c>
      <c r="N302" s="22" t="s">
        <v>58</v>
      </c>
      <c r="O302" s="22">
        <v>3000.0</v>
      </c>
      <c r="P302" s="22">
        <v>3500.0</v>
      </c>
      <c r="Q302" s="22" t="s">
        <v>59</v>
      </c>
      <c r="R302" s="22" t="s">
        <v>58</v>
      </c>
      <c r="S302" s="22" t="s">
        <v>58</v>
      </c>
      <c r="T302" s="22"/>
      <c r="U302" s="22"/>
      <c r="V302" s="22" t="s">
        <v>61</v>
      </c>
      <c r="W302" s="22" t="s">
        <v>58</v>
      </c>
      <c r="X302" s="22" t="s">
        <v>58</v>
      </c>
      <c r="Y302" s="22" t="s">
        <v>58</v>
      </c>
      <c r="Z302" s="22" t="s">
        <v>58</v>
      </c>
      <c r="AA302" s="22" t="s">
        <v>58</v>
      </c>
      <c r="AB302" s="22" t="s">
        <v>58</v>
      </c>
      <c r="AC302" s="22" t="s">
        <v>58</v>
      </c>
      <c r="AD302" s="22" t="s">
        <v>58</v>
      </c>
      <c r="AE302" s="22" t="s">
        <v>61</v>
      </c>
      <c r="AF302" s="22" t="s">
        <v>61</v>
      </c>
      <c r="AG302" s="22" t="s">
        <v>58</v>
      </c>
      <c r="AH302" s="22">
        <v>100.0</v>
      </c>
      <c r="AI302" s="22">
        <v>3500.0</v>
      </c>
      <c r="AJ302" s="22">
        <v>100.0</v>
      </c>
      <c r="AK302" s="22">
        <v>0.0</v>
      </c>
      <c r="AL302" s="22"/>
      <c r="AM302" s="22"/>
      <c r="AN302" s="22"/>
      <c r="AO302" s="22"/>
    </row>
    <row r="303" ht="15.75" customHeight="1">
      <c r="A303" s="22">
        <v>295.0</v>
      </c>
      <c r="B303" s="22" t="s">
        <v>970</v>
      </c>
      <c r="C303" s="22" t="s">
        <v>971</v>
      </c>
      <c r="D303" s="22" t="s">
        <v>972</v>
      </c>
      <c r="E303" s="22" t="s">
        <v>49</v>
      </c>
      <c r="F303" s="27" t="s">
        <v>2567</v>
      </c>
      <c r="G303" s="94" t="s">
        <v>2570</v>
      </c>
      <c r="H303" s="22" t="s">
        <v>664</v>
      </c>
      <c r="I303" s="22" t="s">
        <v>665</v>
      </c>
      <c r="J303" s="22" t="s">
        <v>665</v>
      </c>
      <c r="K303" s="22" t="s">
        <v>55</v>
      </c>
      <c r="L303" s="22" t="s">
        <v>56</v>
      </c>
      <c r="M303" s="22" t="s">
        <v>57</v>
      </c>
      <c r="N303" s="22" t="s">
        <v>58</v>
      </c>
      <c r="O303" s="22">
        <v>700.0</v>
      </c>
      <c r="P303" s="22">
        <v>900.0</v>
      </c>
      <c r="Q303" s="22" t="s">
        <v>59</v>
      </c>
      <c r="R303" s="22" t="s">
        <v>58</v>
      </c>
      <c r="S303" s="22" t="s">
        <v>58</v>
      </c>
      <c r="T303" s="22"/>
      <c r="U303" s="22"/>
      <c r="V303" s="22" t="s">
        <v>61</v>
      </c>
      <c r="W303" s="22" t="s">
        <v>58</v>
      </c>
      <c r="X303" s="22" t="s">
        <v>58</v>
      </c>
      <c r="Y303" s="22" t="s">
        <v>58</v>
      </c>
      <c r="Z303" s="22" t="s">
        <v>58</v>
      </c>
      <c r="AA303" s="22" t="s">
        <v>58</v>
      </c>
      <c r="AB303" s="22" t="s">
        <v>58</v>
      </c>
      <c r="AC303" s="22" t="s">
        <v>58</v>
      </c>
      <c r="AD303" s="22" t="s">
        <v>58</v>
      </c>
      <c r="AE303" s="22" t="s">
        <v>61</v>
      </c>
      <c r="AF303" s="22" t="s">
        <v>61</v>
      </c>
      <c r="AG303" s="22" t="s">
        <v>58</v>
      </c>
      <c r="AH303" s="22">
        <v>20.0</v>
      </c>
      <c r="AI303" s="22">
        <v>2500.0</v>
      </c>
      <c r="AJ303" s="22">
        <v>20.0</v>
      </c>
      <c r="AK303" s="22">
        <v>0.0</v>
      </c>
      <c r="AL303" s="22"/>
      <c r="AM303" s="22"/>
      <c r="AN303" s="22"/>
      <c r="AO303" s="22"/>
    </row>
    <row r="304" ht="15.75" customHeight="1">
      <c r="A304" s="22">
        <v>296.0</v>
      </c>
      <c r="B304" s="22" t="s">
        <v>2574</v>
      </c>
      <c r="C304" s="22" t="s">
        <v>2575</v>
      </c>
      <c r="D304" s="53" t="s">
        <v>2576</v>
      </c>
      <c r="E304" s="22" t="s">
        <v>49</v>
      </c>
      <c r="F304" s="22"/>
      <c r="G304" s="22" t="s">
        <v>2577</v>
      </c>
      <c r="H304" s="22" t="s">
        <v>802</v>
      </c>
      <c r="I304" s="22" t="s">
        <v>803</v>
      </c>
      <c r="J304" s="22" t="s">
        <v>74</v>
      </c>
      <c r="K304" s="22" t="s">
        <v>55</v>
      </c>
      <c r="L304" s="22" t="s">
        <v>56</v>
      </c>
      <c r="M304" s="22" t="s">
        <v>57</v>
      </c>
      <c r="N304" s="22" t="s">
        <v>58</v>
      </c>
      <c r="O304" s="22">
        <v>500.0</v>
      </c>
      <c r="P304" s="22"/>
      <c r="Q304" s="22" t="s">
        <v>59</v>
      </c>
      <c r="R304" s="22" t="s">
        <v>58</v>
      </c>
      <c r="S304" s="22" t="s">
        <v>58</v>
      </c>
      <c r="T304" s="22"/>
      <c r="U304" s="22"/>
      <c r="V304" s="22" t="s">
        <v>61</v>
      </c>
      <c r="W304" s="22" t="s">
        <v>58</v>
      </c>
      <c r="X304" s="22" t="s">
        <v>58</v>
      </c>
      <c r="Y304" s="22" t="s">
        <v>58</v>
      </c>
      <c r="Z304" s="22" t="s">
        <v>58</v>
      </c>
      <c r="AA304" s="22" t="s">
        <v>58</v>
      </c>
      <c r="AB304" s="22" t="s">
        <v>58</v>
      </c>
      <c r="AC304" s="22" t="s">
        <v>58</v>
      </c>
      <c r="AD304" s="22" t="s">
        <v>58</v>
      </c>
      <c r="AE304" s="22" t="s">
        <v>61</v>
      </c>
      <c r="AF304" s="22" t="s">
        <v>61</v>
      </c>
      <c r="AG304" s="22" t="s">
        <v>58</v>
      </c>
      <c r="AH304" s="22">
        <v>50.0</v>
      </c>
      <c r="AI304" s="22">
        <v>10000.0</v>
      </c>
      <c r="AJ304" s="22">
        <v>50.0</v>
      </c>
      <c r="AK304" s="22">
        <v>0.0</v>
      </c>
      <c r="AL304" s="22"/>
      <c r="AM304" s="22"/>
      <c r="AN304" s="24" t="s">
        <v>757</v>
      </c>
      <c r="AO304" s="22"/>
    </row>
    <row r="305" ht="15.75" customHeight="1">
      <c r="A305" s="22">
        <v>297.0</v>
      </c>
      <c r="B305" s="22" t="s">
        <v>1403</v>
      </c>
      <c r="C305" s="22" t="s">
        <v>1404</v>
      </c>
      <c r="D305" s="66" t="s">
        <v>1405</v>
      </c>
      <c r="E305" s="22" t="s">
        <v>49</v>
      </c>
      <c r="F305" s="42" t="s">
        <v>2579</v>
      </c>
      <c r="G305" s="96" t="s">
        <v>2581</v>
      </c>
      <c r="H305" s="22" t="s">
        <v>1409</v>
      </c>
      <c r="I305" s="22" t="s">
        <v>1411</v>
      </c>
      <c r="J305" s="22" t="s">
        <v>1411</v>
      </c>
      <c r="K305" s="22" t="s">
        <v>55</v>
      </c>
      <c r="L305" s="22" t="s">
        <v>56</v>
      </c>
      <c r="M305" s="22" t="s">
        <v>57</v>
      </c>
      <c r="N305" s="22" t="s">
        <v>58</v>
      </c>
      <c r="O305" s="22">
        <v>1550.0</v>
      </c>
      <c r="P305" s="22">
        <v>1950.0</v>
      </c>
      <c r="Q305" s="22" t="s">
        <v>59</v>
      </c>
      <c r="R305" s="22" t="s">
        <v>58</v>
      </c>
      <c r="S305" s="22" t="s">
        <v>58</v>
      </c>
      <c r="T305" s="22"/>
      <c r="U305" s="22"/>
      <c r="V305" s="22" t="s">
        <v>61</v>
      </c>
      <c r="W305" s="22" t="s">
        <v>58</v>
      </c>
      <c r="X305" s="22" t="s">
        <v>58</v>
      </c>
      <c r="Y305" s="22" t="s">
        <v>58</v>
      </c>
      <c r="Z305" s="22" t="s">
        <v>58</v>
      </c>
      <c r="AA305" s="22" t="s">
        <v>58</v>
      </c>
      <c r="AB305" s="22" t="s">
        <v>58</v>
      </c>
      <c r="AC305" s="22" t="s">
        <v>58</v>
      </c>
      <c r="AD305" s="22" t="s">
        <v>58</v>
      </c>
      <c r="AE305" s="22" t="s">
        <v>61</v>
      </c>
      <c r="AF305" s="22" t="s">
        <v>61</v>
      </c>
      <c r="AG305" s="22" t="s">
        <v>58</v>
      </c>
      <c r="AH305" s="22">
        <v>10.0</v>
      </c>
      <c r="AI305" s="22">
        <v>5000.0</v>
      </c>
      <c r="AJ305" s="22">
        <v>10.0</v>
      </c>
      <c r="AK305" s="22">
        <v>0.0</v>
      </c>
      <c r="AL305" s="22"/>
      <c r="AM305" s="22"/>
      <c r="AN305" s="22"/>
      <c r="AO305" s="22"/>
    </row>
    <row r="306" ht="15.75" customHeight="1">
      <c r="A306" s="22">
        <v>298.0</v>
      </c>
      <c r="B306" s="22" t="s">
        <v>2586</v>
      </c>
      <c r="C306" s="22" t="s">
        <v>2587</v>
      </c>
      <c r="D306" s="66" t="s">
        <v>2589</v>
      </c>
      <c r="E306" s="22" t="s">
        <v>49</v>
      </c>
      <c r="F306" s="24" t="s">
        <v>69</v>
      </c>
      <c r="G306" s="97" t="s">
        <v>69</v>
      </c>
      <c r="H306" s="22" t="s">
        <v>123</v>
      </c>
      <c r="I306" s="22" t="s">
        <v>124</v>
      </c>
      <c r="J306" s="22" t="s">
        <v>74</v>
      </c>
      <c r="K306" s="22" t="s">
        <v>55</v>
      </c>
      <c r="L306" s="22" t="s">
        <v>56</v>
      </c>
      <c r="M306" s="22" t="s">
        <v>57</v>
      </c>
      <c r="N306" s="22" t="s">
        <v>58</v>
      </c>
      <c r="O306" s="22">
        <v>350.0</v>
      </c>
      <c r="P306" s="22">
        <v>500.0</v>
      </c>
      <c r="Q306" s="22" t="s">
        <v>59</v>
      </c>
      <c r="R306" s="22" t="s">
        <v>58</v>
      </c>
      <c r="S306" s="22" t="s">
        <v>58</v>
      </c>
      <c r="T306" s="22"/>
      <c r="U306" s="22"/>
      <c r="V306" s="22" t="s">
        <v>61</v>
      </c>
      <c r="W306" s="22" t="s">
        <v>58</v>
      </c>
      <c r="X306" s="22" t="s">
        <v>58</v>
      </c>
      <c r="Y306" s="22" t="s">
        <v>58</v>
      </c>
      <c r="Z306" s="22" t="s">
        <v>58</v>
      </c>
      <c r="AA306" s="22" t="s">
        <v>58</v>
      </c>
      <c r="AB306" s="22" t="s">
        <v>58</v>
      </c>
      <c r="AC306" s="22" t="s">
        <v>58</v>
      </c>
      <c r="AD306" s="22" t="s">
        <v>58</v>
      </c>
      <c r="AE306" s="22" t="s">
        <v>61</v>
      </c>
      <c r="AF306" s="22" t="s">
        <v>61</v>
      </c>
      <c r="AG306" s="22" t="s">
        <v>58</v>
      </c>
      <c r="AH306" s="22">
        <v>150.0</v>
      </c>
      <c r="AI306" s="22">
        <v>3000.0</v>
      </c>
      <c r="AJ306" s="22">
        <v>150.0</v>
      </c>
      <c r="AK306" s="22">
        <v>0.0</v>
      </c>
      <c r="AL306" s="22"/>
      <c r="AM306" s="22"/>
      <c r="AN306" s="22"/>
      <c r="AO306" s="22"/>
    </row>
    <row r="307" ht="15.75" customHeight="1">
      <c r="A307" s="22">
        <v>299.0</v>
      </c>
      <c r="B307" s="66" t="s">
        <v>2589</v>
      </c>
      <c r="C307" s="22" t="s">
        <v>1277</v>
      </c>
      <c r="D307" s="24" t="s">
        <v>69</v>
      </c>
      <c r="E307" s="22" t="s">
        <v>49</v>
      </c>
      <c r="F307" s="24" t="s">
        <v>69</v>
      </c>
      <c r="G307" s="24" t="s">
        <v>69</v>
      </c>
      <c r="H307" s="22" t="s">
        <v>1281</v>
      </c>
      <c r="I307" s="22" t="s">
        <v>1283</v>
      </c>
      <c r="J307" s="22" t="s">
        <v>1283</v>
      </c>
      <c r="K307" s="22" t="s">
        <v>55</v>
      </c>
      <c r="L307" s="22" t="s">
        <v>56</v>
      </c>
      <c r="M307" s="22" t="s">
        <v>57</v>
      </c>
      <c r="N307" s="22" t="s">
        <v>58</v>
      </c>
      <c r="O307" s="22">
        <v>1200.0</v>
      </c>
      <c r="P307" s="22">
        <v>1500.0</v>
      </c>
      <c r="Q307" s="22" t="s">
        <v>59</v>
      </c>
      <c r="R307" s="22" t="s">
        <v>58</v>
      </c>
      <c r="S307" s="22" t="s">
        <v>58</v>
      </c>
      <c r="T307" s="22"/>
      <c r="U307" s="22"/>
      <c r="V307" s="22" t="s">
        <v>61</v>
      </c>
      <c r="W307" s="22" t="s">
        <v>58</v>
      </c>
      <c r="X307" s="22" t="s">
        <v>58</v>
      </c>
      <c r="Y307" s="22" t="s">
        <v>58</v>
      </c>
      <c r="Z307" s="22" t="s">
        <v>58</v>
      </c>
      <c r="AA307" s="22" t="s">
        <v>58</v>
      </c>
      <c r="AB307" s="22" t="s">
        <v>58</v>
      </c>
      <c r="AC307" s="22" t="s">
        <v>58</v>
      </c>
      <c r="AD307" s="22" t="s">
        <v>58</v>
      </c>
      <c r="AE307" s="22" t="s">
        <v>61</v>
      </c>
      <c r="AF307" s="22" t="s">
        <v>61</v>
      </c>
      <c r="AG307" s="22" t="s">
        <v>58</v>
      </c>
      <c r="AH307" s="22">
        <v>100.0</v>
      </c>
      <c r="AI307" s="22">
        <v>2000.0</v>
      </c>
      <c r="AJ307" s="22">
        <v>100.0</v>
      </c>
      <c r="AK307" s="22">
        <v>0.0</v>
      </c>
      <c r="AL307" s="22"/>
      <c r="AM307" s="22"/>
      <c r="AN307" s="22"/>
      <c r="AO307" s="22"/>
    </row>
    <row r="308" ht="15.75" customHeight="1">
      <c r="A308" s="22">
        <v>300.0</v>
      </c>
      <c r="B308" s="22" t="s">
        <v>2594</v>
      </c>
      <c r="C308" s="22" t="s">
        <v>2595</v>
      </c>
      <c r="D308" s="53" t="s">
        <v>2596</v>
      </c>
      <c r="E308" s="22" t="s">
        <v>49</v>
      </c>
      <c r="F308" s="22"/>
      <c r="G308" s="22" t="s">
        <v>2597</v>
      </c>
      <c r="H308" s="22" t="s">
        <v>142</v>
      </c>
      <c r="I308" s="22" t="s">
        <v>144</v>
      </c>
      <c r="J308" s="22" t="s">
        <v>74</v>
      </c>
      <c r="K308" s="22" t="s">
        <v>55</v>
      </c>
      <c r="L308" s="22" t="s">
        <v>56</v>
      </c>
      <c r="M308" s="22" t="s">
        <v>57</v>
      </c>
      <c r="N308" s="22" t="s">
        <v>58</v>
      </c>
      <c r="O308" s="22">
        <v>700.0</v>
      </c>
      <c r="P308" s="22">
        <v>1100.0</v>
      </c>
      <c r="Q308" s="22" t="s">
        <v>59</v>
      </c>
      <c r="R308" s="22" t="s">
        <v>58</v>
      </c>
      <c r="S308" s="22" t="s">
        <v>58</v>
      </c>
      <c r="T308" s="22"/>
      <c r="U308" s="22"/>
      <c r="V308" s="22" t="s">
        <v>61</v>
      </c>
      <c r="W308" s="22" t="s">
        <v>58</v>
      </c>
      <c r="X308" s="22" t="s">
        <v>58</v>
      </c>
      <c r="Y308" s="22" t="s">
        <v>58</v>
      </c>
      <c r="Z308" s="22" t="s">
        <v>58</v>
      </c>
      <c r="AA308" s="22" t="s">
        <v>58</v>
      </c>
      <c r="AB308" s="22" t="s">
        <v>58</v>
      </c>
      <c r="AC308" s="22" t="s">
        <v>58</v>
      </c>
      <c r="AD308" s="22" t="s">
        <v>58</v>
      </c>
      <c r="AE308" s="22" t="s">
        <v>61</v>
      </c>
      <c r="AF308" s="22" t="s">
        <v>61</v>
      </c>
      <c r="AG308" s="22" t="s">
        <v>58</v>
      </c>
      <c r="AH308" s="22">
        <v>250.0</v>
      </c>
      <c r="AI308" s="22">
        <v>5000.0</v>
      </c>
      <c r="AJ308" s="22">
        <v>250.0</v>
      </c>
      <c r="AK308" s="22">
        <v>0.0</v>
      </c>
      <c r="AL308" s="22"/>
      <c r="AM308" s="22"/>
      <c r="AN308" s="24" t="s">
        <v>757</v>
      </c>
      <c r="AO308" s="22"/>
    </row>
    <row r="309" ht="15.75" customHeight="1">
      <c r="A309" s="15">
        <v>301.0</v>
      </c>
      <c r="B309" s="15" t="s">
        <v>838</v>
      </c>
      <c r="C309" s="15" t="s">
        <v>839</v>
      </c>
      <c r="D309" s="48" t="s">
        <v>840</v>
      </c>
      <c r="E309" s="15" t="s">
        <v>49</v>
      </c>
      <c r="F309" s="49" t="s">
        <v>2600</v>
      </c>
      <c r="G309" s="15" t="s">
        <v>2602</v>
      </c>
      <c r="H309" s="15" t="s">
        <v>75</v>
      </c>
      <c r="I309" s="15" t="s">
        <v>76</v>
      </c>
      <c r="J309" s="15" t="s">
        <v>76</v>
      </c>
      <c r="K309" s="15" t="s">
        <v>55</v>
      </c>
      <c r="L309" s="15" t="s">
        <v>56</v>
      </c>
      <c r="M309" s="15" t="s">
        <v>57</v>
      </c>
      <c r="N309" s="15" t="s">
        <v>58</v>
      </c>
      <c r="O309" s="15">
        <v>1000.0</v>
      </c>
      <c r="P309" s="15">
        <v>1500.0</v>
      </c>
      <c r="Q309" s="15" t="s">
        <v>59</v>
      </c>
      <c r="R309" s="15" t="s">
        <v>58</v>
      </c>
      <c r="S309" s="15" t="s">
        <v>58</v>
      </c>
      <c r="T309" s="15"/>
      <c r="U309" s="15"/>
      <c r="V309" s="15" t="s">
        <v>61</v>
      </c>
      <c r="W309" s="15" t="s">
        <v>58</v>
      </c>
      <c r="X309" s="15" t="s">
        <v>58</v>
      </c>
      <c r="Y309" s="15" t="s">
        <v>58</v>
      </c>
      <c r="Z309" s="15" t="s">
        <v>58</v>
      </c>
      <c r="AA309" s="15" t="s">
        <v>58</v>
      </c>
      <c r="AB309" s="15" t="s">
        <v>58</v>
      </c>
      <c r="AC309" s="15" t="s">
        <v>58</v>
      </c>
      <c r="AD309" s="15" t="s">
        <v>58</v>
      </c>
      <c r="AE309" s="15" t="s">
        <v>61</v>
      </c>
      <c r="AF309" s="15" t="s">
        <v>61</v>
      </c>
      <c r="AG309" s="15" t="s">
        <v>58</v>
      </c>
      <c r="AH309" s="15">
        <v>10000.0</v>
      </c>
      <c r="AI309" s="15">
        <v>50.0</v>
      </c>
      <c r="AJ309" s="15">
        <v>10000.0</v>
      </c>
      <c r="AK309" s="15">
        <v>0.0</v>
      </c>
      <c r="AL309" s="15"/>
      <c r="AM309" s="15"/>
      <c r="AN309" s="16" t="s">
        <v>757</v>
      </c>
      <c r="AO309" s="21">
        <v>2.0</v>
      </c>
    </row>
    <row r="310" ht="15.75" customHeight="1">
      <c r="A310" s="22">
        <v>302.0</v>
      </c>
      <c r="B310" s="22" t="s">
        <v>2605</v>
      </c>
      <c r="C310" s="22" t="s">
        <v>2606</v>
      </c>
      <c r="D310" s="22" t="s">
        <v>2607</v>
      </c>
      <c r="E310" s="22" t="s">
        <v>49</v>
      </c>
      <c r="F310" s="42" t="s">
        <v>2608</v>
      </c>
      <c r="G310" s="81" t="s">
        <v>2609</v>
      </c>
      <c r="H310" s="22" t="s">
        <v>303</v>
      </c>
      <c r="I310" s="22" t="s">
        <v>303</v>
      </c>
      <c r="J310" s="22" t="s">
        <v>74</v>
      </c>
      <c r="K310" s="22" t="s">
        <v>55</v>
      </c>
      <c r="L310" s="22" t="s">
        <v>56</v>
      </c>
      <c r="M310" s="22" t="s">
        <v>57</v>
      </c>
      <c r="N310" s="22" t="s">
        <v>58</v>
      </c>
      <c r="O310" s="22">
        <v>1500.0</v>
      </c>
      <c r="P310" s="22">
        <v>1800.0</v>
      </c>
      <c r="Q310" s="22" t="s">
        <v>59</v>
      </c>
      <c r="R310" s="22" t="s">
        <v>58</v>
      </c>
      <c r="S310" s="22" t="s">
        <v>58</v>
      </c>
      <c r="T310" s="24" t="s">
        <v>2610</v>
      </c>
      <c r="U310" s="22"/>
      <c r="V310" s="22" t="s">
        <v>61</v>
      </c>
      <c r="W310" s="22" t="s">
        <v>58</v>
      </c>
      <c r="X310" s="22" t="s">
        <v>58</v>
      </c>
      <c r="Y310" s="22" t="s">
        <v>58</v>
      </c>
      <c r="Z310" s="22" t="s">
        <v>58</v>
      </c>
      <c r="AA310" s="22" t="s">
        <v>58</v>
      </c>
      <c r="AB310" s="22" t="s">
        <v>58</v>
      </c>
      <c r="AC310" s="22" t="s">
        <v>58</v>
      </c>
      <c r="AD310" s="22" t="s">
        <v>58</v>
      </c>
      <c r="AE310" s="22" t="s">
        <v>61</v>
      </c>
      <c r="AF310" s="22" t="s">
        <v>61</v>
      </c>
      <c r="AG310" s="22" t="s">
        <v>58</v>
      </c>
      <c r="AH310" s="22">
        <v>20.0</v>
      </c>
      <c r="AI310" s="22">
        <v>2000.0</v>
      </c>
      <c r="AJ310" s="22">
        <v>20.0</v>
      </c>
      <c r="AK310" s="22">
        <v>0.0</v>
      </c>
      <c r="AL310" s="22"/>
      <c r="AM310" s="22"/>
      <c r="AN310" s="22"/>
      <c r="AO310" s="22"/>
    </row>
    <row r="311" ht="15.75" customHeight="1">
      <c r="A311" s="22">
        <v>303.0</v>
      </c>
      <c r="B311" s="22" t="s">
        <v>1390</v>
      </c>
      <c r="C311" s="22" t="s">
        <v>1391</v>
      </c>
      <c r="D311" s="24" t="s">
        <v>69</v>
      </c>
      <c r="E311" s="22" t="s">
        <v>49</v>
      </c>
      <c r="F311" s="24" t="s">
        <v>69</v>
      </c>
      <c r="G311" s="24" t="s">
        <v>69</v>
      </c>
      <c r="H311" s="22" t="s">
        <v>1394</v>
      </c>
      <c r="I311" s="22" t="s">
        <v>1396</v>
      </c>
      <c r="J311" s="22" t="s">
        <v>1396</v>
      </c>
      <c r="K311" s="22" t="s">
        <v>55</v>
      </c>
      <c r="L311" s="22" t="s">
        <v>56</v>
      </c>
      <c r="M311" s="22" t="s">
        <v>57</v>
      </c>
      <c r="N311" s="22" t="s">
        <v>58</v>
      </c>
      <c r="O311" s="22">
        <v>700.0</v>
      </c>
      <c r="P311" s="22">
        <v>900.0</v>
      </c>
      <c r="Q311" s="22" t="s">
        <v>59</v>
      </c>
      <c r="R311" s="22" t="s">
        <v>58</v>
      </c>
      <c r="S311" s="22" t="s">
        <v>58</v>
      </c>
      <c r="T311" s="22"/>
      <c r="U311" s="22"/>
      <c r="V311" s="22" t="s">
        <v>61</v>
      </c>
      <c r="W311" s="22" t="s">
        <v>58</v>
      </c>
      <c r="X311" s="22" t="s">
        <v>58</v>
      </c>
      <c r="Y311" s="22" t="s">
        <v>58</v>
      </c>
      <c r="Z311" s="22" t="s">
        <v>58</v>
      </c>
      <c r="AA311" s="22" t="s">
        <v>58</v>
      </c>
      <c r="AB311" s="22" t="s">
        <v>58</v>
      </c>
      <c r="AC311" s="22" t="s">
        <v>58</v>
      </c>
      <c r="AD311" s="22" t="s">
        <v>58</v>
      </c>
      <c r="AE311" s="22" t="s">
        <v>61</v>
      </c>
      <c r="AF311" s="22" t="s">
        <v>61</v>
      </c>
      <c r="AG311" s="22" t="s">
        <v>58</v>
      </c>
      <c r="AH311" s="22">
        <v>10.0</v>
      </c>
      <c r="AI311" s="22">
        <v>1000.0</v>
      </c>
      <c r="AJ311" s="22">
        <v>10.0</v>
      </c>
      <c r="AK311" s="22">
        <v>0.0</v>
      </c>
      <c r="AL311" s="22"/>
      <c r="AM311" s="22"/>
      <c r="AN311" s="22"/>
      <c r="AO311" s="22"/>
    </row>
    <row r="312" ht="15.75" customHeight="1">
      <c r="A312" s="22">
        <v>304.0</v>
      </c>
      <c r="B312" s="22" t="s">
        <v>2613</v>
      </c>
      <c r="C312" s="22" t="s">
        <v>2614</v>
      </c>
      <c r="D312" s="66" t="s">
        <v>2615</v>
      </c>
      <c r="E312" s="22" t="s">
        <v>49</v>
      </c>
      <c r="F312" s="24" t="s">
        <v>69</v>
      </c>
      <c r="G312" s="24" t="s">
        <v>69</v>
      </c>
      <c r="H312" s="22" t="s">
        <v>727</v>
      </c>
      <c r="I312" s="22" t="s">
        <v>729</v>
      </c>
      <c r="J312" s="22" t="s">
        <v>74</v>
      </c>
      <c r="K312" s="22" t="s">
        <v>55</v>
      </c>
      <c r="L312" s="22" t="s">
        <v>56</v>
      </c>
      <c r="M312" s="22" t="s">
        <v>57</v>
      </c>
      <c r="N312" s="22" t="s">
        <v>58</v>
      </c>
      <c r="O312" s="22">
        <v>650.0</v>
      </c>
      <c r="P312" s="22">
        <v>950.0</v>
      </c>
      <c r="Q312" s="22" t="s">
        <v>59</v>
      </c>
      <c r="R312" s="22" t="s">
        <v>58</v>
      </c>
      <c r="S312" s="22" t="s">
        <v>58</v>
      </c>
      <c r="T312" s="22"/>
      <c r="U312" s="22"/>
      <c r="V312" s="22" t="s">
        <v>61</v>
      </c>
      <c r="W312" s="22" t="s">
        <v>58</v>
      </c>
      <c r="X312" s="22" t="s">
        <v>58</v>
      </c>
      <c r="Y312" s="22" t="s">
        <v>58</v>
      </c>
      <c r="Z312" s="22" t="s">
        <v>58</v>
      </c>
      <c r="AA312" s="22" t="s">
        <v>58</v>
      </c>
      <c r="AB312" s="22" t="s">
        <v>58</v>
      </c>
      <c r="AC312" s="22" t="s">
        <v>58</v>
      </c>
      <c r="AD312" s="22" t="s">
        <v>58</v>
      </c>
      <c r="AE312" s="22" t="s">
        <v>61</v>
      </c>
      <c r="AF312" s="22" t="s">
        <v>61</v>
      </c>
      <c r="AG312" s="22" t="s">
        <v>58</v>
      </c>
      <c r="AH312" s="22">
        <v>150.0</v>
      </c>
      <c r="AI312" s="22">
        <v>2000.0</v>
      </c>
      <c r="AJ312" s="22">
        <v>150.0</v>
      </c>
      <c r="AK312" s="22">
        <v>0.0</v>
      </c>
      <c r="AL312" s="22"/>
      <c r="AM312" s="22"/>
      <c r="AN312" s="22"/>
      <c r="AO312" s="22"/>
    </row>
    <row r="313" ht="15.75" customHeight="1">
      <c r="A313" s="22">
        <v>305.0</v>
      </c>
      <c r="B313" s="22" t="s">
        <v>766</v>
      </c>
      <c r="C313" s="22" t="s">
        <v>767</v>
      </c>
      <c r="D313" s="22" t="s">
        <v>768</v>
      </c>
      <c r="E313" s="22" t="s">
        <v>49</v>
      </c>
      <c r="F313" s="24" t="s">
        <v>69</v>
      </c>
      <c r="G313" s="98" t="s">
        <v>69</v>
      </c>
      <c r="H313" s="22" t="s">
        <v>397</v>
      </c>
      <c r="I313" s="22" t="s">
        <v>398</v>
      </c>
      <c r="J313" s="22" t="s">
        <v>398</v>
      </c>
      <c r="K313" s="22" t="s">
        <v>55</v>
      </c>
      <c r="L313" s="22" t="s">
        <v>56</v>
      </c>
      <c r="M313" s="22" t="s">
        <v>57</v>
      </c>
      <c r="N313" s="22" t="s">
        <v>58</v>
      </c>
      <c r="O313" s="22">
        <v>600.0</v>
      </c>
      <c r="P313" s="22">
        <v>1200.0</v>
      </c>
      <c r="Q313" s="22" t="s">
        <v>59</v>
      </c>
      <c r="R313" s="22" t="s">
        <v>58</v>
      </c>
      <c r="S313" s="22" t="s">
        <v>58</v>
      </c>
      <c r="T313" s="22" t="s">
        <v>275</v>
      </c>
      <c r="U313" s="22"/>
      <c r="V313" s="22" t="s">
        <v>61</v>
      </c>
      <c r="W313" s="22" t="s">
        <v>58</v>
      </c>
      <c r="X313" s="22" t="s">
        <v>58</v>
      </c>
      <c r="Y313" s="22" t="s">
        <v>58</v>
      </c>
      <c r="Z313" s="22" t="s">
        <v>58</v>
      </c>
      <c r="AA313" s="22" t="s">
        <v>58</v>
      </c>
      <c r="AB313" s="22" t="s">
        <v>58</v>
      </c>
      <c r="AC313" s="22" t="s">
        <v>58</v>
      </c>
      <c r="AD313" s="22" t="s">
        <v>58</v>
      </c>
      <c r="AE313" s="22" t="s">
        <v>61</v>
      </c>
      <c r="AF313" s="22" t="s">
        <v>61</v>
      </c>
      <c r="AG313" s="22" t="s">
        <v>58</v>
      </c>
      <c r="AH313" s="22">
        <v>50.0</v>
      </c>
      <c r="AI313" s="22">
        <v>1100.0</v>
      </c>
      <c r="AJ313" s="22">
        <v>50.0</v>
      </c>
      <c r="AK313" s="22">
        <v>0.0</v>
      </c>
      <c r="AL313" s="22"/>
      <c r="AM313" s="22"/>
      <c r="AN313" s="22"/>
      <c r="AO313" s="22"/>
    </row>
    <row r="314" ht="15.75" customHeight="1">
      <c r="A314" s="22">
        <v>306.0</v>
      </c>
      <c r="B314" s="22" t="s">
        <v>2620</v>
      </c>
      <c r="C314" s="22" t="s">
        <v>2621</v>
      </c>
      <c r="D314" s="66" t="s">
        <v>2622</v>
      </c>
      <c r="E314" s="22" t="s">
        <v>49</v>
      </c>
      <c r="F314" s="42" t="s">
        <v>2623</v>
      </c>
      <c r="G314" s="81" t="s">
        <v>2626</v>
      </c>
      <c r="H314" s="22" t="s">
        <v>513</v>
      </c>
      <c r="I314" s="22" t="s">
        <v>514</v>
      </c>
      <c r="J314" s="22" t="s">
        <v>74</v>
      </c>
      <c r="K314" s="22" t="s">
        <v>55</v>
      </c>
      <c r="L314" s="22" t="s">
        <v>56</v>
      </c>
      <c r="M314" s="22" t="s">
        <v>57</v>
      </c>
      <c r="N314" s="22" t="s">
        <v>58</v>
      </c>
      <c r="O314" s="22">
        <v>600.0</v>
      </c>
      <c r="P314" s="22">
        <v>1000.0</v>
      </c>
      <c r="Q314" s="22" t="s">
        <v>59</v>
      </c>
      <c r="R314" s="22" t="s">
        <v>58</v>
      </c>
      <c r="S314" s="22" t="s">
        <v>58</v>
      </c>
      <c r="T314" s="22"/>
      <c r="U314" s="22"/>
      <c r="V314" s="22" t="s">
        <v>61</v>
      </c>
      <c r="W314" s="22" t="s">
        <v>58</v>
      </c>
      <c r="X314" s="22" t="s">
        <v>58</v>
      </c>
      <c r="Y314" s="22" t="s">
        <v>58</v>
      </c>
      <c r="Z314" s="22" t="s">
        <v>58</v>
      </c>
      <c r="AA314" s="22" t="s">
        <v>58</v>
      </c>
      <c r="AB314" s="22" t="s">
        <v>58</v>
      </c>
      <c r="AC314" s="22" t="s">
        <v>58</v>
      </c>
      <c r="AD314" s="22" t="s">
        <v>58</v>
      </c>
      <c r="AE314" s="22" t="s">
        <v>61</v>
      </c>
      <c r="AF314" s="22" t="s">
        <v>61</v>
      </c>
      <c r="AG314" s="22" t="s">
        <v>58</v>
      </c>
      <c r="AH314" s="22">
        <v>50.0</v>
      </c>
      <c r="AI314" s="22">
        <v>2500.0</v>
      </c>
      <c r="AJ314" s="22">
        <v>50.0</v>
      </c>
      <c r="AK314" s="22">
        <v>0.0</v>
      </c>
      <c r="AL314" s="22"/>
      <c r="AM314" s="22"/>
      <c r="AN314" s="22"/>
      <c r="AO314" s="22"/>
    </row>
    <row r="315" ht="15.75" customHeight="1">
      <c r="A315" s="22">
        <v>307.0</v>
      </c>
      <c r="B315" s="22" t="s">
        <v>2628</v>
      </c>
      <c r="C315" s="22" t="s">
        <v>2629</v>
      </c>
      <c r="D315" s="66" t="s">
        <v>2630</v>
      </c>
      <c r="E315" s="22" t="s">
        <v>49</v>
      </c>
      <c r="F315" s="24" t="s">
        <v>69</v>
      </c>
      <c r="G315" s="24" t="s">
        <v>69</v>
      </c>
      <c r="H315" s="22" t="s">
        <v>72</v>
      </c>
      <c r="I315" s="22" t="s">
        <v>73</v>
      </c>
      <c r="J315" s="22" t="s">
        <v>74</v>
      </c>
      <c r="K315" s="22" t="s">
        <v>55</v>
      </c>
      <c r="L315" s="22" t="s">
        <v>56</v>
      </c>
      <c r="M315" s="22" t="s">
        <v>57</v>
      </c>
      <c r="N315" s="22" t="s">
        <v>58</v>
      </c>
      <c r="O315" s="22">
        <v>1500.0</v>
      </c>
      <c r="P315" s="22">
        <v>1700.0</v>
      </c>
      <c r="Q315" s="22" t="s">
        <v>59</v>
      </c>
      <c r="R315" s="22" t="s">
        <v>58</v>
      </c>
      <c r="S315" s="22" t="s">
        <v>58</v>
      </c>
      <c r="T315" s="22"/>
      <c r="U315" s="22"/>
      <c r="V315" s="22" t="s">
        <v>61</v>
      </c>
      <c r="W315" s="22" t="s">
        <v>58</v>
      </c>
      <c r="X315" s="22" t="s">
        <v>58</v>
      </c>
      <c r="Y315" s="22" t="s">
        <v>58</v>
      </c>
      <c r="Z315" s="22" t="s">
        <v>58</v>
      </c>
      <c r="AA315" s="22" t="s">
        <v>58</v>
      </c>
      <c r="AB315" s="22" t="s">
        <v>58</v>
      </c>
      <c r="AC315" s="22" t="s">
        <v>58</v>
      </c>
      <c r="AD315" s="22" t="s">
        <v>58</v>
      </c>
      <c r="AE315" s="22" t="s">
        <v>61</v>
      </c>
      <c r="AF315" s="22" t="s">
        <v>61</v>
      </c>
      <c r="AG315" s="22" t="s">
        <v>58</v>
      </c>
      <c r="AH315" s="22">
        <v>100.0</v>
      </c>
      <c r="AI315" s="22">
        <v>10000.0</v>
      </c>
      <c r="AJ315" s="22">
        <v>100.0</v>
      </c>
      <c r="AK315" s="22">
        <v>0.0</v>
      </c>
      <c r="AL315" s="22"/>
      <c r="AM315" s="22"/>
      <c r="AN315" s="22"/>
      <c r="AO315" s="22"/>
    </row>
    <row r="316" ht="31.5" customHeight="1">
      <c r="A316" s="22">
        <v>308.0</v>
      </c>
      <c r="B316" s="22" t="s">
        <v>827</v>
      </c>
      <c r="C316" s="22" t="s">
        <v>828</v>
      </c>
      <c r="D316" s="22" t="s">
        <v>830</v>
      </c>
      <c r="E316" s="22" t="s">
        <v>49</v>
      </c>
      <c r="F316" s="42" t="s">
        <v>1263</v>
      </c>
      <c r="G316" s="71" t="s">
        <v>2633</v>
      </c>
      <c r="H316" s="22" t="s">
        <v>723</v>
      </c>
      <c r="I316" s="22" t="s">
        <v>587</v>
      </c>
      <c r="J316" s="22" t="s">
        <v>74</v>
      </c>
      <c r="K316" s="22" t="s">
        <v>55</v>
      </c>
      <c r="L316" s="22" t="s">
        <v>56</v>
      </c>
      <c r="M316" s="22" t="s">
        <v>57</v>
      </c>
      <c r="N316" s="22" t="s">
        <v>58</v>
      </c>
      <c r="O316" s="22">
        <v>2000.0</v>
      </c>
      <c r="P316" s="22">
        <v>2500.0</v>
      </c>
      <c r="Q316" s="22" t="s">
        <v>59</v>
      </c>
      <c r="R316" s="22" t="s">
        <v>58</v>
      </c>
      <c r="S316" s="22" t="s">
        <v>58</v>
      </c>
      <c r="T316" s="24" t="s">
        <v>2636</v>
      </c>
      <c r="U316" s="22"/>
      <c r="V316" s="22" t="s">
        <v>61</v>
      </c>
      <c r="W316" s="22" t="s">
        <v>58</v>
      </c>
      <c r="X316" s="22" t="s">
        <v>58</v>
      </c>
      <c r="Y316" s="22" t="s">
        <v>58</v>
      </c>
      <c r="Z316" s="22" t="s">
        <v>58</v>
      </c>
      <c r="AA316" s="22" t="s">
        <v>58</v>
      </c>
      <c r="AB316" s="22" t="s">
        <v>58</v>
      </c>
      <c r="AC316" s="22" t="s">
        <v>58</v>
      </c>
      <c r="AD316" s="22" t="s">
        <v>58</v>
      </c>
      <c r="AE316" s="22" t="s">
        <v>61</v>
      </c>
      <c r="AF316" s="22" t="s">
        <v>61</v>
      </c>
      <c r="AG316" s="22" t="s">
        <v>58</v>
      </c>
      <c r="AH316" s="22">
        <v>10.0</v>
      </c>
      <c r="AI316" s="22">
        <v>100.0</v>
      </c>
      <c r="AJ316" s="22">
        <v>10.0</v>
      </c>
      <c r="AK316" s="22">
        <v>0.0</v>
      </c>
      <c r="AL316" s="22"/>
      <c r="AM316" s="22"/>
      <c r="AN316" s="22"/>
      <c r="AO316" s="22"/>
    </row>
    <row r="317" ht="15.75" customHeight="1">
      <c r="A317" s="22">
        <v>309.0</v>
      </c>
      <c r="B317" s="22" t="s">
        <v>2640</v>
      </c>
      <c r="C317" s="22" t="s">
        <v>2642</v>
      </c>
      <c r="D317" s="53" t="s">
        <v>2644</v>
      </c>
      <c r="E317" s="22" t="s">
        <v>49</v>
      </c>
      <c r="F317" s="22"/>
      <c r="G317" s="22" t="s">
        <v>2646</v>
      </c>
      <c r="H317" s="22" t="s">
        <v>513</v>
      </c>
      <c r="I317" s="22" t="s">
        <v>514</v>
      </c>
      <c r="J317" s="22" t="s">
        <v>74</v>
      </c>
      <c r="K317" s="22" t="s">
        <v>55</v>
      </c>
      <c r="L317" s="22" t="s">
        <v>56</v>
      </c>
      <c r="M317" s="22" t="s">
        <v>57</v>
      </c>
      <c r="N317" s="22" t="s">
        <v>58</v>
      </c>
      <c r="O317" s="22">
        <v>550.0</v>
      </c>
      <c r="P317" s="22">
        <v>650.0</v>
      </c>
      <c r="Q317" s="22" t="s">
        <v>59</v>
      </c>
      <c r="R317" s="22" t="s">
        <v>58</v>
      </c>
      <c r="S317" s="22" t="s">
        <v>58</v>
      </c>
      <c r="T317" s="22"/>
      <c r="U317" s="22"/>
      <c r="V317" s="22" t="s">
        <v>61</v>
      </c>
      <c r="W317" s="22" t="s">
        <v>58</v>
      </c>
      <c r="X317" s="22" t="s">
        <v>58</v>
      </c>
      <c r="Y317" s="22" t="s">
        <v>58</v>
      </c>
      <c r="Z317" s="22" t="s">
        <v>58</v>
      </c>
      <c r="AA317" s="22" t="s">
        <v>58</v>
      </c>
      <c r="AB317" s="22" t="s">
        <v>58</v>
      </c>
      <c r="AC317" s="22" t="s">
        <v>58</v>
      </c>
      <c r="AD317" s="22" t="s">
        <v>58</v>
      </c>
      <c r="AE317" s="22" t="s">
        <v>61</v>
      </c>
      <c r="AF317" s="22" t="s">
        <v>61</v>
      </c>
      <c r="AG317" s="22" t="s">
        <v>58</v>
      </c>
      <c r="AH317" s="22">
        <v>50.0</v>
      </c>
      <c r="AI317" s="22">
        <v>1000.0</v>
      </c>
      <c r="AJ317" s="22">
        <v>50.0</v>
      </c>
      <c r="AK317" s="22">
        <v>0.0</v>
      </c>
      <c r="AL317" s="22"/>
      <c r="AM317" s="22"/>
      <c r="AN317" s="24" t="s">
        <v>757</v>
      </c>
      <c r="AO317" s="22"/>
    </row>
    <row r="318" ht="42.0" customHeight="1">
      <c r="A318" s="22">
        <v>310.0</v>
      </c>
      <c r="B318" s="22" t="s">
        <v>2651</v>
      </c>
      <c r="C318" s="22" t="s">
        <v>2652</v>
      </c>
      <c r="D318" s="66" t="s">
        <v>2653</v>
      </c>
      <c r="E318" s="22" t="s">
        <v>49</v>
      </c>
      <c r="F318" s="24" t="s">
        <v>69</v>
      </c>
      <c r="G318" s="24" t="s">
        <v>69</v>
      </c>
      <c r="H318" s="22" t="s">
        <v>738</v>
      </c>
      <c r="I318" s="22" t="s">
        <v>739</v>
      </c>
      <c r="J318" s="22" t="s">
        <v>74</v>
      </c>
      <c r="K318" s="22" t="s">
        <v>55</v>
      </c>
      <c r="L318" s="22" t="s">
        <v>56</v>
      </c>
      <c r="M318" s="22" t="s">
        <v>57</v>
      </c>
      <c r="N318" s="22" t="s">
        <v>58</v>
      </c>
      <c r="O318" s="22">
        <v>1200.0</v>
      </c>
      <c r="P318" s="22">
        <v>1800.0</v>
      </c>
      <c r="Q318" s="22" t="s">
        <v>59</v>
      </c>
      <c r="R318" s="22" t="s">
        <v>58</v>
      </c>
      <c r="S318" s="22" t="s">
        <v>58</v>
      </c>
      <c r="T318" s="22"/>
      <c r="U318" s="22"/>
      <c r="V318" s="22" t="s">
        <v>61</v>
      </c>
      <c r="W318" s="22" t="s">
        <v>58</v>
      </c>
      <c r="X318" s="22" t="s">
        <v>58</v>
      </c>
      <c r="Y318" s="22" t="s">
        <v>58</v>
      </c>
      <c r="Z318" s="22" t="s">
        <v>58</v>
      </c>
      <c r="AA318" s="22" t="s">
        <v>58</v>
      </c>
      <c r="AB318" s="22" t="s">
        <v>58</v>
      </c>
      <c r="AC318" s="22" t="s">
        <v>58</v>
      </c>
      <c r="AD318" s="22" t="s">
        <v>58</v>
      </c>
      <c r="AE318" s="22" t="s">
        <v>61</v>
      </c>
      <c r="AF318" s="22" t="s">
        <v>61</v>
      </c>
      <c r="AG318" s="22" t="s">
        <v>58</v>
      </c>
      <c r="AH318" s="22">
        <v>100.0</v>
      </c>
      <c r="AI318" s="22">
        <v>500.0</v>
      </c>
      <c r="AJ318" s="22">
        <v>100.0</v>
      </c>
      <c r="AK318" s="22">
        <v>0.0</v>
      </c>
      <c r="AL318" s="22"/>
      <c r="AM318" s="22"/>
      <c r="AN318" s="22"/>
      <c r="AO318" s="22"/>
    </row>
    <row r="319" ht="15.75" customHeight="1">
      <c r="A319" s="22">
        <v>311.0</v>
      </c>
      <c r="B319" s="22" t="s">
        <v>2656</v>
      </c>
      <c r="C319" s="22" t="s">
        <v>2657</v>
      </c>
      <c r="D319" s="66" t="s">
        <v>2658</v>
      </c>
      <c r="E319" s="22" t="s">
        <v>49</v>
      </c>
      <c r="F319" s="24" t="s">
        <v>69</v>
      </c>
      <c r="G319" s="24" t="s">
        <v>69</v>
      </c>
      <c r="H319" s="22" t="s">
        <v>2659</v>
      </c>
      <c r="I319" s="22" t="s">
        <v>2660</v>
      </c>
      <c r="J319" s="22" t="s">
        <v>74</v>
      </c>
      <c r="K319" s="22" t="s">
        <v>55</v>
      </c>
      <c r="L319" s="22" t="s">
        <v>56</v>
      </c>
      <c r="M319" s="22" t="s">
        <v>57</v>
      </c>
      <c r="N319" s="22" t="s">
        <v>58</v>
      </c>
      <c r="O319" s="22">
        <v>1200.0</v>
      </c>
      <c r="P319" s="22">
        <v>1500.0</v>
      </c>
      <c r="Q319" s="22" t="s">
        <v>59</v>
      </c>
      <c r="R319" s="22" t="s">
        <v>58</v>
      </c>
      <c r="S319" s="22" t="s">
        <v>58</v>
      </c>
      <c r="T319" s="22"/>
      <c r="U319" s="22"/>
      <c r="V319" s="22" t="s">
        <v>61</v>
      </c>
      <c r="W319" s="22" t="s">
        <v>58</v>
      </c>
      <c r="X319" s="22" t="s">
        <v>58</v>
      </c>
      <c r="Y319" s="22" t="s">
        <v>58</v>
      </c>
      <c r="Z319" s="22" t="s">
        <v>58</v>
      </c>
      <c r="AA319" s="22" t="s">
        <v>58</v>
      </c>
      <c r="AB319" s="22" t="s">
        <v>58</v>
      </c>
      <c r="AC319" s="22" t="s">
        <v>58</v>
      </c>
      <c r="AD319" s="22" t="s">
        <v>58</v>
      </c>
      <c r="AE319" s="22" t="s">
        <v>61</v>
      </c>
      <c r="AF319" s="22" t="s">
        <v>61</v>
      </c>
      <c r="AG319" s="22" t="s">
        <v>58</v>
      </c>
      <c r="AH319" s="22">
        <v>50.0</v>
      </c>
      <c r="AI319" s="22">
        <v>5000.0</v>
      </c>
      <c r="AJ319" s="22">
        <v>50.0</v>
      </c>
      <c r="AK319" s="22">
        <v>0.0</v>
      </c>
      <c r="AL319" s="22"/>
      <c r="AM319" s="22"/>
      <c r="AN319" s="22"/>
      <c r="AO319" s="22"/>
    </row>
    <row r="320" ht="15.75" customHeight="1">
      <c r="A320" s="22">
        <v>312.0</v>
      </c>
      <c r="B320" s="22" t="s">
        <v>631</v>
      </c>
      <c r="C320" s="22" t="s">
        <v>632</v>
      </c>
      <c r="D320" s="66" t="s">
        <v>2663</v>
      </c>
      <c r="E320" s="22" t="s">
        <v>49</v>
      </c>
      <c r="F320" s="42" t="s">
        <v>2664</v>
      </c>
      <c r="G320" s="81" t="s">
        <v>2665</v>
      </c>
      <c r="H320" s="22" t="s">
        <v>397</v>
      </c>
      <c r="I320" s="22" t="s">
        <v>398</v>
      </c>
      <c r="J320" s="22" t="s">
        <v>398</v>
      </c>
      <c r="K320" s="22" t="s">
        <v>55</v>
      </c>
      <c r="L320" s="22" t="s">
        <v>56</v>
      </c>
      <c r="M320" s="22" t="s">
        <v>57</v>
      </c>
      <c r="N320" s="22" t="s">
        <v>58</v>
      </c>
      <c r="O320" s="22">
        <v>1200.0</v>
      </c>
      <c r="P320" s="22">
        <v>1600.0</v>
      </c>
      <c r="Q320" s="22" t="s">
        <v>59</v>
      </c>
      <c r="R320" s="22" t="s">
        <v>58</v>
      </c>
      <c r="S320" s="22" t="s">
        <v>58</v>
      </c>
      <c r="T320" s="22"/>
      <c r="U320" s="22"/>
      <c r="V320" s="22" t="s">
        <v>61</v>
      </c>
      <c r="W320" s="22" t="s">
        <v>58</v>
      </c>
      <c r="X320" s="22" t="s">
        <v>58</v>
      </c>
      <c r="Y320" s="22" t="s">
        <v>58</v>
      </c>
      <c r="Z320" s="22" t="s">
        <v>58</v>
      </c>
      <c r="AA320" s="22" t="s">
        <v>58</v>
      </c>
      <c r="AB320" s="22" t="s">
        <v>58</v>
      </c>
      <c r="AC320" s="22" t="s">
        <v>58</v>
      </c>
      <c r="AD320" s="22" t="s">
        <v>58</v>
      </c>
      <c r="AE320" s="22" t="s">
        <v>61</v>
      </c>
      <c r="AF320" s="22" t="s">
        <v>61</v>
      </c>
      <c r="AG320" s="22" t="s">
        <v>58</v>
      </c>
      <c r="AH320" s="22">
        <v>5000.0</v>
      </c>
      <c r="AI320" s="22">
        <v>50.0</v>
      </c>
      <c r="AJ320" s="22">
        <v>5000.0</v>
      </c>
      <c r="AK320" s="22">
        <v>0.0</v>
      </c>
      <c r="AL320" s="22"/>
      <c r="AM320" s="22"/>
      <c r="AN320" s="22"/>
      <c r="AO320" s="22"/>
    </row>
    <row r="321" ht="15.75" customHeight="1">
      <c r="A321" s="22">
        <v>313.0</v>
      </c>
      <c r="B321" s="22" t="s">
        <v>2668</v>
      </c>
      <c r="C321" s="22" t="s">
        <v>2669</v>
      </c>
      <c r="D321" s="66" t="s">
        <v>2670</v>
      </c>
      <c r="E321" s="22" t="s">
        <v>49</v>
      </c>
      <c r="F321" s="24" t="s">
        <v>69</v>
      </c>
      <c r="G321" s="24" t="s">
        <v>69</v>
      </c>
      <c r="H321" s="22" t="s">
        <v>1110</v>
      </c>
      <c r="I321" s="22" t="s">
        <v>1111</v>
      </c>
      <c r="J321" s="22" t="s">
        <v>74</v>
      </c>
      <c r="K321" s="22" t="s">
        <v>55</v>
      </c>
      <c r="L321" s="22" t="s">
        <v>56</v>
      </c>
      <c r="M321" s="22" t="s">
        <v>57</v>
      </c>
      <c r="N321" s="22" t="s">
        <v>58</v>
      </c>
      <c r="O321" s="22">
        <v>700.0</v>
      </c>
      <c r="P321" s="22"/>
      <c r="Q321" s="22" t="s">
        <v>59</v>
      </c>
      <c r="R321" s="22" t="s">
        <v>58</v>
      </c>
      <c r="S321" s="22" t="s">
        <v>58</v>
      </c>
      <c r="T321" s="22"/>
      <c r="U321" s="22"/>
      <c r="V321" s="22" t="s">
        <v>61</v>
      </c>
      <c r="W321" s="22" t="s">
        <v>58</v>
      </c>
      <c r="X321" s="22" t="s">
        <v>58</v>
      </c>
      <c r="Y321" s="22" t="s">
        <v>58</v>
      </c>
      <c r="Z321" s="22" t="s">
        <v>58</v>
      </c>
      <c r="AA321" s="22" t="s">
        <v>58</v>
      </c>
      <c r="AB321" s="22" t="s">
        <v>58</v>
      </c>
      <c r="AC321" s="22" t="s">
        <v>58</v>
      </c>
      <c r="AD321" s="22" t="s">
        <v>58</v>
      </c>
      <c r="AE321" s="22" t="s">
        <v>61</v>
      </c>
      <c r="AF321" s="22" t="s">
        <v>61</v>
      </c>
      <c r="AG321" s="22" t="s">
        <v>58</v>
      </c>
      <c r="AH321" s="22">
        <v>50.0</v>
      </c>
      <c r="AI321" s="22">
        <v>2000.0</v>
      </c>
      <c r="AJ321" s="22">
        <v>50.0</v>
      </c>
      <c r="AK321" s="22">
        <v>0.0</v>
      </c>
      <c r="AL321" s="22"/>
      <c r="AM321" s="22"/>
      <c r="AN321" s="22"/>
      <c r="AO321" s="22"/>
    </row>
    <row r="322" ht="15.75" customHeight="1">
      <c r="A322" s="22">
        <v>314.0</v>
      </c>
      <c r="B322" s="22" t="s">
        <v>2673</v>
      </c>
      <c r="C322" s="22" t="s">
        <v>2675</v>
      </c>
      <c r="D322" s="24" t="s">
        <v>69</v>
      </c>
      <c r="E322" s="22" t="s">
        <v>49</v>
      </c>
      <c r="F322" s="42" t="s">
        <v>2677</v>
      </c>
      <c r="G322" s="94" t="s">
        <v>2680</v>
      </c>
      <c r="H322" s="22" t="s">
        <v>72</v>
      </c>
      <c r="I322" s="22" t="s">
        <v>73</v>
      </c>
      <c r="J322" s="22" t="s">
        <v>74</v>
      </c>
      <c r="K322" s="22" t="s">
        <v>55</v>
      </c>
      <c r="L322" s="22" t="s">
        <v>56</v>
      </c>
      <c r="M322" s="22" t="s">
        <v>57</v>
      </c>
      <c r="N322" s="22" t="s">
        <v>58</v>
      </c>
      <c r="O322" s="22">
        <v>5500.0</v>
      </c>
      <c r="P322" s="22">
        <v>6500.0</v>
      </c>
      <c r="Q322" s="22" t="s">
        <v>59</v>
      </c>
      <c r="R322" s="22" t="s">
        <v>58</v>
      </c>
      <c r="S322" s="22" t="s">
        <v>58</v>
      </c>
      <c r="T322" s="22"/>
      <c r="U322" s="22"/>
      <c r="V322" s="22" t="s">
        <v>61</v>
      </c>
      <c r="W322" s="22" t="s">
        <v>58</v>
      </c>
      <c r="X322" s="22" t="s">
        <v>58</v>
      </c>
      <c r="Y322" s="22" t="s">
        <v>58</v>
      </c>
      <c r="Z322" s="22" t="s">
        <v>58</v>
      </c>
      <c r="AA322" s="22" t="s">
        <v>58</v>
      </c>
      <c r="AB322" s="22" t="s">
        <v>58</v>
      </c>
      <c r="AC322" s="22" t="s">
        <v>58</v>
      </c>
      <c r="AD322" s="22" t="s">
        <v>58</v>
      </c>
      <c r="AE322" s="22" t="s">
        <v>61</v>
      </c>
      <c r="AF322" s="22" t="s">
        <v>61</v>
      </c>
      <c r="AG322" s="22" t="s">
        <v>58</v>
      </c>
      <c r="AH322" s="22">
        <v>50.0</v>
      </c>
      <c r="AI322" s="22">
        <v>25000.0</v>
      </c>
      <c r="AJ322" s="22">
        <v>50.0</v>
      </c>
      <c r="AK322" s="22">
        <v>0.0</v>
      </c>
      <c r="AL322" s="22"/>
      <c r="AM322" s="22"/>
      <c r="AN322" s="22"/>
      <c r="AO322" s="22"/>
    </row>
    <row r="323" ht="15.75" customHeight="1">
      <c r="A323" s="22">
        <v>315.0</v>
      </c>
      <c r="B323" s="22" t="s">
        <v>1250</v>
      </c>
      <c r="C323" s="22" t="s">
        <v>1252</v>
      </c>
      <c r="D323" s="66" t="s">
        <v>1254</v>
      </c>
      <c r="E323" s="22" t="s">
        <v>49</v>
      </c>
      <c r="F323" s="42" t="s">
        <v>2685</v>
      </c>
      <c r="G323" s="81" t="s">
        <v>2686</v>
      </c>
      <c r="H323" s="22" t="s">
        <v>1258</v>
      </c>
      <c r="I323" s="22" t="s">
        <v>1259</v>
      </c>
      <c r="J323" s="22" t="s">
        <v>1259</v>
      </c>
      <c r="K323" s="22" t="s">
        <v>55</v>
      </c>
      <c r="L323" s="22" t="s">
        <v>56</v>
      </c>
      <c r="M323" s="22" t="s">
        <v>57</v>
      </c>
      <c r="N323" s="22" t="s">
        <v>58</v>
      </c>
      <c r="O323" s="22">
        <v>1000.0</v>
      </c>
      <c r="P323" s="22">
        <v>2500.0</v>
      </c>
      <c r="Q323" s="22" t="s">
        <v>59</v>
      </c>
      <c r="R323" s="22" t="s">
        <v>58</v>
      </c>
      <c r="S323" s="22" t="s">
        <v>58</v>
      </c>
      <c r="T323" s="22"/>
      <c r="U323" s="22"/>
      <c r="V323" s="22" t="s">
        <v>61</v>
      </c>
      <c r="W323" s="22" t="s">
        <v>58</v>
      </c>
      <c r="X323" s="22" t="s">
        <v>58</v>
      </c>
      <c r="Y323" s="22" t="s">
        <v>58</v>
      </c>
      <c r="Z323" s="22" t="s">
        <v>58</v>
      </c>
      <c r="AA323" s="22" t="s">
        <v>58</v>
      </c>
      <c r="AB323" s="22" t="s">
        <v>58</v>
      </c>
      <c r="AC323" s="22" t="s">
        <v>58</v>
      </c>
      <c r="AD323" s="22" t="s">
        <v>58</v>
      </c>
      <c r="AE323" s="22" t="s">
        <v>61</v>
      </c>
      <c r="AF323" s="22" t="s">
        <v>61</v>
      </c>
      <c r="AG323" s="22" t="s">
        <v>58</v>
      </c>
      <c r="AH323" s="22">
        <v>100.0</v>
      </c>
      <c r="AI323" s="22">
        <v>5000.0</v>
      </c>
      <c r="AJ323" s="22">
        <v>100.0</v>
      </c>
      <c r="AK323" s="22">
        <v>0.0</v>
      </c>
      <c r="AL323" s="22"/>
      <c r="AM323" s="22"/>
      <c r="AN323" s="22"/>
      <c r="AO323" s="22"/>
    </row>
    <row r="324" ht="15.75" customHeight="1">
      <c r="A324" s="22">
        <v>316.0</v>
      </c>
      <c r="B324" s="22" t="s">
        <v>417</v>
      </c>
      <c r="C324" s="22" t="s">
        <v>418</v>
      </c>
      <c r="D324" s="66" t="s">
        <v>2688</v>
      </c>
      <c r="E324" s="22" t="s">
        <v>49</v>
      </c>
      <c r="F324" s="42" t="s">
        <v>2689</v>
      </c>
      <c r="G324" s="24">
        <v>9.289176444E9</v>
      </c>
      <c r="H324" s="22" t="s">
        <v>147</v>
      </c>
      <c r="I324" s="22" t="s">
        <v>148</v>
      </c>
      <c r="J324" s="22" t="s">
        <v>148</v>
      </c>
      <c r="K324" s="22" t="s">
        <v>55</v>
      </c>
      <c r="L324" s="22" t="s">
        <v>56</v>
      </c>
      <c r="M324" s="22" t="s">
        <v>57</v>
      </c>
      <c r="N324" s="22" t="s">
        <v>58</v>
      </c>
      <c r="O324" s="22">
        <v>450.0</v>
      </c>
      <c r="P324" s="22">
        <v>850.0</v>
      </c>
      <c r="Q324" s="22" t="s">
        <v>59</v>
      </c>
      <c r="R324" s="22" t="s">
        <v>58</v>
      </c>
      <c r="S324" s="22" t="s">
        <v>58</v>
      </c>
      <c r="T324" s="22"/>
      <c r="U324" s="22"/>
      <c r="V324" s="22" t="s">
        <v>61</v>
      </c>
      <c r="W324" s="22" t="s">
        <v>58</v>
      </c>
      <c r="X324" s="22" t="s">
        <v>58</v>
      </c>
      <c r="Y324" s="22" t="s">
        <v>58</v>
      </c>
      <c r="Z324" s="22" t="s">
        <v>58</v>
      </c>
      <c r="AA324" s="22" t="s">
        <v>58</v>
      </c>
      <c r="AB324" s="22" t="s">
        <v>58</v>
      </c>
      <c r="AC324" s="22" t="s">
        <v>58</v>
      </c>
      <c r="AD324" s="22" t="s">
        <v>58</v>
      </c>
      <c r="AE324" s="22" t="s">
        <v>61</v>
      </c>
      <c r="AF324" s="22" t="s">
        <v>61</v>
      </c>
      <c r="AG324" s="22" t="s">
        <v>58</v>
      </c>
      <c r="AH324" s="22">
        <v>50.0</v>
      </c>
      <c r="AI324" s="22">
        <v>1000.0</v>
      </c>
      <c r="AJ324" s="22">
        <v>50.0</v>
      </c>
      <c r="AK324" s="22">
        <v>0.0</v>
      </c>
      <c r="AL324" s="22"/>
      <c r="AM324" s="22"/>
      <c r="AN324" s="22"/>
      <c r="AO324" s="22"/>
    </row>
    <row r="325" ht="15.75" customHeight="1">
      <c r="A325" s="22">
        <v>317.0</v>
      </c>
      <c r="B325" s="22" t="s">
        <v>2694</v>
      </c>
      <c r="C325" s="22" t="s">
        <v>2695</v>
      </c>
      <c r="D325" s="22" t="s">
        <v>2697</v>
      </c>
      <c r="E325" s="22" t="s">
        <v>49</v>
      </c>
      <c r="F325" s="42" t="s">
        <v>2700</v>
      </c>
      <c r="G325" s="81" t="s">
        <v>2703</v>
      </c>
      <c r="H325" s="22" t="s">
        <v>303</v>
      </c>
      <c r="I325" s="22" t="s">
        <v>303</v>
      </c>
      <c r="J325" s="22" t="s">
        <v>74</v>
      </c>
      <c r="K325" s="22" t="s">
        <v>55</v>
      </c>
      <c r="L325" s="22" t="s">
        <v>56</v>
      </c>
      <c r="M325" s="22" t="s">
        <v>57</v>
      </c>
      <c r="N325" s="22" t="s">
        <v>58</v>
      </c>
      <c r="O325" s="22">
        <v>495.0</v>
      </c>
      <c r="P325" s="22">
        <v>595.0</v>
      </c>
      <c r="Q325" s="22" t="s">
        <v>59</v>
      </c>
      <c r="R325" s="22" t="s">
        <v>58</v>
      </c>
      <c r="S325" s="22" t="s">
        <v>58</v>
      </c>
      <c r="T325" s="24" t="s">
        <v>2704</v>
      </c>
      <c r="U325" s="22"/>
      <c r="V325" s="22" t="s">
        <v>61</v>
      </c>
      <c r="W325" s="22" t="s">
        <v>58</v>
      </c>
      <c r="X325" s="22" t="s">
        <v>58</v>
      </c>
      <c r="Y325" s="22" t="s">
        <v>58</v>
      </c>
      <c r="Z325" s="22" t="s">
        <v>58</v>
      </c>
      <c r="AA325" s="22" t="s">
        <v>58</v>
      </c>
      <c r="AB325" s="22" t="s">
        <v>58</v>
      </c>
      <c r="AC325" s="22" t="s">
        <v>58</v>
      </c>
      <c r="AD325" s="22" t="s">
        <v>58</v>
      </c>
      <c r="AE325" s="22" t="s">
        <v>61</v>
      </c>
      <c r="AF325" s="22" t="s">
        <v>61</v>
      </c>
      <c r="AG325" s="22" t="s">
        <v>58</v>
      </c>
      <c r="AH325" s="22">
        <v>300.0</v>
      </c>
      <c r="AI325" s="22">
        <v>300.0</v>
      </c>
      <c r="AJ325" s="22">
        <v>300.0</v>
      </c>
      <c r="AK325" s="22">
        <v>0.0</v>
      </c>
      <c r="AL325" s="22"/>
      <c r="AM325" s="22"/>
      <c r="AN325" s="22"/>
      <c r="AO325" s="22"/>
    </row>
    <row r="326" ht="15.75" customHeight="1">
      <c r="A326" s="22">
        <v>318.0</v>
      </c>
      <c r="B326" s="22" t="s">
        <v>1522</v>
      </c>
      <c r="C326" s="22" t="s">
        <v>1524</v>
      </c>
      <c r="D326" s="66" t="s">
        <v>1525</v>
      </c>
      <c r="E326" s="22" t="s">
        <v>49</v>
      </c>
      <c r="F326" s="24" t="s">
        <v>69</v>
      </c>
      <c r="G326" s="24" t="s">
        <v>69</v>
      </c>
      <c r="H326" s="22" t="s">
        <v>1530</v>
      </c>
      <c r="I326" s="22" t="s">
        <v>1531</v>
      </c>
      <c r="J326" s="22" t="s">
        <v>1531</v>
      </c>
      <c r="K326" s="22" t="s">
        <v>55</v>
      </c>
      <c r="L326" s="22" t="s">
        <v>56</v>
      </c>
      <c r="M326" s="22" t="s">
        <v>57</v>
      </c>
      <c r="N326" s="22" t="s">
        <v>58</v>
      </c>
      <c r="O326" s="22">
        <v>3000.0</v>
      </c>
      <c r="P326" s="22">
        <v>3500.0</v>
      </c>
      <c r="Q326" s="22" t="s">
        <v>59</v>
      </c>
      <c r="R326" s="22" t="s">
        <v>58</v>
      </c>
      <c r="S326" s="22" t="s">
        <v>58</v>
      </c>
      <c r="T326" s="22"/>
      <c r="U326" s="22"/>
      <c r="V326" s="22" t="s">
        <v>61</v>
      </c>
      <c r="W326" s="22" t="s">
        <v>58</v>
      </c>
      <c r="X326" s="22" t="s">
        <v>58</v>
      </c>
      <c r="Y326" s="22" t="s">
        <v>58</v>
      </c>
      <c r="Z326" s="22" t="s">
        <v>58</v>
      </c>
      <c r="AA326" s="22" t="s">
        <v>58</v>
      </c>
      <c r="AB326" s="22" t="s">
        <v>58</v>
      </c>
      <c r="AC326" s="22" t="s">
        <v>58</v>
      </c>
      <c r="AD326" s="22" t="s">
        <v>58</v>
      </c>
      <c r="AE326" s="22" t="s">
        <v>61</v>
      </c>
      <c r="AF326" s="22" t="s">
        <v>61</v>
      </c>
      <c r="AG326" s="22" t="s">
        <v>58</v>
      </c>
      <c r="AH326" s="22">
        <v>10.0</v>
      </c>
      <c r="AI326" s="22">
        <v>5000.0</v>
      </c>
      <c r="AJ326" s="22">
        <v>10.0</v>
      </c>
      <c r="AK326" s="22">
        <v>0.0</v>
      </c>
      <c r="AL326" s="22"/>
      <c r="AM326" s="22"/>
      <c r="AN326" s="22"/>
      <c r="AO326" s="22"/>
    </row>
    <row r="327" ht="15.75" customHeight="1">
      <c r="A327" s="22">
        <v>319.0</v>
      </c>
      <c r="B327" s="22" t="s">
        <v>657</v>
      </c>
      <c r="C327" s="22" t="s">
        <v>659</v>
      </c>
      <c r="D327" s="66" t="s">
        <v>2707</v>
      </c>
      <c r="E327" s="22" t="s">
        <v>49</v>
      </c>
      <c r="F327" s="24" t="s">
        <v>69</v>
      </c>
      <c r="G327" s="24" t="s">
        <v>69</v>
      </c>
      <c r="H327" s="22" t="s">
        <v>664</v>
      </c>
      <c r="I327" s="22" t="s">
        <v>665</v>
      </c>
      <c r="J327" s="22" t="s">
        <v>665</v>
      </c>
      <c r="K327" s="22" t="s">
        <v>55</v>
      </c>
      <c r="L327" s="22" t="s">
        <v>56</v>
      </c>
      <c r="M327" s="22" t="s">
        <v>57</v>
      </c>
      <c r="N327" s="22" t="s">
        <v>58</v>
      </c>
      <c r="O327" s="22">
        <v>500.0</v>
      </c>
      <c r="P327" s="22">
        <v>700.0</v>
      </c>
      <c r="Q327" s="22" t="s">
        <v>59</v>
      </c>
      <c r="R327" s="22" t="s">
        <v>58</v>
      </c>
      <c r="S327" s="22" t="s">
        <v>58</v>
      </c>
      <c r="T327" s="22"/>
      <c r="U327" s="22"/>
      <c r="V327" s="22" t="s">
        <v>61</v>
      </c>
      <c r="W327" s="22" t="s">
        <v>58</v>
      </c>
      <c r="X327" s="22" t="s">
        <v>58</v>
      </c>
      <c r="Y327" s="22" t="s">
        <v>58</v>
      </c>
      <c r="Z327" s="22" t="s">
        <v>58</v>
      </c>
      <c r="AA327" s="22" t="s">
        <v>58</v>
      </c>
      <c r="AB327" s="22" t="s">
        <v>58</v>
      </c>
      <c r="AC327" s="22" t="s">
        <v>58</v>
      </c>
      <c r="AD327" s="22" t="s">
        <v>58</v>
      </c>
      <c r="AE327" s="22" t="s">
        <v>61</v>
      </c>
      <c r="AF327" s="22" t="s">
        <v>61</v>
      </c>
      <c r="AG327" s="22" t="s">
        <v>58</v>
      </c>
      <c r="AH327" s="22">
        <v>100.0</v>
      </c>
      <c r="AI327" s="22">
        <v>5000.0</v>
      </c>
      <c r="AJ327" s="22">
        <v>100.0</v>
      </c>
      <c r="AK327" s="22">
        <v>0.0</v>
      </c>
      <c r="AL327" s="22"/>
      <c r="AM327" s="22"/>
      <c r="AN327" s="22"/>
      <c r="AO327" s="22"/>
    </row>
    <row r="328" ht="15.75" customHeight="1">
      <c r="A328" s="22">
        <v>320.0</v>
      </c>
      <c r="B328" s="22" t="s">
        <v>1044</v>
      </c>
      <c r="C328" s="22" t="s">
        <v>1045</v>
      </c>
      <c r="D328" s="66" t="s">
        <v>1046</v>
      </c>
      <c r="E328" s="22" t="s">
        <v>49</v>
      </c>
      <c r="F328" s="42" t="s">
        <v>2708</v>
      </c>
      <c r="G328" s="24">
        <v>9.81009624E8</v>
      </c>
      <c r="H328" s="22" t="s">
        <v>664</v>
      </c>
      <c r="I328" s="22" t="s">
        <v>665</v>
      </c>
      <c r="J328" s="22" t="s">
        <v>665</v>
      </c>
      <c r="K328" s="22" t="s">
        <v>55</v>
      </c>
      <c r="L328" s="22" t="s">
        <v>56</v>
      </c>
      <c r="M328" s="22" t="s">
        <v>57</v>
      </c>
      <c r="N328" s="22" t="s">
        <v>58</v>
      </c>
      <c r="O328" s="22">
        <v>1000.0</v>
      </c>
      <c r="P328" s="22"/>
      <c r="Q328" s="22" t="s">
        <v>59</v>
      </c>
      <c r="R328" s="22" t="s">
        <v>58</v>
      </c>
      <c r="S328" s="22" t="s">
        <v>58</v>
      </c>
      <c r="T328" s="22"/>
      <c r="U328" s="22"/>
      <c r="V328" s="22" t="s">
        <v>61</v>
      </c>
      <c r="W328" s="22" t="s">
        <v>58</v>
      </c>
      <c r="X328" s="22" t="s">
        <v>58</v>
      </c>
      <c r="Y328" s="22" t="s">
        <v>58</v>
      </c>
      <c r="Z328" s="22" t="s">
        <v>58</v>
      </c>
      <c r="AA328" s="22" t="s">
        <v>58</v>
      </c>
      <c r="AB328" s="22" t="s">
        <v>58</v>
      </c>
      <c r="AC328" s="22" t="s">
        <v>58</v>
      </c>
      <c r="AD328" s="22" t="s">
        <v>58</v>
      </c>
      <c r="AE328" s="22" t="s">
        <v>61</v>
      </c>
      <c r="AF328" s="22" t="s">
        <v>61</v>
      </c>
      <c r="AG328" s="22" t="s">
        <v>58</v>
      </c>
      <c r="AH328" s="22">
        <v>500.0</v>
      </c>
      <c r="AI328" s="22">
        <v>4000.0</v>
      </c>
      <c r="AJ328" s="22">
        <v>500.0</v>
      </c>
      <c r="AK328" s="22">
        <v>0.0</v>
      </c>
      <c r="AL328" s="22"/>
      <c r="AM328" s="22"/>
      <c r="AN328" s="22"/>
      <c r="AO328" s="22"/>
    </row>
    <row r="329" ht="15.75" customHeight="1">
      <c r="A329" s="22">
        <v>321.0</v>
      </c>
      <c r="B329" s="22" t="s">
        <v>889</v>
      </c>
      <c r="C329" s="22" t="s">
        <v>890</v>
      </c>
      <c r="D329" s="66" t="s">
        <v>891</v>
      </c>
      <c r="E329" s="22" t="s">
        <v>49</v>
      </c>
      <c r="F329" s="42" t="s">
        <v>2711</v>
      </c>
      <c r="G329" s="24">
        <v>9.999304381E9</v>
      </c>
      <c r="H329" s="22" t="s">
        <v>75</v>
      </c>
      <c r="I329" s="22" t="s">
        <v>76</v>
      </c>
      <c r="J329" s="22" t="s">
        <v>76</v>
      </c>
      <c r="K329" s="22" t="s">
        <v>55</v>
      </c>
      <c r="L329" s="22" t="s">
        <v>56</v>
      </c>
      <c r="M329" s="22" t="s">
        <v>57</v>
      </c>
      <c r="N329" s="22" t="s">
        <v>58</v>
      </c>
      <c r="O329" s="22">
        <v>2500.0</v>
      </c>
      <c r="P329" s="22">
        <v>2800.0</v>
      </c>
      <c r="Q329" s="22" t="s">
        <v>59</v>
      </c>
      <c r="R329" s="22" t="s">
        <v>58</v>
      </c>
      <c r="S329" s="22" t="s">
        <v>58</v>
      </c>
      <c r="T329" s="22"/>
      <c r="U329" s="22"/>
      <c r="V329" s="22" t="s">
        <v>61</v>
      </c>
      <c r="W329" s="22" t="s">
        <v>58</v>
      </c>
      <c r="X329" s="22" t="s">
        <v>58</v>
      </c>
      <c r="Y329" s="22" t="s">
        <v>58</v>
      </c>
      <c r="Z329" s="22" t="s">
        <v>58</v>
      </c>
      <c r="AA329" s="22" t="s">
        <v>58</v>
      </c>
      <c r="AB329" s="22" t="s">
        <v>58</v>
      </c>
      <c r="AC329" s="22" t="s">
        <v>58</v>
      </c>
      <c r="AD329" s="22" t="s">
        <v>58</v>
      </c>
      <c r="AE329" s="22" t="s">
        <v>61</v>
      </c>
      <c r="AF329" s="22" t="s">
        <v>61</v>
      </c>
      <c r="AG329" s="22" t="s">
        <v>58</v>
      </c>
      <c r="AH329" s="22">
        <v>150.0</v>
      </c>
      <c r="AI329" s="22">
        <v>1000.0</v>
      </c>
      <c r="AJ329" s="22">
        <v>150.0</v>
      </c>
      <c r="AK329" s="22">
        <v>0.0</v>
      </c>
      <c r="AL329" s="22"/>
      <c r="AM329" s="22"/>
      <c r="AN329" s="22"/>
      <c r="AO329" s="22"/>
    </row>
    <row r="330" ht="15.75" customHeight="1">
      <c r="A330" s="22">
        <v>322.0</v>
      </c>
      <c r="B330" s="22" t="s">
        <v>2712</v>
      </c>
      <c r="C330" s="22" t="s">
        <v>2713</v>
      </c>
      <c r="D330" s="66" t="s">
        <v>2715</v>
      </c>
      <c r="E330" s="22" t="s">
        <v>49</v>
      </c>
      <c r="F330" s="42" t="s">
        <v>2716</v>
      </c>
      <c r="G330" s="24">
        <v>6.206970518E9</v>
      </c>
      <c r="H330" s="22" t="s">
        <v>285</v>
      </c>
      <c r="I330" s="22" t="s">
        <v>286</v>
      </c>
      <c r="J330" s="22" t="s">
        <v>74</v>
      </c>
      <c r="K330" s="22" t="s">
        <v>55</v>
      </c>
      <c r="L330" s="22" t="s">
        <v>56</v>
      </c>
      <c r="M330" s="22" t="s">
        <v>57</v>
      </c>
      <c r="N330" s="22" t="s">
        <v>58</v>
      </c>
      <c r="O330" s="22">
        <v>850.0</v>
      </c>
      <c r="P330" s="22">
        <v>950.0</v>
      </c>
      <c r="Q330" s="22" t="s">
        <v>59</v>
      </c>
      <c r="R330" s="22" t="s">
        <v>58</v>
      </c>
      <c r="S330" s="22" t="s">
        <v>58</v>
      </c>
      <c r="T330" s="22"/>
      <c r="U330" s="22"/>
      <c r="V330" s="22" t="s">
        <v>61</v>
      </c>
      <c r="W330" s="22" t="s">
        <v>58</v>
      </c>
      <c r="X330" s="22" t="s">
        <v>58</v>
      </c>
      <c r="Y330" s="22" t="s">
        <v>58</v>
      </c>
      <c r="Z330" s="22" t="s">
        <v>58</v>
      </c>
      <c r="AA330" s="22" t="s">
        <v>58</v>
      </c>
      <c r="AB330" s="22" t="s">
        <v>58</v>
      </c>
      <c r="AC330" s="22" t="s">
        <v>58</v>
      </c>
      <c r="AD330" s="22" t="s">
        <v>58</v>
      </c>
      <c r="AE330" s="22" t="s">
        <v>61</v>
      </c>
      <c r="AF330" s="22" t="s">
        <v>61</v>
      </c>
      <c r="AG330" s="22" t="s">
        <v>58</v>
      </c>
      <c r="AH330" s="22">
        <v>100.0</v>
      </c>
      <c r="AI330" s="22">
        <v>10000.0</v>
      </c>
      <c r="AJ330" s="22">
        <v>100.0</v>
      </c>
      <c r="AK330" s="22">
        <v>0.0</v>
      </c>
      <c r="AL330" s="22"/>
      <c r="AM330" s="22"/>
      <c r="AN330" s="22"/>
      <c r="AO330" s="22"/>
    </row>
    <row r="331" ht="15.75" customHeight="1">
      <c r="A331" s="22">
        <v>323.0</v>
      </c>
      <c r="B331" s="22" t="s">
        <v>2721</v>
      </c>
      <c r="C331" s="22" t="s">
        <v>2722</v>
      </c>
      <c r="D331" s="66" t="s">
        <v>2723</v>
      </c>
      <c r="E331" s="22" t="s">
        <v>49</v>
      </c>
      <c r="F331" s="24" t="s">
        <v>69</v>
      </c>
      <c r="G331" s="24" t="s">
        <v>69</v>
      </c>
      <c r="H331" s="22" t="s">
        <v>738</v>
      </c>
      <c r="I331" s="22" t="s">
        <v>739</v>
      </c>
      <c r="J331" s="22" t="s">
        <v>74</v>
      </c>
      <c r="K331" s="22" t="s">
        <v>55</v>
      </c>
      <c r="L331" s="22" t="s">
        <v>56</v>
      </c>
      <c r="M331" s="22" t="s">
        <v>57</v>
      </c>
      <c r="N331" s="22" t="s">
        <v>58</v>
      </c>
      <c r="O331" s="22">
        <v>500.0</v>
      </c>
      <c r="P331" s="22">
        <v>600.0</v>
      </c>
      <c r="Q331" s="22" t="s">
        <v>59</v>
      </c>
      <c r="R331" s="22" t="s">
        <v>58</v>
      </c>
      <c r="S331" s="22" t="s">
        <v>58</v>
      </c>
      <c r="T331" s="22"/>
      <c r="U331" s="22"/>
      <c r="V331" s="22" t="s">
        <v>61</v>
      </c>
      <c r="W331" s="22" t="s">
        <v>58</v>
      </c>
      <c r="X331" s="22" t="s">
        <v>58</v>
      </c>
      <c r="Y331" s="22" t="s">
        <v>58</v>
      </c>
      <c r="Z331" s="22" t="s">
        <v>58</v>
      </c>
      <c r="AA331" s="22" t="s">
        <v>58</v>
      </c>
      <c r="AB331" s="22" t="s">
        <v>58</v>
      </c>
      <c r="AC331" s="22" t="s">
        <v>58</v>
      </c>
      <c r="AD331" s="22" t="s">
        <v>58</v>
      </c>
      <c r="AE331" s="22" t="s">
        <v>61</v>
      </c>
      <c r="AF331" s="22" t="s">
        <v>61</v>
      </c>
      <c r="AG331" s="22" t="s">
        <v>58</v>
      </c>
      <c r="AH331" s="22">
        <v>20.0</v>
      </c>
      <c r="AI331" s="22">
        <v>10000.0</v>
      </c>
      <c r="AJ331" s="22">
        <v>20.0</v>
      </c>
      <c r="AK331" s="22">
        <v>0.0</v>
      </c>
      <c r="AL331" s="22"/>
      <c r="AM331" s="22"/>
      <c r="AN331" s="22"/>
      <c r="AO331" s="22"/>
    </row>
    <row r="332" ht="15.75" customHeight="1">
      <c r="A332" s="22">
        <v>324.0</v>
      </c>
      <c r="B332" s="22" t="s">
        <v>431</v>
      </c>
      <c r="C332" s="22" t="s">
        <v>432</v>
      </c>
      <c r="D332" s="66" t="s">
        <v>2726</v>
      </c>
      <c r="E332" s="22" t="s">
        <v>49</v>
      </c>
      <c r="F332" s="24" t="s">
        <v>69</v>
      </c>
      <c r="G332" s="24" t="s">
        <v>69</v>
      </c>
      <c r="H332" s="22" t="s">
        <v>147</v>
      </c>
      <c r="I332" s="22" t="s">
        <v>148</v>
      </c>
      <c r="J332" s="22" t="s">
        <v>148</v>
      </c>
      <c r="K332" s="22" t="s">
        <v>55</v>
      </c>
      <c r="L332" s="22" t="s">
        <v>56</v>
      </c>
      <c r="M332" s="22" t="s">
        <v>57</v>
      </c>
      <c r="N332" s="22" t="s">
        <v>58</v>
      </c>
      <c r="O332" s="22">
        <v>699.0</v>
      </c>
      <c r="P332" s="22">
        <v>799.0</v>
      </c>
      <c r="Q332" s="22" t="s">
        <v>59</v>
      </c>
      <c r="R332" s="22" t="s">
        <v>58</v>
      </c>
      <c r="S332" s="22" t="s">
        <v>58</v>
      </c>
      <c r="T332" s="22"/>
      <c r="U332" s="22"/>
      <c r="V332" s="22" t="s">
        <v>61</v>
      </c>
      <c r="W332" s="22" t="s">
        <v>58</v>
      </c>
      <c r="X332" s="22" t="s">
        <v>58</v>
      </c>
      <c r="Y332" s="22" t="s">
        <v>58</v>
      </c>
      <c r="Z332" s="22" t="s">
        <v>58</v>
      </c>
      <c r="AA332" s="22" t="s">
        <v>58</v>
      </c>
      <c r="AB332" s="22" t="s">
        <v>58</v>
      </c>
      <c r="AC332" s="22" t="s">
        <v>58</v>
      </c>
      <c r="AD332" s="22" t="s">
        <v>58</v>
      </c>
      <c r="AE332" s="22" t="s">
        <v>61</v>
      </c>
      <c r="AF332" s="22" t="s">
        <v>61</v>
      </c>
      <c r="AG332" s="22" t="s">
        <v>58</v>
      </c>
      <c r="AH332" s="22">
        <v>10.0</v>
      </c>
      <c r="AI332" s="22">
        <v>3000.0</v>
      </c>
      <c r="AJ332" s="22">
        <v>10.0</v>
      </c>
      <c r="AK332" s="22">
        <v>0.0</v>
      </c>
      <c r="AL332" s="22"/>
      <c r="AM332" s="22"/>
      <c r="AN332" s="22"/>
      <c r="AO332" s="22"/>
    </row>
    <row r="333" ht="15.75" customHeight="1">
      <c r="A333" s="22">
        <v>325.0</v>
      </c>
      <c r="B333" s="22" t="s">
        <v>2733</v>
      </c>
      <c r="C333" s="22" t="s">
        <v>2734</v>
      </c>
      <c r="D333" s="66" t="s">
        <v>2735</v>
      </c>
      <c r="E333" s="22" t="s">
        <v>49</v>
      </c>
      <c r="F333" s="24" t="s">
        <v>69</v>
      </c>
      <c r="G333" s="24" t="s">
        <v>69</v>
      </c>
      <c r="H333" s="22" t="s">
        <v>123</v>
      </c>
      <c r="I333" s="22" t="s">
        <v>124</v>
      </c>
      <c r="J333" s="22" t="s">
        <v>74</v>
      </c>
      <c r="K333" s="22" t="s">
        <v>55</v>
      </c>
      <c r="L333" s="22" t="s">
        <v>56</v>
      </c>
      <c r="M333" s="22" t="s">
        <v>57</v>
      </c>
      <c r="N333" s="22" t="s">
        <v>58</v>
      </c>
      <c r="O333" s="22">
        <v>450.0</v>
      </c>
      <c r="P333" s="22">
        <v>550.0</v>
      </c>
      <c r="Q333" s="22" t="s">
        <v>59</v>
      </c>
      <c r="R333" s="22" t="s">
        <v>58</v>
      </c>
      <c r="S333" s="22" t="s">
        <v>58</v>
      </c>
      <c r="T333" s="22"/>
      <c r="U333" s="22"/>
      <c r="V333" s="22" t="s">
        <v>61</v>
      </c>
      <c r="W333" s="22" t="s">
        <v>58</v>
      </c>
      <c r="X333" s="22" t="s">
        <v>58</v>
      </c>
      <c r="Y333" s="22" t="s">
        <v>58</v>
      </c>
      <c r="Z333" s="22" t="s">
        <v>58</v>
      </c>
      <c r="AA333" s="22" t="s">
        <v>58</v>
      </c>
      <c r="AB333" s="22" t="s">
        <v>58</v>
      </c>
      <c r="AC333" s="22" t="s">
        <v>58</v>
      </c>
      <c r="AD333" s="22" t="s">
        <v>58</v>
      </c>
      <c r="AE333" s="22" t="s">
        <v>61</v>
      </c>
      <c r="AF333" s="22" t="s">
        <v>61</v>
      </c>
      <c r="AG333" s="22" t="s">
        <v>58</v>
      </c>
      <c r="AH333" s="22">
        <v>50.0</v>
      </c>
      <c r="AI333" s="22">
        <v>2000.0</v>
      </c>
      <c r="AJ333" s="22">
        <v>50.0</v>
      </c>
      <c r="AK333" s="22">
        <v>0.0</v>
      </c>
      <c r="AL333" s="22"/>
      <c r="AM333" s="22"/>
      <c r="AN333" s="22"/>
      <c r="AO333" s="22"/>
    </row>
    <row r="334" ht="15.75" customHeight="1">
      <c r="A334" s="22">
        <v>326.0</v>
      </c>
      <c r="B334" s="22" t="s">
        <v>740</v>
      </c>
      <c r="C334" s="22" t="s">
        <v>741</v>
      </c>
      <c r="D334" s="24" t="s">
        <v>69</v>
      </c>
      <c r="E334" s="22" t="s">
        <v>49</v>
      </c>
      <c r="F334" s="24" t="s">
        <v>69</v>
      </c>
      <c r="G334" s="24" t="s">
        <v>69</v>
      </c>
      <c r="H334" s="22" t="s">
        <v>75</v>
      </c>
      <c r="I334" s="22" t="s">
        <v>76</v>
      </c>
      <c r="J334" s="22" t="s">
        <v>76</v>
      </c>
      <c r="K334" s="22" t="s">
        <v>55</v>
      </c>
      <c r="L334" s="22" t="s">
        <v>56</v>
      </c>
      <c r="M334" s="22" t="s">
        <v>57</v>
      </c>
      <c r="N334" s="22" t="s">
        <v>58</v>
      </c>
      <c r="O334" s="22">
        <v>499.0</v>
      </c>
      <c r="P334" s="22">
        <v>599.0</v>
      </c>
      <c r="Q334" s="22" t="s">
        <v>59</v>
      </c>
      <c r="R334" s="22" t="s">
        <v>58</v>
      </c>
      <c r="S334" s="22" t="s">
        <v>58</v>
      </c>
      <c r="T334" s="22"/>
      <c r="U334" s="22"/>
      <c r="V334" s="22" t="s">
        <v>61</v>
      </c>
      <c r="W334" s="22" t="s">
        <v>58</v>
      </c>
      <c r="X334" s="22" t="s">
        <v>58</v>
      </c>
      <c r="Y334" s="22" t="s">
        <v>58</v>
      </c>
      <c r="Z334" s="22" t="s">
        <v>58</v>
      </c>
      <c r="AA334" s="22" t="s">
        <v>58</v>
      </c>
      <c r="AB334" s="22" t="s">
        <v>58</v>
      </c>
      <c r="AC334" s="22" t="s">
        <v>58</v>
      </c>
      <c r="AD334" s="22" t="s">
        <v>58</v>
      </c>
      <c r="AE334" s="22" t="s">
        <v>61</v>
      </c>
      <c r="AF334" s="22" t="s">
        <v>61</v>
      </c>
      <c r="AG334" s="22" t="s">
        <v>58</v>
      </c>
      <c r="AH334" s="22">
        <v>100.0</v>
      </c>
      <c r="AI334" s="22">
        <v>5000.0</v>
      </c>
      <c r="AJ334" s="22">
        <v>100.0</v>
      </c>
      <c r="AK334" s="22">
        <v>0.0</v>
      </c>
      <c r="AL334" s="22"/>
      <c r="AM334" s="22"/>
      <c r="AN334" s="22"/>
      <c r="AO334" s="22"/>
    </row>
    <row r="335" ht="15.75" customHeight="1">
      <c r="A335" s="22">
        <v>327.0</v>
      </c>
      <c r="B335" s="22" t="s">
        <v>2737</v>
      </c>
      <c r="C335" s="22" t="s">
        <v>2739</v>
      </c>
      <c r="D335" s="66" t="s">
        <v>2740</v>
      </c>
      <c r="E335" s="22" t="s">
        <v>49</v>
      </c>
      <c r="F335" s="42" t="s">
        <v>2741</v>
      </c>
      <c r="G335" s="81" t="s">
        <v>2743</v>
      </c>
      <c r="H335" s="22" t="s">
        <v>860</v>
      </c>
      <c r="I335" s="22" t="s">
        <v>861</v>
      </c>
      <c r="J335" s="22" t="s">
        <v>74</v>
      </c>
      <c r="K335" s="22" t="s">
        <v>55</v>
      </c>
      <c r="L335" s="22" t="s">
        <v>56</v>
      </c>
      <c r="M335" s="22" t="s">
        <v>57</v>
      </c>
      <c r="N335" s="22" t="s">
        <v>58</v>
      </c>
      <c r="O335" s="22">
        <v>500.0</v>
      </c>
      <c r="P335" s="22">
        <v>800.0</v>
      </c>
      <c r="Q335" s="22" t="s">
        <v>59</v>
      </c>
      <c r="R335" s="22" t="s">
        <v>58</v>
      </c>
      <c r="S335" s="22" t="s">
        <v>58</v>
      </c>
      <c r="T335" s="22"/>
      <c r="U335" s="22"/>
      <c r="V335" s="22" t="s">
        <v>61</v>
      </c>
      <c r="W335" s="22" t="s">
        <v>58</v>
      </c>
      <c r="X335" s="22" t="s">
        <v>58</v>
      </c>
      <c r="Y335" s="22" t="s">
        <v>58</v>
      </c>
      <c r="Z335" s="22" t="s">
        <v>58</v>
      </c>
      <c r="AA335" s="22" t="s">
        <v>58</v>
      </c>
      <c r="AB335" s="22" t="s">
        <v>58</v>
      </c>
      <c r="AC335" s="22" t="s">
        <v>58</v>
      </c>
      <c r="AD335" s="22" t="s">
        <v>58</v>
      </c>
      <c r="AE335" s="22" t="s">
        <v>61</v>
      </c>
      <c r="AF335" s="22" t="s">
        <v>61</v>
      </c>
      <c r="AG335" s="22" t="s">
        <v>58</v>
      </c>
      <c r="AH335" s="22">
        <v>50.0</v>
      </c>
      <c r="AI335" s="22">
        <v>5000.0</v>
      </c>
      <c r="AJ335" s="22">
        <v>50.0</v>
      </c>
      <c r="AK335" s="22">
        <v>0.0</v>
      </c>
      <c r="AL335" s="22"/>
      <c r="AM335" s="22"/>
      <c r="AN335" s="22"/>
      <c r="AO335" s="22"/>
    </row>
    <row r="336" ht="15.75" customHeight="1">
      <c r="A336" s="22">
        <v>328.0</v>
      </c>
      <c r="B336" s="22" t="s">
        <v>2749</v>
      </c>
      <c r="C336" s="22" t="s">
        <v>2750</v>
      </c>
      <c r="D336" s="66" t="s">
        <v>2752</v>
      </c>
      <c r="E336" s="22" t="s">
        <v>49</v>
      </c>
      <c r="F336" s="24" t="s">
        <v>69</v>
      </c>
      <c r="G336" s="24" t="s">
        <v>69</v>
      </c>
      <c r="H336" s="22" t="s">
        <v>285</v>
      </c>
      <c r="I336" s="22" t="s">
        <v>286</v>
      </c>
      <c r="J336" s="22" t="s">
        <v>74</v>
      </c>
      <c r="K336" s="22" t="s">
        <v>55</v>
      </c>
      <c r="L336" s="22" t="s">
        <v>56</v>
      </c>
      <c r="M336" s="22" t="s">
        <v>57</v>
      </c>
      <c r="N336" s="22" t="s">
        <v>58</v>
      </c>
      <c r="O336" s="22">
        <v>2000.0</v>
      </c>
      <c r="P336" s="22"/>
      <c r="Q336" s="22" t="s">
        <v>59</v>
      </c>
      <c r="R336" s="22" t="s">
        <v>58</v>
      </c>
      <c r="S336" s="22" t="s">
        <v>58</v>
      </c>
      <c r="T336" s="22"/>
      <c r="U336" s="22"/>
      <c r="V336" s="22" t="s">
        <v>61</v>
      </c>
      <c r="W336" s="22" t="s">
        <v>58</v>
      </c>
      <c r="X336" s="22" t="s">
        <v>58</v>
      </c>
      <c r="Y336" s="22" t="s">
        <v>58</v>
      </c>
      <c r="Z336" s="22" t="s">
        <v>58</v>
      </c>
      <c r="AA336" s="22" t="s">
        <v>58</v>
      </c>
      <c r="AB336" s="22" t="s">
        <v>58</v>
      </c>
      <c r="AC336" s="22" t="s">
        <v>58</v>
      </c>
      <c r="AD336" s="22" t="s">
        <v>58</v>
      </c>
      <c r="AE336" s="22" t="s">
        <v>61</v>
      </c>
      <c r="AF336" s="22" t="s">
        <v>61</v>
      </c>
      <c r="AG336" s="22" t="s">
        <v>58</v>
      </c>
      <c r="AH336" s="22">
        <v>1500.0</v>
      </c>
      <c r="AI336" s="22">
        <v>1500.0</v>
      </c>
      <c r="AJ336" s="22">
        <v>1500.0</v>
      </c>
      <c r="AK336" s="22">
        <v>0.0</v>
      </c>
      <c r="AL336" s="22"/>
      <c r="AM336" s="22"/>
      <c r="AN336" s="22"/>
      <c r="AO336" s="22"/>
    </row>
    <row r="337" ht="15.75" customHeight="1">
      <c r="A337" s="22">
        <v>329.0</v>
      </c>
      <c r="B337" s="22" t="s">
        <v>2755</v>
      </c>
      <c r="C337" s="22" t="s">
        <v>2756</v>
      </c>
      <c r="D337" s="66" t="s">
        <v>2757</v>
      </c>
      <c r="E337" s="22" t="s">
        <v>49</v>
      </c>
      <c r="F337" s="42" t="s">
        <v>2758</v>
      </c>
      <c r="G337" s="81" t="s">
        <v>2761</v>
      </c>
      <c r="H337" s="22" t="s">
        <v>303</v>
      </c>
      <c r="I337" s="22" t="s">
        <v>303</v>
      </c>
      <c r="J337" s="22" t="s">
        <v>74</v>
      </c>
      <c r="K337" s="22" t="s">
        <v>55</v>
      </c>
      <c r="L337" s="22" t="s">
        <v>56</v>
      </c>
      <c r="M337" s="22" t="s">
        <v>57</v>
      </c>
      <c r="N337" s="22" t="s">
        <v>58</v>
      </c>
      <c r="O337" s="22">
        <v>500.0</v>
      </c>
      <c r="P337" s="22"/>
      <c r="Q337" s="22" t="s">
        <v>59</v>
      </c>
      <c r="R337" s="22" t="s">
        <v>58</v>
      </c>
      <c r="S337" s="22" t="s">
        <v>58</v>
      </c>
      <c r="T337" s="22"/>
      <c r="U337" s="22"/>
      <c r="V337" s="22" t="s">
        <v>61</v>
      </c>
      <c r="W337" s="22" t="s">
        <v>58</v>
      </c>
      <c r="X337" s="22" t="s">
        <v>58</v>
      </c>
      <c r="Y337" s="22" t="s">
        <v>58</v>
      </c>
      <c r="Z337" s="22" t="s">
        <v>58</v>
      </c>
      <c r="AA337" s="22" t="s">
        <v>58</v>
      </c>
      <c r="AB337" s="22" t="s">
        <v>58</v>
      </c>
      <c r="AC337" s="22" t="s">
        <v>58</v>
      </c>
      <c r="AD337" s="22" t="s">
        <v>58</v>
      </c>
      <c r="AE337" s="22" t="s">
        <v>61</v>
      </c>
      <c r="AF337" s="22" t="s">
        <v>61</v>
      </c>
      <c r="AG337" s="22" t="s">
        <v>58</v>
      </c>
      <c r="AH337" s="22">
        <v>100.0</v>
      </c>
      <c r="AI337" s="22">
        <v>1000.0</v>
      </c>
      <c r="AJ337" s="22">
        <v>100.0</v>
      </c>
      <c r="AK337" s="22">
        <v>0.0</v>
      </c>
      <c r="AL337" s="22"/>
      <c r="AM337" s="22"/>
      <c r="AN337" s="22"/>
      <c r="AO337" s="22"/>
    </row>
    <row r="338" ht="15.75" customHeight="1">
      <c r="A338" s="22">
        <v>330.0</v>
      </c>
      <c r="B338" s="22" t="s">
        <v>1215</v>
      </c>
      <c r="C338" s="22" t="s">
        <v>1216</v>
      </c>
      <c r="D338" s="66" t="s">
        <v>2764</v>
      </c>
      <c r="E338" s="22" t="s">
        <v>49</v>
      </c>
      <c r="F338" s="42" t="s">
        <v>2765</v>
      </c>
      <c r="G338" s="24">
        <v>9.64384303E9</v>
      </c>
      <c r="H338" s="22" t="s">
        <v>142</v>
      </c>
      <c r="I338" s="22" t="s">
        <v>144</v>
      </c>
      <c r="J338" s="22" t="s">
        <v>74</v>
      </c>
      <c r="K338" s="22" t="s">
        <v>55</v>
      </c>
      <c r="L338" s="22" t="s">
        <v>56</v>
      </c>
      <c r="M338" s="22" t="s">
        <v>57</v>
      </c>
      <c r="N338" s="22" t="s">
        <v>58</v>
      </c>
      <c r="O338" s="22">
        <v>600.0</v>
      </c>
      <c r="P338" s="22">
        <v>1200.0</v>
      </c>
      <c r="Q338" s="22" t="s">
        <v>59</v>
      </c>
      <c r="R338" s="22" t="s">
        <v>58</v>
      </c>
      <c r="S338" s="22" t="s">
        <v>58</v>
      </c>
      <c r="T338" s="22"/>
      <c r="U338" s="22"/>
      <c r="V338" s="22" t="s">
        <v>61</v>
      </c>
      <c r="W338" s="22" t="s">
        <v>58</v>
      </c>
      <c r="X338" s="22" t="s">
        <v>58</v>
      </c>
      <c r="Y338" s="22" t="s">
        <v>58</v>
      </c>
      <c r="Z338" s="22" t="s">
        <v>58</v>
      </c>
      <c r="AA338" s="22" t="s">
        <v>58</v>
      </c>
      <c r="AB338" s="22" t="s">
        <v>58</v>
      </c>
      <c r="AC338" s="22" t="s">
        <v>58</v>
      </c>
      <c r="AD338" s="22" t="s">
        <v>58</v>
      </c>
      <c r="AE338" s="22" t="s">
        <v>61</v>
      </c>
      <c r="AF338" s="22" t="s">
        <v>61</v>
      </c>
      <c r="AG338" s="22" t="s">
        <v>58</v>
      </c>
      <c r="AH338" s="22">
        <v>25.0</v>
      </c>
      <c r="AI338" s="22">
        <v>1500.0</v>
      </c>
      <c r="AJ338" s="22">
        <v>25.0</v>
      </c>
      <c r="AK338" s="22">
        <v>0.0</v>
      </c>
      <c r="AL338" s="22"/>
      <c r="AM338" s="22"/>
      <c r="AN338" s="22"/>
      <c r="AO338" s="22"/>
    </row>
    <row r="339" ht="15.75" customHeight="1">
      <c r="A339" s="22">
        <v>331.0</v>
      </c>
      <c r="B339" s="22" t="s">
        <v>2773</v>
      </c>
      <c r="C339" s="22" t="s">
        <v>2774</v>
      </c>
      <c r="D339" s="66" t="s">
        <v>2775</v>
      </c>
      <c r="E339" s="22" t="s">
        <v>49</v>
      </c>
      <c r="F339" s="42" t="s">
        <v>2776</v>
      </c>
      <c r="G339" s="96" t="s">
        <v>2778</v>
      </c>
      <c r="H339" s="22" t="s">
        <v>123</v>
      </c>
      <c r="I339" s="22" t="s">
        <v>124</v>
      </c>
      <c r="J339" s="22" t="s">
        <v>74</v>
      </c>
      <c r="K339" s="22" t="s">
        <v>55</v>
      </c>
      <c r="L339" s="22" t="s">
        <v>56</v>
      </c>
      <c r="M339" s="22" t="s">
        <v>57</v>
      </c>
      <c r="N339" s="22" t="s">
        <v>58</v>
      </c>
      <c r="O339" s="22">
        <v>850.0</v>
      </c>
      <c r="P339" s="22">
        <v>999.0</v>
      </c>
      <c r="Q339" s="22" t="s">
        <v>59</v>
      </c>
      <c r="R339" s="22" t="s">
        <v>58</v>
      </c>
      <c r="S339" s="22" t="s">
        <v>58</v>
      </c>
      <c r="T339" s="22"/>
      <c r="U339" s="22"/>
      <c r="V339" s="22" t="s">
        <v>61</v>
      </c>
      <c r="W339" s="22" t="s">
        <v>58</v>
      </c>
      <c r="X339" s="22" t="s">
        <v>58</v>
      </c>
      <c r="Y339" s="22" t="s">
        <v>58</v>
      </c>
      <c r="Z339" s="22" t="s">
        <v>58</v>
      </c>
      <c r="AA339" s="22" t="s">
        <v>58</v>
      </c>
      <c r="AB339" s="22" t="s">
        <v>58</v>
      </c>
      <c r="AC339" s="22" t="s">
        <v>58</v>
      </c>
      <c r="AD339" s="22" t="s">
        <v>58</v>
      </c>
      <c r="AE339" s="22" t="s">
        <v>61</v>
      </c>
      <c r="AF339" s="22" t="s">
        <v>61</v>
      </c>
      <c r="AG339" s="22" t="s">
        <v>58</v>
      </c>
      <c r="AH339" s="22">
        <v>50.0</v>
      </c>
      <c r="AI339" s="22">
        <v>2000.0</v>
      </c>
      <c r="AJ339" s="22">
        <v>50.0</v>
      </c>
      <c r="AK339" s="22">
        <v>0.0</v>
      </c>
      <c r="AL339" s="22"/>
      <c r="AM339" s="22"/>
      <c r="AN339" s="22"/>
      <c r="AO339" s="22"/>
    </row>
    <row r="340" ht="15.75" customHeight="1">
      <c r="A340" s="22">
        <v>332.0</v>
      </c>
      <c r="B340" s="22" t="s">
        <v>1342</v>
      </c>
      <c r="C340" s="22" t="s">
        <v>1343</v>
      </c>
      <c r="D340" s="66" t="s">
        <v>1344</v>
      </c>
      <c r="E340" s="22" t="s">
        <v>49</v>
      </c>
      <c r="F340" s="24" t="s">
        <v>69</v>
      </c>
      <c r="G340" s="24" t="s">
        <v>69</v>
      </c>
      <c r="H340" s="22" t="s">
        <v>75</v>
      </c>
      <c r="I340" s="22" t="s">
        <v>76</v>
      </c>
      <c r="J340" s="22" t="s">
        <v>76</v>
      </c>
      <c r="K340" s="22" t="s">
        <v>55</v>
      </c>
      <c r="L340" s="22" t="s">
        <v>56</v>
      </c>
      <c r="M340" s="22" t="s">
        <v>57</v>
      </c>
      <c r="N340" s="22" t="s">
        <v>58</v>
      </c>
      <c r="O340" s="22">
        <v>699.0</v>
      </c>
      <c r="P340" s="22">
        <v>1099.0</v>
      </c>
      <c r="Q340" s="22" t="s">
        <v>59</v>
      </c>
      <c r="R340" s="22" t="s">
        <v>58</v>
      </c>
      <c r="S340" s="22" t="s">
        <v>58</v>
      </c>
      <c r="T340" s="22"/>
      <c r="U340" s="22"/>
      <c r="V340" s="22" t="s">
        <v>61</v>
      </c>
      <c r="W340" s="22" t="s">
        <v>58</v>
      </c>
      <c r="X340" s="22" t="s">
        <v>58</v>
      </c>
      <c r="Y340" s="22" t="s">
        <v>58</v>
      </c>
      <c r="Z340" s="22" t="s">
        <v>58</v>
      </c>
      <c r="AA340" s="22" t="s">
        <v>58</v>
      </c>
      <c r="AB340" s="22" t="s">
        <v>58</v>
      </c>
      <c r="AC340" s="22" t="s">
        <v>58</v>
      </c>
      <c r="AD340" s="22" t="s">
        <v>58</v>
      </c>
      <c r="AE340" s="22" t="s">
        <v>61</v>
      </c>
      <c r="AF340" s="22" t="s">
        <v>61</v>
      </c>
      <c r="AG340" s="22" t="s">
        <v>58</v>
      </c>
      <c r="AH340" s="22">
        <v>25.0</v>
      </c>
      <c r="AI340" s="22">
        <v>5000.0</v>
      </c>
      <c r="AJ340" s="22">
        <v>25.0</v>
      </c>
      <c r="AK340" s="22">
        <v>0.0</v>
      </c>
      <c r="AL340" s="22"/>
      <c r="AM340" s="22"/>
      <c r="AN340" s="22"/>
      <c r="AO340" s="22"/>
    </row>
    <row r="341" ht="15.75" customHeight="1">
      <c r="A341" s="22">
        <v>333.0</v>
      </c>
      <c r="B341" s="22" t="s">
        <v>1461</v>
      </c>
      <c r="C341" s="22" t="s">
        <v>1462</v>
      </c>
      <c r="D341" s="66" t="s">
        <v>1463</v>
      </c>
      <c r="E341" s="22" t="s">
        <v>49</v>
      </c>
      <c r="F341" s="24" t="s">
        <v>69</v>
      </c>
      <c r="G341" s="24" t="s">
        <v>69</v>
      </c>
      <c r="H341" s="22" t="s">
        <v>1466</v>
      </c>
      <c r="I341" s="22" t="s">
        <v>390</v>
      </c>
      <c r="J341" s="22" t="s">
        <v>390</v>
      </c>
      <c r="K341" s="22" t="s">
        <v>55</v>
      </c>
      <c r="L341" s="22" t="s">
        <v>56</v>
      </c>
      <c r="M341" s="22" t="s">
        <v>57</v>
      </c>
      <c r="N341" s="22" t="s">
        <v>58</v>
      </c>
      <c r="O341" s="22">
        <v>300.0</v>
      </c>
      <c r="P341" s="22"/>
      <c r="Q341" s="22" t="s">
        <v>59</v>
      </c>
      <c r="R341" s="22" t="s">
        <v>58</v>
      </c>
      <c r="S341" s="22" t="s">
        <v>58</v>
      </c>
      <c r="T341" s="22"/>
      <c r="U341" s="22"/>
      <c r="V341" s="22" t="s">
        <v>61</v>
      </c>
      <c r="W341" s="22" t="s">
        <v>58</v>
      </c>
      <c r="X341" s="22" t="s">
        <v>58</v>
      </c>
      <c r="Y341" s="22" t="s">
        <v>58</v>
      </c>
      <c r="Z341" s="22" t="s">
        <v>58</v>
      </c>
      <c r="AA341" s="22" t="s">
        <v>58</v>
      </c>
      <c r="AB341" s="22" t="s">
        <v>58</v>
      </c>
      <c r="AC341" s="22" t="s">
        <v>58</v>
      </c>
      <c r="AD341" s="22" t="s">
        <v>58</v>
      </c>
      <c r="AE341" s="22" t="s">
        <v>61</v>
      </c>
      <c r="AF341" s="22" t="s">
        <v>61</v>
      </c>
      <c r="AG341" s="22" t="s">
        <v>58</v>
      </c>
      <c r="AH341" s="22">
        <v>150.0</v>
      </c>
      <c r="AI341" s="22">
        <v>3000.0</v>
      </c>
      <c r="AJ341" s="22">
        <v>150.0</v>
      </c>
      <c r="AK341" s="22">
        <v>0.0</v>
      </c>
      <c r="AL341" s="22"/>
      <c r="AM341" s="22"/>
      <c r="AN341" s="22"/>
      <c r="AO341" s="22"/>
    </row>
    <row r="342" ht="15.75" customHeight="1">
      <c r="A342" s="22">
        <v>334.0</v>
      </c>
      <c r="B342" s="22" t="s">
        <v>2790</v>
      </c>
      <c r="C342" s="22" t="s">
        <v>2791</v>
      </c>
      <c r="D342" s="66" t="s">
        <v>2792</v>
      </c>
      <c r="E342" s="22" t="s">
        <v>49</v>
      </c>
      <c r="F342" s="42" t="s">
        <v>2793</v>
      </c>
      <c r="G342" s="71" t="s">
        <v>2796</v>
      </c>
      <c r="H342" s="22" t="s">
        <v>2801</v>
      </c>
      <c r="I342" s="22" t="s">
        <v>2802</v>
      </c>
      <c r="J342" s="22" t="s">
        <v>74</v>
      </c>
      <c r="K342" s="22" t="s">
        <v>55</v>
      </c>
      <c r="L342" s="22" t="s">
        <v>56</v>
      </c>
      <c r="M342" s="22" t="s">
        <v>57</v>
      </c>
      <c r="N342" s="22" t="s">
        <v>58</v>
      </c>
      <c r="O342" s="22">
        <v>1000.0</v>
      </c>
      <c r="P342" s="22">
        <v>2000.0</v>
      </c>
      <c r="Q342" s="22" t="s">
        <v>59</v>
      </c>
      <c r="R342" s="22" t="s">
        <v>58</v>
      </c>
      <c r="S342" s="22" t="s">
        <v>58</v>
      </c>
      <c r="T342" s="22"/>
      <c r="U342" s="22"/>
      <c r="V342" s="22" t="s">
        <v>61</v>
      </c>
      <c r="W342" s="22" t="s">
        <v>58</v>
      </c>
      <c r="X342" s="22" t="s">
        <v>58</v>
      </c>
      <c r="Y342" s="22" t="s">
        <v>58</v>
      </c>
      <c r="Z342" s="22" t="s">
        <v>58</v>
      </c>
      <c r="AA342" s="22" t="s">
        <v>58</v>
      </c>
      <c r="AB342" s="22" t="s">
        <v>58</v>
      </c>
      <c r="AC342" s="22" t="s">
        <v>58</v>
      </c>
      <c r="AD342" s="22" t="s">
        <v>58</v>
      </c>
      <c r="AE342" s="22" t="s">
        <v>61</v>
      </c>
      <c r="AF342" s="22" t="s">
        <v>61</v>
      </c>
      <c r="AG342" s="22" t="s">
        <v>58</v>
      </c>
      <c r="AH342" s="22">
        <v>3000.0</v>
      </c>
      <c r="AI342" s="22">
        <v>0.0</v>
      </c>
      <c r="AJ342" s="22">
        <v>3000.0</v>
      </c>
      <c r="AK342" s="22">
        <v>0.0</v>
      </c>
      <c r="AL342" s="22"/>
      <c r="AM342" s="22"/>
      <c r="AN342" s="22"/>
      <c r="AO342" s="22"/>
    </row>
    <row r="343" ht="15.75" customHeight="1">
      <c r="A343" s="22">
        <v>335.0</v>
      </c>
      <c r="B343" s="22" t="s">
        <v>2803</v>
      </c>
      <c r="C343" s="22" t="s">
        <v>2804</v>
      </c>
      <c r="D343" s="66" t="s">
        <v>2805</v>
      </c>
      <c r="E343" s="22" t="s">
        <v>49</v>
      </c>
      <c r="F343" s="42" t="s">
        <v>2806</v>
      </c>
      <c r="G343" s="81" t="s">
        <v>2807</v>
      </c>
      <c r="H343" s="22" t="s">
        <v>513</v>
      </c>
      <c r="I343" s="22" t="s">
        <v>514</v>
      </c>
      <c r="J343" s="22" t="s">
        <v>74</v>
      </c>
      <c r="K343" s="22" t="s">
        <v>55</v>
      </c>
      <c r="L343" s="22" t="s">
        <v>56</v>
      </c>
      <c r="M343" s="22" t="s">
        <v>57</v>
      </c>
      <c r="N343" s="22" t="s">
        <v>58</v>
      </c>
      <c r="O343" s="22">
        <v>400.0</v>
      </c>
      <c r="P343" s="22">
        <v>650.0</v>
      </c>
      <c r="Q343" s="22" t="s">
        <v>59</v>
      </c>
      <c r="R343" s="22" t="s">
        <v>58</v>
      </c>
      <c r="S343" s="22" t="s">
        <v>58</v>
      </c>
      <c r="T343" s="22"/>
      <c r="U343" s="22"/>
      <c r="V343" s="22" t="s">
        <v>61</v>
      </c>
      <c r="W343" s="22" t="s">
        <v>58</v>
      </c>
      <c r="X343" s="22" t="s">
        <v>58</v>
      </c>
      <c r="Y343" s="22" t="s">
        <v>58</v>
      </c>
      <c r="Z343" s="22" t="s">
        <v>58</v>
      </c>
      <c r="AA343" s="22" t="s">
        <v>58</v>
      </c>
      <c r="AB343" s="22" t="s">
        <v>58</v>
      </c>
      <c r="AC343" s="22" t="s">
        <v>58</v>
      </c>
      <c r="AD343" s="22" t="s">
        <v>58</v>
      </c>
      <c r="AE343" s="22" t="s">
        <v>61</v>
      </c>
      <c r="AF343" s="22" t="s">
        <v>61</v>
      </c>
      <c r="AG343" s="22" t="s">
        <v>58</v>
      </c>
      <c r="AH343" s="22">
        <v>100.0</v>
      </c>
      <c r="AI343" s="22">
        <v>1000.0</v>
      </c>
      <c r="AJ343" s="22">
        <v>100.0</v>
      </c>
      <c r="AK343" s="22">
        <v>0.0</v>
      </c>
      <c r="AL343" s="22"/>
      <c r="AM343" s="22"/>
      <c r="AN343" s="22"/>
      <c r="AO343" s="22"/>
    </row>
    <row r="344" ht="15.75" customHeight="1">
      <c r="A344" s="22">
        <v>336.0</v>
      </c>
      <c r="B344" s="22" t="s">
        <v>2808</v>
      </c>
      <c r="C344" s="22" t="s">
        <v>2809</v>
      </c>
      <c r="D344" s="22" t="s">
        <v>2810</v>
      </c>
      <c r="E344" s="22" t="s">
        <v>49</v>
      </c>
      <c r="F344" s="24" t="s">
        <v>69</v>
      </c>
      <c r="G344" s="24" t="s">
        <v>69</v>
      </c>
      <c r="H344" s="22" t="s">
        <v>303</v>
      </c>
      <c r="I344" s="22" t="s">
        <v>303</v>
      </c>
      <c r="J344" s="22" t="s">
        <v>74</v>
      </c>
      <c r="K344" s="22" t="s">
        <v>55</v>
      </c>
      <c r="L344" s="22" t="s">
        <v>56</v>
      </c>
      <c r="M344" s="22" t="s">
        <v>57</v>
      </c>
      <c r="N344" s="22" t="s">
        <v>58</v>
      </c>
      <c r="O344" s="22">
        <v>650.0</v>
      </c>
      <c r="P344" s="22">
        <v>750.0</v>
      </c>
      <c r="Q344" s="22" t="s">
        <v>59</v>
      </c>
      <c r="R344" s="22" t="s">
        <v>58</v>
      </c>
      <c r="S344" s="22" t="s">
        <v>58</v>
      </c>
      <c r="T344" s="22" t="s">
        <v>2813</v>
      </c>
      <c r="U344" s="22"/>
      <c r="V344" s="22" t="s">
        <v>61</v>
      </c>
      <c r="W344" s="22" t="s">
        <v>58</v>
      </c>
      <c r="X344" s="22" t="s">
        <v>58</v>
      </c>
      <c r="Y344" s="22" t="s">
        <v>58</v>
      </c>
      <c r="Z344" s="22" t="s">
        <v>58</v>
      </c>
      <c r="AA344" s="22" t="s">
        <v>58</v>
      </c>
      <c r="AB344" s="22" t="s">
        <v>58</v>
      </c>
      <c r="AC344" s="22" t="s">
        <v>58</v>
      </c>
      <c r="AD344" s="22" t="s">
        <v>58</v>
      </c>
      <c r="AE344" s="22" t="s">
        <v>61</v>
      </c>
      <c r="AF344" s="22" t="s">
        <v>61</v>
      </c>
      <c r="AG344" s="22" t="s">
        <v>58</v>
      </c>
      <c r="AH344" s="22">
        <v>0.0</v>
      </c>
      <c r="AI344" s="22">
        <v>0.0</v>
      </c>
      <c r="AJ344" s="22">
        <v>0.0</v>
      </c>
      <c r="AK344" s="22">
        <v>0.0</v>
      </c>
      <c r="AL344" s="22"/>
      <c r="AM344" s="22"/>
      <c r="AN344" s="22"/>
      <c r="AO344" s="22"/>
    </row>
    <row r="345" ht="15.75" customHeight="1">
      <c r="A345" s="22">
        <v>337.0</v>
      </c>
      <c r="B345" s="22" t="s">
        <v>1471</v>
      </c>
      <c r="C345" s="22" t="s">
        <v>1472</v>
      </c>
      <c r="D345" s="66" t="s">
        <v>2814</v>
      </c>
      <c r="E345" s="22" t="s">
        <v>49</v>
      </c>
      <c r="F345" s="42" t="s">
        <v>1740</v>
      </c>
      <c r="G345" s="71" t="s">
        <v>2815</v>
      </c>
      <c r="H345" s="22" t="s">
        <v>1477</v>
      </c>
      <c r="I345" s="22" t="s">
        <v>931</v>
      </c>
      <c r="J345" s="22" t="s">
        <v>931</v>
      </c>
      <c r="K345" s="22" t="s">
        <v>55</v>
      </c>
      <c r="L345" s="22" t="s">
        <v>56</v>
      </c>
      <c r="M345" s="22" t="s">
        <v>57</v>
      </c>
      <c r="N345" s="22" t="s">
        <v>58</v>
      </c>
      <c r="O345" s="22">
        <v>350.0</v>
      </c>
      <c r="P345" s="22">
        <v>500.0</v>
      </c>
      <c r="Q345" s="22" t="s">
        <v>59</v>
      </c>
      <c r="R345" s="22" t="s">
        <v>58</v>
      </c>
      <c r="S345" s="22" t="s">
        <v>58</v>
      </c>
      <c r="T345" s="22"/>
      <c r="U345" s="22"/>
      <c r="V345" s="22" t="s">
        <v>61</v>
      </c>
      <c r="W345" s="22" t="s">
        <v>58</v>
      </c>
      <c r="X345" s="22" t="s">
        <v>58</v>
      </c>
      <c r="Y345" s="22" t="s">
        <v>58</v>
      </c>
      <c r="Z345" s="22" t="s">
        <v>58</v>
      </c>
      <c r="AA345" s="22" t="s">
        <v>58</v>
      </c>
      <c r="AB345" s="22" t="s">
        <v>58</v>
      </c>
      <c r="AC345" s="22" t="s">
        <v>58</v>
      </c>
      <c r="AD345" s="22" t="s">
        <v>58</v>
      </c>
      <c r="AE345" s="22" t="s">
        <v>61</v>
      </c>
      <c r="AF345" s="22" t="s">
        <v>61</v>
      </c>
      <c r="AG345" s="22" t="s">
        <v>58</v>
      </c>
      <c r="AH345" s="22">
        <v>50.0</v>
      </c>
      <c r="AI345" s="22">
        <v>600.0</v>
      </c>
      <c r="AJ345" s="22">
        <v>50.0</v>
      </c>
      <c r="AK345" s="22">
        <v>0.0</v>
      </c>
      <c r="AL345" s="22"/>
      <c r="AM345" s="22"/>
      <c r="AN345" s="22"/>
      <c r="AO345" s="22"/>
    </row>
    <row r="346" ht="30.75" customHeight="1">
      <c r="A346" s="22">
        <v>338.0</v>
      </c>
      <c r="B346" s="22" t="s">
        <v>207</v>
      </c>
      <c r="C346" s="22" t="s">
        <v>208</v>
      </c>
      <c r="D346" s="66" t="s">
        <v>210</v>
      </c>
      <c r="E346" s="22" t="s">
        <v>49</v>
      </c>
      <c r="F346" s="42" t="s">
        <v>2830</v>
      </c>
      <c r="G346" s="54">
        <v>9.667603072E9</v>
      </c>
      <c r="H346" s="22" t="s">
        <v>118</v>
      </c>
      <c r="I346" s="22" t="s">
        <v>92</v>
      </c>
      <c r="J346" s="22" t="s">
        <v>92</v>
      </c>
      <c r="K346" s="22" t="s">
        <v>55</v>
      </c>
      <c r="L346" s="22" t="s">
        <v>56</v>
      </c>
      <c r="M346" s="22" t="s">
        <v>57</v>
      </c>
      <c r="N346" s="22" t="s">
        <v>58</v>
      </c>
      <c r="O346" s="22">
        <v>450.0</v>
      </c>
      <c r="P346" s="22">
        <v>650.0</v>
      </c>
      <c r="Q346" s="22" t="s">
        <v>59</v>
      </c>
      <c r="R346" s="22" t="s">
        <v>58</v>
      </c>
      <c r="S346" s="22" t="s">
        <v>58</v>
      </c>
      <c r="T346" s="22"/>
      <c r="U346" s="22"/>
      <c r="V346" s="22" t="s">
        <v>61</v>
      </c>
      <c r="W346" s="22" t="s">
        <v>58</v>
      </c>
      <c r="X346" s="22" t="s">
        <v>58</v>
      </c>
      <c r="Y346" s="22" t="s">
        <v>58</v>
      </c>
      <c r="Z346" s="22" t="s">
        <v>58</v>
      </c>
      <c r="AA346" s="22" t="s">
        <v>58</v>
      </c>
      <c r="AB346" s="22" t="s">
        <v>58</v>
      </c>
      <c r="AC346" s="22" t="s">
        <v>58</v>
      </c>
      <c r="AD346" s="22" t="s">
        <v>58</v>
      </c>
      <c r="AE346" s="22" t="s">
        <v>61</v>
      </c>
      <c r="AF346" s="22" t="s">
        <v>61</v>
      </c>
      <c r="AG346" s="22" t="s">
        <v>58</v>
      </c>
      <c r="AH346" s="22">
        <v>30.0</v>
      </c>
      <c r="AI346" s="22">
        <v>250.0</v>
      </c>
      <c r="AJ346" s="22">
        <v>30.0</v>
      </c>
      <c r="AK346" s="22">
        <v>0.0</v>
      </c>
      <c r="AL346" s="22"/>
      <c r="AM346" s="22"/>
      <c r="AN346" s="22"/>
      <c r="AO346" s="22"/>
    </row>
    <row r="347" ht="15.75" customHeight="1">
      <c r="A347" s="22">
        <v>339.0</v>
      </c>
      <c r="B347" s="22" t="s">
        <v>2835</v>
      </c>
      <c r="C347" s="22" t="s">
        <v>2836</v>
      </c>
      <c r="D347" s="22" t="s">
        <v>2837</v>
      </c>
      <c r="E347" s="22" t="s">
        <v>49</v>
      </c>
      <c r="F347" s="24" t="s">
        <v>69</v>
      </c>
      <c r="G347" s="24" t="s">
        <v>69</v>
      </c>
      <c r="H347" s="22" t="s">
        <v>2251</v>
      </c>
      <c r="I347" s="22" t="s">
        <v>2252</v>
      </c>
      <c r="J347" s="22" t="s">
        <v>74</v>
      </c>
      <c r="K347" s="22" t="s">
        <v>55</v>
      </c>
      <c r="L347" s="22" t="s">
        <v>56</v>
      </c>
      <c r="M347" s="22" t="s">
        <v>57</v>
      </c>
      <c r="N347" s="22" t="s">
        <v>58</v>
      </c>
      <c r="O347" s="22">
        <v>1100.0</v>
      </c>
      <c r="P347" s="22"/>
      <c r="Q347" s="22" t="s">
        <v>59</v>
      </c>
      <c r="R347" s="22" t="s">
        <v>58</v>
      </c>
      <c r="S347" s="22" t="s">
        <v>58</v>
      </c>
      <c r="T347" s="22" t="s">
        <v>275</v>
      </c>
      <c r="U347" s="22"/>
      <c r="V347" s="22" t="s">
        <v>61</v>
      </c>
      <c r="W347" s="22" t="s">
        <v>58</v>
      </c>
      <c r="X347" s="22" t="s">
        <v>58</v>
      </c>
      <c r="Y347" s="22" t="s">
        <v>58</v>
      </c>
      <c r="Z347" s="22" t="s">
        <v>58</v>
      </c>
      <c r="AA347" s="22" t="s">
        <v>58</v>
      </c>
      <c r="AB347" s="22" t="s">
        <v>58</v>
      </c>
      <c r="AC347" s="22" t="s">
        <v>58</v>
      </c>
      <c r="AD347" s="22" t="s">
        <v>58</v>
      </c>
      <c r="AE347" s="22" t="s">
        <v>61</v>
      </c>
      <c r="AF347" s="22" t="s">
        <v>61</v>
      </c>
      <c r="AG347" s="22" t="s">
        <v>58</v>
      </c>
      <c r="AH347" s="22">
        <v>100.0</v>
      </c>
      <c r="AI347" s="22">
        <v>1000.0</v>
      </c>
      <c r="AJ347" s="22">
        <v>100.0</v>
      </c>
      <c r="AK347" s="22">
        <v>0.0</v>
      </c>
      <c r="AL347" s="22"/>
      <c r="AM347" s="22"/>
      <c r="AN347" s="22"/>
      <c r="AO347" s="22"/>
    </row>
    <row r="348" ht="15.75" customHeight="1">
      <c r="A348" s="22">
        <v>340.0</v>
      </c>
      <c r="B348" s="22" t="s">
        <v>2838</v>
      </c>
      <c r="C348" s="22" t="s">
        <v>2839</v>
      </c>
      <c r="D348" s="66" t="s">
        <v>2840</v>
      </c>
      <c r="E348" s="22" t="s">
        <v>49</v>
      </c>
      <c r="F348" s="24" t="s">
        <v>69</v>
      </c>
      <c r="G348" s="24" t="s">
        <v>69</v>
      </c>
      <c r="H348" s="22" t="s">
        <v>472</v>
      </c>
      <c r="I348" s="22" t="s">
        <v>473</v>
      </c>
      <c r="J348" s="22" t="s">
        <v>74</v>
      </c>
      <c r="K348" s="22" t="s">
        <v>55</v>
      </c>
      <c r="L348" s="22" t="s">
        <v>56</v>
      </c>
      <c r="M348" s="22" t="s">
        <v>57</v>
      </c>
      <c r="N348" s="22" t="s">
        <v>58</v>
      </c>
      <c r="O348" s="22">
        <v>500.0</v>
      </c>
      <c r="P348" s="22">
        <v>1000.0</v>
      </c>
      <c r="Q348" s="22" t="s">
        <v>59</v>
      </c>
      <c r="R348" s="22" t="s">
        <v>58</v>
      </c>
      <c r="S348" s="22" t="s">
        <v>58</v>
      </c>
      <c r="T348" s="22"/>
      <c r="U348" s="22"/>
      <c r="V348" s="22" t="s">
        <v>61</v>
      </c>
      <c r="W348" s="22" t="s">
        <v>58</v>
      </c>
      <c r="X348" s="22" t="s">
        <v>58</v>
      </c>
      <c r="Y348" s="22" t="s">
        <v>58</v>
      </c>
      <c r="Z348" s="22" t="s">
        <v>58</v>
      </c>
      <c r="AA348" s="22" t="s">
        <v>58</v>
      </c>
      <c r="AB348" s="22" t="s">
        <v>58</v>
      </c>
      <c r="AC348" s="22" t="s">
        <v>58</v>
      </c>
      <c r="AD348" s="22" t="s">
        <v>58</v>
      </c>
      <c r="AE348" s="22" t="s">
        <v>61</v>
      </c>
      <c r="AF348" s="22" t="s">
        <v>61</v>
      </c>
      <c r="AG348" s="22" t="s">
        <v>58</v>
      </c>
      <c r="AH348" s="22">
        <v>50.0</v>
      </c>
      <c r="AI348" s="22">
        <v>5000.0</v>
      </c>
      <c r="AJ348" s="22">
        <v>50.0</v>
      </c>
      <c r="AK348" s="22">
        <v>0.0</v>
      </c>
      <c r="AL348" s="22"/>
      <c r="AM348" s="22"/>
      <c r="AN348" s="22"/>
      <c r="AO348" s="22"/>
    </row>
    <row r="349" ht="15.75" customHeight="1">
      <c r="A349" s="22">
        <v>341.0</v>
      </c>
      <c r="B349" s="22" t="s">
        <v>2843</v>
      </c>
      <c r="C349" s="22" t="s">
        <v>2844</v>
      </c>
      <c r="D349" s="22" t="s">
        <v>2845</v>
      </c>
      <c r="E349" s="22" t="s">
        <v>49</v>
      </c>
      <c r="F349" s="42" t="s">
        <v>2846</v>
      </c>
      <c r="G349" s="71" t="s">
        <v>2850</v>
      </c>
      <c r="H349" s="22" t="s">
        <v>303</v>
      </c>
      <c r="I349" s="22" t="s">
        <v>303</v>
      </c>
      <c r="J349" s="22" t="s">
        <v>74</v>
      </c>
      <c r="K349" s="22" t="s">
        <v>55</v>
      </c>
      <c r="L349" s="22" t="s">
        <v>56</v>
      </c>
      <c r="M349" s="22" t="s">
        <v>57</v>
      </c>
      <c r="N349" s="22" t="s">
        <v>58</v>
      </c>
      <c r="O349" s="22">
        <v>300.0</v>
      </c>
      <c r="P349" s="22">
        <v>500.0</v>
      </c>
      <c r="Q349" s="22" t="s">
        <v>59</v>
      </c>
      <c r="R349" s="22" t="s">
        <v>58</v>
      </c>
      <c r="S349" s="22" t="s">
        <v>58</v>
      </c>
      <c r="T349" s="24" t="s">
        <v>2852</v>
      </c>
      <c r="U349" s="24" t="s">
        <v>2853</v>
      </c>
      <c r="V349" s="22" t="s">
        <v>61</v>
      </c>
      <c r="W349" s="22" t="s">
        <v>58</v>
      </c>
      <c r="X349" s="22" t="s">
        <v>58</v>
      </c>
      <c r="Y349" s="22" t="s">
        <v>58</v>
      </c>
      <c r="Z349" s="22" t="s">
        <v>58</v>
      </c>
      <c r="AA349" s="22" t="s">
        <v>58</v>
      </c>
      <c r="AB349" s="22" t="s">
        <v>58</v>
      </c>
      <c r="AC349" s="22" t="s">
        <v>58</v>
      </c>
      <c r="AD349" s="22" t="s">
        <v>58</v>
      </c>
      <c r="AE349" s="22" t="s">
        <v>61</v>
      </c>
      <c r="AF349" s="22" t="s">
        <v>61</v>
      </c>
      <c r="AG349" s="22" t="s">
        <v>58</v>
      </c>
      <c r="AH349" s="22">
        <v>100.0</v>
      </c>
      <c r="AI349" s="22">
        <v>100.0</v>
      </c>
      <c r="AJ349" s="22">
        <v>100.0</v>
      </c>
      <c r="AK349" s="22">
        <v>0.0</v>
      </c>
      <c r="AL349" s="22"/>
      <c r="AM349" s="22"/>
      <c r="AN349" s="22"/>
      <c r="AO349" s="22"/>
    </row>
    <row r="350" ht="15.75" customHeight="1">
      <c r="A350" s="22">
        <v>342.0</v>
      </c>
      <c r="B350" s="22" t="s">
        <v>2859</v>
      </c>
      <c r="C350" s="22" t="s">
        <v>2860</v>
      </c>
      <c r="D350" s="66" t="s">
        <v>2862</v>
      </c>
      <c r="E350" s="22" t="s">
        <v>49</v>
      </c>
      <c r="F350" s="42" t="s">
        <v>2863</v>
      </c>
      <c r="G350" s="81" t="s">
        <v>2864</v>
      </c>
      <c r="H350" s="22" t="s">
        <v>123</v>
      </c>
      <c r="I350" s="22" t="s">
        <v>124</v>
      </c>
      <c r="J350" s="22" t="s">
        <v>74</v>
      </c>
      <c r="K350" s="22" t="s">
        <v>55</v>
      </c>
      <c r="L350" s="22" t="s">
        <v>56</v>
      </c>
      <c r="M350" s="22" t="s">
        <v>57</v>
      </c>
      <c r="N350" s="22" t="s">
        <v>58</v>
      </c>
      <c r="O350" s="22">
        <v>1000.0</v>
      </c>
      <c r="P350" s="22"/>
      <c r="Q350" s="22" t="s">
        <v>59</v>
      </c>
      <c r="R350" s="22" t="s">
        <v>58</v>
      </c>
      <c r="S350" s="22" t="s">
        <v>58</v>
      </c>
      <c r="T350" s="22"/>
      <c r="U350" s="22"/>
      <c r="V350" s="22" t="s">
        <v>61</v>
      </c>
      <c r="W350" s="22" t="s">
        <v>58</v>
      </c>
      <c r="X350" s="22" t="s">
        <v>58</v>
      </c>
      <c r="Y350" s="22" t="s">
        <v>58</v>
      </c>
      <c r="Z350" s="22" t="s">
        <v>58</v>
      </c>
      <c r="AA350" s="22" t="s">
        <v>58</v>
      </c>
      <c r="AB350" s="22" t="s">
        <v>58</v>
      </c>
      <c r="AC350" s="22" t="s">
        <v>58</v>
      </c>
      <c r="AD350" s="22" t="s">
        <v>58</v>
      </c>
      <c r="AE350" s="22" t="s">
        <v>61</v>
      </c>
      <c r="AF350" s="22" t="s">
        <v>61</v>
      </c>
      <c r="AG350" s="22" t="s">
        <v>58</v>
      </c>
      <c r="AH350" s="22">
        <v>200.0</v>
      </c>
      <c r="AI350" s="22">
        <v>5000.0</v>
      </c>
      <c r="AJ350" s="22">
        <v>200.0</v>
      </c>
      <c r="AK350" s="22">
        <v>0.0</v>
      </c>
      <c r="AL350" s="22"/>
      <c r="AM350" s="22"/>
      <c r="AN350" s="22"/>
      <c r="AO350" s="22"/>
    </row>
    <row r="351" ht="15.75" customHeight="1">
      <c r="A351" s="22">
        <v>343.0</v>
      </c>
      <c r="B351" s="22" t="s">
        <v>2866</v>
      </c>
      <c r="C351" s="22" t="s">
        <v>2867</v>
      </c>
      <c r="D351" s="66" t="s">
        <v>2868</v>
      </c>
      <c r="E351" s="22" t="s">
        <v>49</v>
      </c>
      <c r="F351" s="42" t="s">
        <v>2869</v>
      </c>
      <c r="G351" s="82">
        <v>9.310100002E9</v>
      </c>
      <c r="H351" s="22" t="s">
        <v>1336</v>
      </c>
      <c r="I351" s="22" t="s">
        <v>1337</v>
      </c>
      <c r="J351" s="22" t="s">
        <v>74</v>
      </c>
      <c r="K351" s="22" t="s">
        <v>55</v>
      </c>
      <c r="L351" s="22" t="s">
        <v>56</v>
      </c>
      <c r="M351" s="22" t="s">
        <v>57</v>
      </c>
      <c r="N351" s="22" t="s">
        <v>58</v>
      </c>
      <c r="O351" s="22">
        <v>1100.0</v>
      </c>
      <c r="P351" s="22">
        <v>500.0</v>
      </c>
      <c r="Q351" s="22" t="s">
        <v>59</v>
      </c>
      <c r="R351" s="22" t="s">
        <v>58</v>
      </c>
      <c r="S351" s="22" t="s">
        <v>58</v>
      </c>
      <c r="T351" s="22"/>
      <c r="U351" s="22"/>
      <c r="V351" s="22" t="s">
        <v>61</v>
      </c>
      <c r="W351" s="22" t="s">
        <v>58</v>
      </c>
      <c r="X351" s="22" t="s">
        <v>58</v>
      </c>
      <c r="Y351" s="22" t="s">
        <v>58</v>
      </c>
      <c r="Z351" s="22" t="s">
        <v>58</v>
      </c>
      <c r="AA351" s="22" t="s">
        <v>58</v>
      </c>
      <c r="AB351" s="22" t="s">
        <v>58</v>
      </c>
      <c r="AC351" s="22" t="s">
        <v>58</v>
      </c>
      <c r="AD351" s="22" t="s">
        <v>58</v>
      </c>
      <c r="AE351" s="22" t="s">
        <v>61</v>
      </c>
      <c r="AF351" s="22" t="s">
        <v>61</v>
      </c>
      <c r="AG351" s="22" t="s">
        <v>58</v>
      </c>
      <c r="AH351" s="22">
        <v>50.0</v>
      </c>
      <c r="AI351" s="22">
        <v>1000.0</v>
      </c>
      <c r="AJ351" s="22">
        <v>50.0</v>
      </c>
      <c r="AK351" s="22">
        <v>0.0</v>
      </c>
      <c r="AL351" s="22"/>
      <c r="AM351" s="22"/>
      <c r="AN351" s="22"/>
      <c r="AO351" s="22"/>
    </row>
    <row r="352" ht="15.75" customHeight="1">
      <c r="A352" s="22">
        <v>344.0</v>
      </c>
      <c r="B352" s="22" t="s">
        <v>1328</v>
      </c>
      <c r="C352" s="22" t="s">
        <v>1329</v>
      </c>
      <c r="D352" s="66" t="s">
        <v>1330</v>
      </c>
      <c r="E352" s="22" t="s">
        <v>49</v>
      </c>
      <c r="F352" s="42" t="s">
        <v>2877</v>
      </c>
      <c r="G352" s="81" t="s">
        <v>2878</v>
      </c>
      <c r="H352" s="22" t="s">
        <v>75</v>
      </c>
      <c r="I352" s="22" t="s">
        <v>76</v>
      </c>
      <c r="J352" s="22" t="s">
        <v>76</v>
      </c>
      <c r="K352" s="22" t="s">
        <v>55</v>
      </c>
      <c r="L352" s="22" t="s">
        <v>56</v>
      </c>
      <c r="M352" s="22" t="s">
        <v>57</v>
      </c>
      <c r="N352" s="22" t="s">
        <v>58</v>
      </c>
      <c r="O352" s="22">
        <v>700.0</v>
      </c>
      <c r="P352" s="22">
        <v>800.0</v>
      </c>
      <c r="Q352" s="22" t="s">
        <v>59</v>
      </c>
      <c r="R352" s="22" t="s">
        <v>58</v>
      </c>
      <c r="S352" s="22" t="s">
        <v>58</v>
      </c>
      <c r="T352" s="22"/>
      <c r="U352" s="22"/>
      <c r="V352" s="22" t="s">
        <v>61</v>
      </c>
      <c r="W352" s="22" t="s">
        <v>58</v>
      </c>
      <c r="X352" s="22" t="s">
        <v>58</v>
      </c>
      <c r="Y352" s="22" t="s">
        <v>58</v>
      </c>
      <c r="Z352" s="22" t="s">
        <v>58</v>
      </c>
      <c r="AA352" s="22" t="s">
        <v>58</v>
      </c>
      <c r="AB352" s="22" t="s">
        <v>58</v>
      </c>
      <c r="AC352" s="22" t="s">
        <v>58</v>
      </c>
      <c r="AD352" s="22" t="s">
        <v>58</v>
      </c>
      <c r="AE352" s="22" t="s">
        <v>61</v>
      </c>
      <c r="AF352" s="22" t="s">
        <v>61</v>
      </c>
      <c r="AG352" s="22" t="s">
        <v>58</v>
      </c>
      <c r="AH352" s="22">
        <v>70.0</v>
      </c>
      <c r="AI352" s="22">
        <v>5000.0</v>
      </c>
      <c r="AJ352" s="22">
        <v>70.0</v>
      </c>
      <c r="AK352" s="22">
        <v>0.0</v>
      </c>
      <c r="AL352" s="22"/>
      <c r="AM352" s="22"/>
      <c r="AN352" s="22"/>
      <c r="AO352" s="22"/>
    </row>
    <row r="353" ht="15.75" customHeight="1">
      <c r="A353" s="22">
        <v>345.0</v>
      </c>
      <c r="B353" s="22" t="s">
        <v>2880</v>
      </c>
      <c r="C353" s="22" t="s">
        <v>2881</v>
      </c>
      <c r="D353" s="22" t="s">
        <v>2882</v>
      </c>
      <c r="E353" s="22" t="s">
        <v>49</v>
      </c>
      <c r="F353" s="27" t="s">
        <v>2883</v>
      </c>
      <c r="G353" s="22">
        <f>91-9911555166
</f>
        <v>-9911555075</v>
      </c>
      <c r="H353" s="22" t="s">
        <v>303</v>
      </c>
      <c r="I353" s="22" t="s">
        <v>303</v>
      </c>
      <c r="J353" s="22" t="s">
        <v>74</v>
      </c>
      <c r="K353" s="22" t="s">
        <v>55</v>
      </c>
      <c r="L353" s="22" t="s">
        <v>56</v>
      </c>
      <c r="M353" s="22" t="s">
        <v>57</v>
      </c>
      <c r="N353" s="22" t="s">
        <v>58</v>
      </c>
      <c r="O353" s="22">
        <v>500.0</v>
      </c>
      <c r="P353" s="22">
        <v>600.0</v>
      </c>
      <c r="Q353" s="22" t="s">
        <v>59</v>
      </c>
      <c r="R353" s="22" t="s">
        <v>58</v>
      </c>
      <c r="S353" s="22" t="s">
        <v>58</v>
      </c>
      <c r="T353" s="24" t="s">
        <v>2885</v>
      </c>
      <c r="U353" s="22"/>
      <c r="V353" s="22" t="s">
        <v>61</v>
      </c>
      <c r="W353" s="22" t="s">
        <v>58</v>
      </c>
      <c r="X353" s="22" t="s">
        <v>58</v>
      </c>
      <c r="Y353" s="22" t="s">
        <v>58</v>
      </c>
      <c r="Z353" s="22" t="s">
        <v>58</v>
      </c>
      <c r="AA353" s="22" t="s">
        <v>58</v>
      </c>
      <c r="AB353" s="22" t="s">
        <v>58</v>
      </c>
      <c r="AC353" s="22" t="s">
        <v>58</v>
      </c>
      <c r="AD353" s="22" t="s">
        <v>58</v>
      </c>
      <c r="AE353" s="22" t="s">
        <v>61</v>
      </c>
      <c r="AF353" s="22" t="s">
        <v>61</v>
      </c>
      <c r="AG353" s="22" t="s">
        <v>58</v>
      </c>
      <c r="AH353" s="22">
        <v>150.0</v>
      </c>
      <c r="AI353" s="22">
        <v>1000.0</v>
      </c>
      <c r="AJ353" s="22">
        <v>150.0</v>
      </c>
      <c r="AK353" s="22">
        <v>0.0</v>
      </c>
      <c r="AL353" s="22"/>
      <c r="AM353" s="22"/>
      <c r="AN353" s="22"/>
      <c r="AO353" s="22"/>
    </row>
    <row r="354" ht="15.75" customHeight="1">
      <c r="A354" s="22">
        <v>346.0</v>
      </c>
      <c r="B354" s="22" t="s">
        <v>2887</v>
      </c>
      <c r="C354" s="22" t="s">
        <v>2888</v>
      </c>
      <c r="D354" s="24" t="s">
        <v>69</v>
      </c>
      <c r="E354" s="22" t="s">
        <v>49</v>
      </c>
      <c r="F354" s="42" t="s">
        <v>2890</v>
      </c>
      <c r="G354" s="81" t="s">
        <v>2896</v>
      </c>
      <c r="H354" s="22" t="s">
        <v>860</v>
      </c>
      <c r="I354" s="22" t="s">
        <v>861</v>
      </c>
      <c r="J354" s="22" t="s">
        <v>74</v>
      </c>
      <c r="K354" s="22" t="s">
        <v>55</v>
      </c>
      <c r="L354" s="22" t="s">
        <v>56</v>
      </c>
      <c r="M354" s="22" t="s">
        <v>57</v>
      </c>
      <c r="N354" s="22" t="s">
        <v>58</v>
      </c>
      <c r="O354" s="22">
        <v>500.0</v>
      </c>
      <c r="P354" s="22">
        <v>500.0</v>
      </c>
      <c r="Q354" s="22" t="s">
        <v>59</v>
      </c>
      <c r="R354" s="22" t="s">
        <v>58</v>
      </c>
      <c r="S354" s="22" t="s">
        <v>58</v>
      </c>
      <c r="T354" s="22"/>
      <c r="U354" s="22"/>
      <c r="V354" s="22" t="s">
        <v>61</v>
      </c>
      <c r="W354" s="22" t="s">
        <v>58</v>
      </c>
      <c r="X354" s="22" t="s">
        <v>58</v>
      </c>
      <c r="Y354" s="22" t="s">
        <v>58</v>
      </c>
      <c r="Z354" s="22" t="s">
        <v>58</v>
      </c>
      <c r="AA354" s="22" t="s">
        <v>58</v>
      </c>
      <c r="AB354" s="22" t="s">
        <v>58</v>
      </c>
      <c r="AC354" s="22" t="s">
        <v>58</v>
      </c>
      <c r="AD354" s="22" t="s">
        <v>58</v>
      </c>
      <c r="AE354" s="22" t="s">
        <v>61</v>
      </c>
      <c r="AF354" s="22" t="s">
        <v>61</v>
      </c>
      <c r="AG354" s="22" t="s">
        <v>58</v>
      </c>
      <c r="AH354" s="22">
        <v>100.0</v>
      </c>
      <c r="AI354" s="22">
        <v>10000.0</v>
      </c>
      <c r="AJ354" s="22">
        <v>100.0</v>
      </c>
      <c r="AK354" s="22">
        <v>0.0</v>
      </c>
      <c r="AL354" s="22"/>
      <c r="AM354" s="22"/>
      <c r="AN354" s="22"/>
      <c r="AO354" s="22"/>
    </row>
    <row r="355" ht="15.75" customHeight="1">
      <c r="A355" s="22">
        <v>347.0</v>
      </c>
      <c r="B355" s="22" t="s">
        <v>983</v>
      </c>
      <c r="C355" s="22" t="s">
        <v>984</v>
      </c>
      <c r="D355" s="66" t="s">
        <v>1042</v>
      </c>
      <c r="E355" s="22" t="s">
        <v>49</v>
      </c>
      <c r="F355" s="42" t="s">
        <v>2901</v>
      </c>
      <c r="G355" s="24">
        <v>9.9992297717E10</v>
      </c>
      <c r="H355" s="22" t="s">
        <v>75</v>
      </c>
      <c r="I355" s="22" t="s">
        <v>76</v>
      </c>
      <c r="J355" s="22" t="s">
        <v>76</v>
      </c>
      <c r="K355" s="22" t="s">
        <v>55</v>
      </c>
      <c r="L355" s="22" t="s">
        <v>56</v>
      </c>
      <c r="M355" s="22" t="s">
        <v>57</v>
      </c>
      <c r="N355" s="22" t="s">
        <v>58</v>
      </c>
      <c r="O355" s="22">
        <v>1200.0</v>
      </c>
      <c r="P355" s="22">
        <v>1500.0</v>
      </c>
      <c r="Q355" s="22" t="s">
        <v>59</v>
      </c>
      <c r="R355" s="22" t="s">
        <v>58</v>
      </c>
      <c r="S355" s="22" t="s">
        <v>58</v>
      </c>
      <c r="T355" s="22"/>
      <c r="U355" s="22"/>
      <c r="V355" s="22" t="s">
        <v>61</v>
      </c>
      <c r="W355" s="22" t="s">
        <v>58</v>
      </c>
      <c r="X355" s="22" t="s">
        <v>58</v>
      </c>
      <c r="Y355" s="22" t="s">
        <v>58</v>
      </c>
      <c r="Z355" s="22" t="s">
        <v>58</v>
      </c>
      <c r="AA355" s="22" t="s">
        <v>58</v>
      </c>
      <c r="AB355" s="22" t="s">
        <v>58</v>
      </c>
      <c r="AC355" s="22" t="s">
        <v>58</v>
      </c>
      <c r="AD355" s="22" t="s">
        <v>58</v>
      </c>
      <c r="AE355" s="22" t="s">
        <v>61</v>
      </c>
      <c r="AF355" s="22" t="s">
        <v>61</v>
      </c>
      <c r="AG355" s="22" t="s">
        <v>58</v>
      </c>
      <c r="AH355" s="22">
        <v>100.0</v>
      </c>
      <c r="AI355" s="22">
        <v>5000.0</v>
      </c>
      <c r="AJ355" s="22">
        <v>100.0</v>
      </c>
      <c r="AK355" s="22">
        <v>0.0</v>
      </c>
      <c r="AL355" s="22"/>
      <c r="AM355" s="22"/>
      <c r="AN355" s="22"/>
      <c r="AO355" s="22"/>
    </row>
    <row r="356" ht="15.75" customHeight="1">
      <c r="A356" s="22">
        <v>348.0</v>
      </c>
      <c r="B356" s="22" t="s">
        <v>2903</v>
      </c>
      <c r="C356" s="22" t="s">
        <v>2904</v>
      </c>
      <c r="D356" s="66" t="s">
        <v>2905</v>
      </c>
      <c r="E356" s="22" t="s">
        <v>49</v>
      </c>
      <c r="F356" s="24" t="s">
        <v>69</v>
      </c>
      <c r="G356" s="24" t="s">
        <v>69</v>
      </c>
      <c r="H356" s="22" t="s">
        <v>2906</v>
      </c>
      <c r="I356" s="22" t="s">
        <v>2907</v>
      </c>
      <c r="J356" s="22" t="s">
        <v>2907</v>
      </c>
      <c r="K356" s="22" t="s">
        <v>55</v>
      </c>
      <c r="L356" s="22" t="s">
        <v>56</v>
      </c>
      <c r="M356" s="22" t="s">
        <v>57</v>
      </c>
      <c r="N356" s="22" t="s">
        <v>58</v>
      </c>
      <c r="O356" s="22">
        <v>300.0</v>
      </c>
      <c r="P356" s="22">
        <v>450.0</v>
      </c>
      <c r="Q356" s="22" t="s">
        <v>59</v>
      </c>
      <c r="R356" s="22" t="s">
        <v>58</v>
      </c>
      <c r="S356" s="22" t="s">
        <v>58</v>
      </c>
      <c r="T356" s="22"/>
      <c r="U356" s="22"/>
      <c r="V356" s="22" t="s">
        <v>61</v>
      </c>
      <c r="W356" s="22" t="s">
        <v>58</v>
      </c>
      <c r="X356" s="22" t="s">
        <v>58</v>
      </c>
      <c r="Y356" s="22" t="s">
        <v>58</v>
      </c>
      <c r="Z356" s="22" t="s">
        <v>58</v>
      </c>
      <c r="AA356" s="22" t="s">
        <v>58</v>
      </c>
      <c r="AB356" s="22" t="s">
        <v>58</v>
      </c>
      <c r="AC356" s="22" t="s">
        <v>58</v>
      </c>
      <c r="AD356" s="22" t="s">
        <v>58</v>
      </c>
      <c r="AE356" s="22" t="s">
        <v>61</v>
      </c>
      <c r="AF356" s="22" t="s">
        <v>61</v>
      </c>
      <c r="AG356" s="22" t="s">
        <v>58</v>
      </c>
      <c r="AH356" s="22">
        <v>50.0</v>
      </c>
      <c r="AI356" s="22">
        <v>1000.0</v>
      </c>
      <c r="AJ356" s="22">
        <v>50.0</v>
      </c>
      <c r="AK356" s="22">
        <v>0.0</v>
      </c>
      <c r="AL356" s="22"/>
      <c r="AM356" s="22"/>
      <c r="AN356" s="22"/>
      <c r="AO356" s="22"/>
    </row>
    <row r="357" ht="15.75" customHeight="1">
      <c r="A357" s="22">
        <v>349.0</v>
      </c>
      <c r="B357" s="22" t="s">
        <v>2909</v>
      </c>
      <c r="C357" s="22" t="s">
        <v>2910</v>
      </c>
      <c r="D357" s="66" t="s">
        <v>2911</v>
      </c>
      <c r="E357" s="22" t="s">
        <v>49</v>
      </c>
      <c r="F357" s="42" t="s">
        <v>2912</v>
      </c>
      <c r="G357" s="82" t="s">
        <v>2913</v>
      </c>
      <c r="H357" s="22" t="s">
        <v>142</v>
      </c>
      <c r="I357" s="22" t="s">
        <v>144</v>
      </c>
      <c r="J357" s="22" t="s">
        <v>74</v>
      </c>
      <c r="K357" s="22" t="s">
        <v>55</v>
      </c>
      <c r="L357" s="22" t="s">
        <v>56</v>
      </c>
      <c r="M357" s="22" t="s">
        <v>57</v>
      </c>
      <c r="N357" s="22" t="s">
        <v>58</v>
      </c>
      <c r="O357" s="22">
        <v>950.0</v>
      </c>
      <c r="P357" s="22">
        <v>1050.0</v>
      </c>
      <c r="Q357" s="22" t="s">
        <v>59</v>
      </c>
      <c r="R357" s="22" t="s">
        <v>58</v>
      </c>
      <c r="S357" s="22" t="s">
        <v>58</v>
      </c>
      <c r="T357" s="22"/>
      <c r="U357" s="22"/>
      <c r="V357" s="22" t="s">
        <v>61</v>
      </c>
      <c r="W357" s="22" t="s">
        <v>58</v>
      </c>
      <c r="X357" s="22" t="s">
        <v>58</v>
      </c>
      <c r="Y357" s="22" t="s">
        <v>58</v>
      </c>
      <c r="Z357" s="22" t="s">
        <v>58</v>
      </c>
      <c r="AA357" s="22" t="s">
        <v>58</v>
      </c>
      <c r="AB357" s="22" t="s">
        <v>58</v>
      </c>
      <c r="AC357" s="22" t="s">
        <v>58</v>
      </c>
      <c r="AD357" s="22" t="s">
        <v>58</v>
      </c>
      <c r="AE357" s="22" t="s">
        <v>61</v>
      </c>
      <c r="AF357" s="22" t="s">
        <v>61</v>
      </c>
      <c r="AG357" s="22" t="s">
        <v>58</v>
      </c>
      <c r="AH357" s="22">
        <v>150.0</v>
      </c>
      <c r="AI357" s="22">
        <v>1500.0</v>
      </c>
      <c r="AJ357" s="22">
        <v>150.0</v>
      </c>
      <c r="AK357" s="22">
        <v>0.0</v>
      </c>
      <c r="AL357" s="22"/>
      <c r="AM357" s="22"/>
      <c r="AN357" s="22"/>
      <c r="AO357" s="22"/>
    </row>
    <row r="358" ht="15.75" customHeight="1">
      <c r="A358" s="22">
        <v>350.0</v>
      </c>
      <c r="B358" s="22" t="s">
        <v>2917</v>
      </c>
      <c r="C358" s="22" t="s">
        <v>2919</v>
      </c>
      <c r="D358" s="24" t="s">
        <v>69</v>
      </c>
      <c r="E358" s="22" t="s">
        <v>49</v>
      </c>
      <c r="F358" s="24" t="s">
        <v>69</v>
      </c>
      <c r="G358" s="24" t="s">
        <v>69</v>
      </c>
      <c r="H358" s="22" t="s">
        <v>72</v>
      </c>
      <c r="I358" s="22" t="s">
        <v>73</v>
      </c>
      <c r="J358" s="22" t="s">
        <v>74</v>
      </c>
      <c r="K358" s="22" t="s">
        <v>55</v>
      </c>
      <c r="L358" s="22" t="s">
        <v>56</v>
      </c>
      <c r="M358" s="22" t="s">
        <v>57</v>
      </c>
      <c r="N358" s="22" t="s">
        <v>58</v>
      </c>
      <c r="O358" s="22">
        <v>600.0</v>
      </c>
      <c r="P358" s="22">
        <v>800.0</v>
      </c>
      <c r="Q358" s="22" t="s">
        <v>59</v>
      </c>
      <c r="R358" s="22" t="s">
        <v>58</v>
      </c>
      <c r="S358" s="22" t="s">
        <v>58</v>
      </c>
      <c r="T358" s="22"/>
      <c r="U358" s="22"/>
      <c r="V358" s="22" t="s">
        <v>61</v>
      </c>
      <c r="W358" s="22" t="s">
        <v>58</v>
      </c>
      <c r="X358" s="22" t="s">
        <v>58</v>
      </c>
      <c r="Y358" s="22" t="s">
        <v>58</v>
      </c>
      <c r="Z358" s="22" t="s">
        <v>58</v>
      </c>
      <c r="AA358" s="22" t="s">
        <v>58</v>
      </c>
      <c r="AB358" s="22" t="s">
        <v>58</v>
      </c>
      <c r="AC358" s="22" t="s">
        <v>58</v>
      </c>
      <c r="AD358" s="22" t="s">
        <v>58</v>
      </c>
      <c r="AE358" s="22" t="s">
        <v>61</v>
      </c>
      <c r="AF358" s="22" t="s">
        <v>61</v>
      </c>
      <c r="AG358" s="22" t="s">
        <v>58</v>
      </c>
      <c r="AH358" s="22">
        <v>10.0</v>
      </c>
      <c r="AI358" s="22">
        <v>2000.0</v>
      </c>
      <c r="AJ358" s="22">
        <v>10.0</v>
      </c>
      <c r="AK358" s="22">
        <v>0.0</v>
      </c>
      <c r="AL358" s="22"/>
      <c r="AM358" s="22"/>
      <c r="AN358" s="22"/>
      <c r="AO358" s="22"/>
    </row>
    <row r="359" ht="15.75" customHeight="1">
      <c r="A359" s="22">
        <v>351.0</v>
      </c>
      <c r="B359" s="22" t="s">
        <v>2921</v>
      </c>
      <c r="C359" s="22" t="s">
        <v>2922</v>
      </c>
      <c r="D359" s="66" t="s">
        <v>2923</v>
      </c>
      <c r="E359" s="22" t="s">
        <v>49</v>
      </c>
      <c r="F359" s="42" t="s">
        <v>2924</v>
      </c>
      <c r="G359" s="82">
        <v>9.19815754127E11</v>
      </c>
      <c r="H359" s="22" t="s">
        <v>123</v>
      </c>
      <c r="I359" s="22" t="s">
        <v>124</v>
      </c>
      <c r="J359" s="22" t="s">
        <v>74</v>
      </c>
      <c r="K359" s="22" t="s">
        <v>55</v>
      </c>
      <c r="L359" s="22" t="s">
        <v>56</v>
      </c>
      <c r="M359" s="22" t="s">
        <v>57</v>
      </c>
      <c r="N359" s="22" t="s">
        <v>58</v>
      </c>
      <c r="O359" s="22">
        <v>600.0</v>
      </c>
      <c r="P359" s="22">
        <v>800.0</v>
      </c>
      <c r="Q359" s="22" t="s">
        <v>59</v>
      </c>
      <c r="R359" s="22" t="s">
        <v>58</v>
      </c>
      <c r="S359" s="22" t="s">
        <v>58</v>
      </c>
      <c r="T359" s="22"/>
      <c r="U359" s="22"/>
      <c r="V359" s="22" t="s">
        <v>61</v>
      </c>
      <c r="W359" s="22" t="s">
        <v>58</v>
      </c>
      <c r="X359" s="22" t="s">
        <v>58</v>
      </c>
      <c r="Y359" s="22" t="s">
        <v>58</v>
      </c>
      <c r="Z359" s="22" t="s">
        <v>58</v>
      </c>
      <c r="AA359" s="22" t="s">
        <v>58</v>
      </c>
      <c r="AB359" s="22" t="s">
        <v>58</v>
      </c>
      <c r="AC359" s="22" t="s">
        <v>58</v>
      </c>
      <c r="AD359" s="22" t="s">
        <v>58</v>
      </c>
      <c r="AE359" s="22" t="s">
        <v>61</v>
      </c>
      <c r="AF359" s="22" t="s">
        <v>61</v>
      </c>
      <c r="AG359" s="22" t="s">
        <v>58</v>
      </c>
      <c r="AH359" s="22">
        <v>250.0</v>
      </c>
      <c r="AI359" s="22">
        <v>500.0</v>
      </c>
      <c r="AJ359" s="22">
        <v>250.0</v>
      </c>
      <c r="AK359" s="22">
        <v>0.0</v>
      </c>
      <c r="AL359" s="22"/>
      <c r="AM359" s="22"/>
      <c r="AN359" s="22"/>
      <c r="AO359" s="22"/>
    </row>
    <row r="360" ht="15.75" customHeight="1">
      <c r="A360" s="22">
        <v>352.0</v>
      </c>
      <c r="B360" s="22" t="s">
        <v>2930</v>
      </c>
      <c r="C360" s="22" t="s">
        <v>2931</v>
      </c>
      <c r="D360" s="22" t="s">
        <v>2932</v>
      </c>
      <c r="E360" s="22" t="s">
        <v>49</v>
      </c>
      <c r="F360" s="42" t="s">
        <v>2933</v>
      </c>
      <c r="G360" s="102" t="s">
        <v>2934</v>
      </c>
      <c r="H360" s="22" t="s">
        <v>142</v>
      </c>
      <c r="I360" s="22" t="s">
        <v>144</v>
      </c>
      <c r="J360" s="22" t="s">
        <v>74</v>
      </c>
      <c r="K360" s="22" t="s">
        <v>55</v>
      </c>
      <c r="L360" s="22" t="s">
        <v>56</v>
      </c>
      <c r="M360" s="22" t="s">
        <v>57</v>
      </c>
      <c r="N360" s="22" t="s">
        <v>58</v>
      </c>
      <c r="O360" s="22">
        <v>400.0</v>
      </c>
      <c r="P360" s="22">
        <v>800.0</v>
      </c>
      <c r="Q360" s="22" t="s">
        <v>59</v>
      </c>
      <c r="R360" s="22" t="s">
        <v>58</v>
      </c>
      <c r="S360" s="22" t="s">
        <v>58</v>
      </c>
      <c r="T360" s="22" t="s">
        <v>275</v>
      </c>
      <c r="U360" s="22"/>
      <c r="V360" s="22" t="s">
        <v>61</v>
      </c>
      <c r="W360" s="22" t="s">
        <v>58</v>
      </c>
      <c r="X360" s="22" t="s">
        <v>58</v>
      </c>
      <c r="Y360" s="22" t="s">
        <v>58</v>
      </c>
      <c r="Z360" s="22" t="s">
        <v>58</v>
      </c>
      <c r="AA360" s="22" t="s">
        <v>58</v>
      </c>
      <c r="AB360" s="22" t="s">
        <v>58</v>
      </c>
      <c r="AC360" s="22" t="s">
        <v>58</v>
      </c>
      <c r="AD360" s="22" t="s">
        <v>58</v>
      </c>
      <c r="AE360" s="22" t="s">
        <v>61</v>
      </c>
      <c r="AF360" s="22" t="s">
        <v>61</v>
      </c>
      <c r="AG360" s="22" t="s">
        <v>58</v>
      </c>
      <c r="AH360" s="22">
        <v>10000.0</v>
      </c>
      <c r="AI360" s="22">
        <v>100.0</v>
      </c>
      <c r="AJ360" s="22">
        <v>10000.0</v>
      </c>
      <c r="AK360" s="22">
        <v>0.0</v>
      </c>
      <c r="AL360" s="22"/>
      <c r="AM360" s="22"/>
      <c r="AN360" s="22"/>
      <c r="AO360" s="22"/>
    </row>
    <row r="361" ht="15.75" customHeight="1">
      <c r="A361" s="22">
        <v>353.0</v>
      </c>
      <c r="B361" s="22" t="s">
        <v>671</v>
      </c>
      <c r="C361" s="22" t="s">
        <v>672</v>
      </c>
      <c r="D361" s="66" t="s">
        <v>2939</v>
      </c>
      <c r="E361" s="22" t="s">
        <v>49</v>
      </c>
      <c r="F361" s="42" t="s">
        <v>2940</v>
      </c>
      <c r="G361" s="81" t="s">
        <v>2943</v>
      </c>
      <c r="H361" s="22" t="s">
        <v>674</v>
      </c>
      <c r="I361" s="22" t="s">
        <v>675</v>
      </c>
      <c r="J361" s="22" t="s">
        <v>675</v>
      </c>
      <c r="K361" s="22" t="s">
        <v>55</v>
      </c>
      <c r="L361" s="22" t="s">
        <v>56</v>
      </c>
      <c r="M361" s="22" t="s">
        <v>57</v>
      </c>
      <c r="N361" s="22" t="s">
        <v>58</v>
      </c>
      <c r="O361" s="22">
        <v>2250.0</v>
      </c>
      <c r="P361" s="22">
        <v>2750.0</v>
      </c>
      <c r="Q361" s="22" t="s">
        <v>59</v>
      </c>
      <c r="R361" s="22" t="s">
        <v>58</v>
      </c>
      <c r="S361" s="22" t="s">
        <v>58</v>
      </c>
      <c r="T361" s="22"/>
      <c r="U361" s="22"/>
      <c r="V361" s="22" t="s">
        <v>61</v>
      </c>
      <c r="W361" s="22" t="s">
        <v>58</v>
      </c>
      <c r="X361" s="22" t="s">
        <v>58</v>
      </c>
      <c r="Y361" s="22" t="s">
        <v>58</v>
      </c>
      <c r="Z361" s="22" t="s">
        <v>58</v>
      </c>
      <c r="AA361" s="22" t="s">
        <v>58</v>
      </c>
      <c r="AB361" s="22" t="s">
        <v>58</v>
      </c>
      <c r="AC361" s="22" t="s">
        <v>58</v>
      </c>
      <c r="AD361" s="22" t="s">
        <v>58</v>
      </c>
      <c r="AE361" s="22" t="s">
        <v>61</v>
      </c>
      <c r="AF361" s="22" t="s">
        <v>61</v>
      </c>
      <c r="AG361" s="22" t="s">
        <v>58</v>
      </c>
      <c r="AH361" s="22">
        <v>50.0</v>
      </c>
      <c r="AI361" s="22">
        <v>2000.0</v>
      </c>
      <c r="AJ361" s="22">
        <v>50.0</v>
      </c>
      <c r="AK361" s="22">
        <v>0.0</v>
      </c>
      <c r="AL361" s="22"/>
      <c r="AM361" s="22"/>
      <c r="AN361" s="22"/>
      <c r="AO361" s="22"/>
    </row>
    <row r="362" ht="15.75" customHeight="1">
      <c r="A362" s="22">
        <v>354.0</v>
      </c>
      <c r="B362" s="22" t="s">
        <v>2947</v>
      </c>
      <c r="C362" s="22" t="s">
        <v>2948</v>
      </c>
      <c r="D362" s="22" t="s">
        <v>2949</v>
      </c>
      <c r="E362" s="22" t="s">
        <v>49</v>
      </c>
      <c r="F362" s="42" t="s">
        <v>2950</v>
      </c>
      <c r="G362" s="54" t="s">
        <v>69</v>
      </c>
      <c r="H362" s="22" t="s">
        <v>2953</v>
      </c>
      <c r="I362" s="22" t="s">
        <v>116</v>
      </c>
      <c r="J362" s="22" t="s">
        <v>74</v>
      </c>
      <c r="K362" s="22" t="s">
        <v>55</v>
      </c>
      <c r="L362" s="22" t="s">
        <v>56</v>
      </c>
      <c r="M362" s="22" t="s">
        <v>57</v>
      </c>
      <c r="N362" s="22" t="s">
        <v>58</v>
      </c>
      <c r="O362" s="22">
        <v>800.0</v>
      </c>
      <c r="P362" s="22">
        <v>900.0</v>
      </c>
      <c r="Q362" s="22" t="s">
        <v>59</v>
      </c>
      <c r="R362" s="22" t="s">
        <v>58</v>
      </c>
      <c r="S362" s="22" t="s">
        <v>58</v>
      </c>
      <c r="T362" s="22"/>
      <c r="U362" s="22"/>
      <c r="V362" s="22" t="s">
        <v>61</v>
      </c>
      <c r="W362" s="22" t="s">
        <v>58</v>
      </c>
      <c r="X362" s="22" t="s">
        <v>58</v>
      </c>
      <c r="Y362" s="22" t="s">
        <v>58</v>
      </c>
      <c r="Z362" s="22" t="s">
        <v>58</v>
      </c>
      <c r="AA362" s="22" t="s">
        <v>58</v>
      </c>
      <c r="AB362" s="22" t="s">
        <v>58</v>
      </c>
      <c r="AC362" s="22" t="s">
        <v>58</v>
      </c>
      <c r="AD362" s="22" t="s">
        <v>58</v>
      </c>
      <c r="AE362" s="22" t="s">
        <v>61</v>
      </c>
      <c r="AF362" s="22" t="s">
        <v>61</v>
      </c>
      <c r="AG362" s="22" t="s">
        <v>58</v>
      </c>
      <c r="AH362" s="22">
        <v>150.0</v>
      </c>
      <c r="AI362" s="22">
        <v>15000.0</v>
      </c>
      <c r="AJ362" s="22">
        <v>150.0</v>
      </c>
      <c r="AK362" s="22">
        <v>0.0</v>
      </c>
      <c r="AL362" s="22"/>
      <c r="AM362" s="22"/>
      <c r="AN362" s="22"/>
      <c r="AO362" s="22"/>
    </row>
    <row r="363" ht="15.75" customHeight="1">
      <c r="A363" s="15">
        <v>355.0</v>
      </c>
      <c r="B363" s="15" t="s">
        <v>2955</v>
      </c>
      <c r="C363" s="15" t="s">
        <v>2956</v>
      </c>
      <c r="D363" s="103" t="s">
        <v>2958</v>
      </c>
      <c r="E363" s="15" t="s">
        <v>49</v>
      </c>
      <c r="F363" s="49" t="s">
        <v>578</v>
      </c>
      <c r="G363" s="15" t="s">
        <v>2959</v>
      </c>
      <c r="H363" s="15" t="s">
        <v>586</v>
      </c>
      <c r="I363" s="15" t="s">
        <v>587</v>
      </c>
      <c r="J363" s="15" t="s">
        <v>74</v>
      </c>
      <c r="K363" s="15" t="s">
        <v>55</v>
      </c>
      <c r="L363" s="15" t="s">
        <v>56</v>
      </c>
      <c r="M363" s="15" t="s">
        <v>57</v>
      </c>
      <c r="N363" s="15" t="s">
        <v>58</v>
      </c>
      <c r="O363" s="15">
        <v>450.0</v>
      </c>
      <c r="P363" s="15">
        <v>550.0</v>
      </c>
      <c r="Q363" s="15" t="s">
        <v>59</v>
      </c>
      <c r="R363" s="15" t="s">
        <v>58</v>
      </c>
      <c r="S363" s="15" t="s">
        <v>58</v>
      </c>
      <c r="T363" s="15"/>
      <c r="U363" s="15"/>
      <c r="V363" s="15" t="s">
        <v>61</v>
      </c>
      <c r="W363" s="15" t="s">
        <v>58</v>
      </c>
      <c r="X363" s="15" t="s">
        <v>58</v>
      </c>
      <c r="Y363" s="15" t="s">
        <v>58</v>
      </c>
      <c r="Z363" s="15" t="s">
        <v>58</v>
      </c>
      <c r="AA363" s="15" t="s">
        <v>58</v>
      </c>
      <c r="AB363" s="15" t="s">
        <v>58</v>
      </c>
      <c r="AC363" s="15" t="s">
        <v>58</v>
      </c>
      <c r="AD363" s="15" t="s">
        <v>58</v>
      </c>
      <c r="AE363" s="15" t="s">
        <v>61</v>
      </c>
      <c r="AF363" s="15" t="s">
        <v>61</v>
      </c>
      <c r="AG363" s="15" t="s">
        <v>58</v>
      </c>
      <c r="AH363" s="15">
        <v>100.0</v>
      </c>
      <c r="AI363" s="15">
        <v>1000.0</v>
      </c>
      <c r="AJ363" s="15">
        <v>100.0</v>
      </c>
      <c r="AK363" s="15">
        <v>0.0</v>
      </c>
      <c r="AL363" s="15"/>
      <c r="AM363" s="15"/>
      <c r="AN363" s="16" t="s">
        <v>757</v>
      </c>
      <c r="AO363" s="21">
        <v>2.0</v>
      </c>
    </row>
    <row r="364" ht="44.25" customHeight="1">
      <c r="A364" s="22">
        <v>356.0</v>
      </c>
      <c r="B364" s="22" t="s">
        <v>1021</v>
      </c>
      <c r="C364" s="22" t="s">
        <v>1022</v>
      </c>
      <c r="D364" s="66" t="s">
        <v>1023</v>
      </c>
      <c r="E364" s="22" t="s">
        <v>49</v>
      </c>
      <c r="F364" s="42" t="s">
        <v>2963</v>
      </c>
      <c r="G364" s="104" t="s">
        <v>2965</v>
      </c>
      <c r="H364" s="22" t="s">
        <v>75</v>
      </c>
      <c r="I364" s="22" t="s">
        <v>76</v>
      </c>
      <c r="J364" s="22" t="s">
        <v>76</v>
      </c>
      <c r="K364" s="22" t="s">
        <v>55</v>
      </c>
      <c r="L364" s="22" t="s">
        <v>56</v>
      </c>
      <c r="M364" s="22" t="s">
        <v>57</v>
      </c>
      <c r="N364" s="22" t="s">
        <v>58</v>
      </c>
      <c r="O364" s="22">
        <v>800.0</v>
      </c>
      <c r="P364" s="22">
        <v>1000.0</v>
      </c>
      <c r="Q364" s="22" t="s">
        <v>59</v>
      </c>
      <c r="R364" s="22" t="s">
        <v>58</v>
      </c>
      <c r="S364" s="22" t="s">
        <v>58</v>
      </c>
      <c r="T364" s="22"/>
      <c r="U364" s="22"/>
      <c r="V364" s="22" t="s">
        <v>61</v>
      </c>
      <c r="W364" s="22" t="s">
        <v>58</v>
      </c>
      <c r="X364" s="22" t="s">
        <v>58</v>
      </c>
      <c r="Y364" s="22" t="s">
        <v>58</v>
      </c>
      <c r="Z364" s="22" t="s">
        <v>58</v>
      </c>
      <c r="AA364" s="22" t="s">
        <v>58</v>
      </c>
      <c r="AB364" s="22" t="s">
        <v>58</v>
      </c>
      <c r="AC364" s="22" t="s">
        <v>58</v>
      </c>
      <c r="AD364" s="22" t="s">
        <v>58</v>
      </c>
      <c r="AE364" s="22" t="s">
        <v>61</v>
      </c>
      <c r="AF364" s="22" t="s">
        <v>61</v>
      </c>
      <c r="AG364" s="22" t="s">
        <v>58</v>
      </c>
      <c r="AH364" s="22">
        <v>100.0</v>
      </c>
      <c r="AI364" s="22">
        <v>2000.0</v>
      </c>
      <c r="AJ364" s="22">
        <v>100.0</v>
      </c>
      <c r="AK364" s="22">
        <v>0.0</v>
      </c>
      <c r="AL364" s="22"/>
      <c r="AM364" s="22"/>
      <c r="AN364" s="22"/>
      <c r="AO364" s="22"/>
    </row>
    <row r="365" ht="15.75" customHeight="1">
      <c r="A365" s="22">
        <v>357.0</v>
      </c>
      <c r="B365" s="22" t="s">
        <v>882</v>
      </c>
      <c r="C365" s="22" t="s">
        <v>883</v>
      </c>
      <c r="D365" s="24" t="s">
        <v>69</v>
      </c>
      <c r="E365" s="22" t="s">
        <v>49</v>
      </c>
      <c r="F365" s="42" t="s">
        <v>2969</v>
      </c>
      <c r="G365" s="71" t="s">
        <v>2970</v>
      </c>
      <c r="H365" s="22" t="s">
        <v>75</v>
      </c>
      <c r="I365" s="22" t="s">
        <v>76</v>
      </c>
      <c r="J365" s="22" t="s">
        <v>76</v>
      </c>
      <c r="K365" s="22" t="s">
        <v>55</v>
      </c>
      <c r="L365" s="22" t="s">
        <v>56</v>
      </c>
      <c r="M365" s="22" t="s">
        <v>57</v>
      </c>
      <c r="N365" s="22" t="s">
        <v>58</v>
      </c>
      <c r="O365" s="22">
        <v>1500.0</v>
      </c>
      <c r="P365" s="22">
        <v>2000.0</v>
      </c>
      <c r="Q365" s="22" t="s">
        <v>59</v>
      </c>
      <c r="R365" s="22" t="s">
        <v>58</v>
      </c>
      <c r="S365" s="22" t="s">
        <v>58</v>
      </c>
      <c r="T365" s="22"/>
      <c r="U365" s="22"/>
      <c r="V365" s="22" t="s">
        <v>61</v>
      </c>
      <c r="W365" s="22" t="s">
        <v>58</v>
      </c>
      <c r="X365" s="22" t="s">
        <v>58</v>
      </c>
      <c r="Y365" s="22" t="s">
        <v>58</v>
      </c>
      <c r="Z365" s="22" t="s">
        <v>58</v>
      </c>
      <c r="AA365" s="22" t="s">
        <v>58</v>
      </c>
      <c r="AB365" s="22" t="s">
        <v>58</v>
      </c>
      <c r="AC365" s="22" t="s">
        <v>58</v>
      </c>
      <c r="AD365" s="22" t="s">
        <v>58</v>
      </c>
      <c r="AE365" s="22" t="s">
        <v>61</v>
      </c>
      <c r="AF365" s="22" t="s">
        <v>61</v>
      </c>
      <c r="AG365" s="22" t="s">
        <v>58</v>
      </c>
      <c r="AH365" s="22">
        <v>100.0</v>
      </c>
      <c r="AI365" s="22">
        <v>3000.0</v>
      </c>
      <c r="AJ365" s="22">
        <v>100.0</v>
      </c>
      <c r="AK365" s="22">
        <v>0.0</v>
      </c>
      <c r="AL365" s="22"/>
      <c r="AM365" s="22"/>
      <c r="AN365" s="22"/>
      <c r="AO365" s="22"/>
    </row>
    <row r="366" ht="15.75" customHeight="1">
      <c r="A366" s="22">
        <v>358.0</v>
      </c>
      <c r="B366" s="22" t="s">
        <v>742</v>
      </c>
      <c r="C366" s="22" t="s">
        <v>743</v>
      </c>
      <c r="D366" s="22" t="s">
        <v>744</v>
      </c>
      <c r="E366" s="22" t="s">
        <v>49</v>
      </c>
      <c r="F366" s="42" t="s">
        <v>2976</v>
      </c>
      <c r="G366" s="81" t="s">
        <v>745</v>
      </c>
      <c r="H366" s="22" t="s">
        <v>723</v>
      </c>
      <c r="I366" s="22" t="s">
        <v>587</v>
      </c>
      <c r="J366" s="22" t="s">
        <v>74</v>
      </c>
      <c r="K366" s="22" t="s">
        <v>55</v>
      </c>
      <c r="L366" s="22" t="s">
        <v>56</v>
      </c>
      <c r="M366" s="22" t="s">
        <v>57</v>
      </c>
      <c r="N366" s="22" t="s">
        <v>58</v>
      </c>
      <c r="O366" s="22">
        <v>400.0</v>
      </c>
      <c r="P366" s="22"/>
      <c r="Q366" s="22" t="s">
        <v>59</v>
      </c>
      <c r="R366" s="22" t="s">
        <v>58</v>
      </c>
      <c r="S366" s="22" t="s">
        <v>58</v>
      </c>
      <c r="T366" s="24" t="s">
        <v>2979</v>
      </c>
      <c r="U366" s="22" t="s">
        <v>275</v>
      </c>
      <c r="V366" s="22" t="s">
        <v>61</v>
      </c>
      <c r="W366" s="22" t="s">
        <v>58</v>
      </c>
      <c r="X366" s="22" t="s">
        <v>58</v>
      </c>
      <c r="Y366" s="22" t="s">
        <v>58</v>
      </c>
      <c r="Z366" s="22" t="s">
        <v>58</v>
      </c>
      <c r="AA366" s="22" t="s">
        <v>58</v>
      </c>
      <c r="AB366" s="22" t="s">
        <v>58</v>
      </c>
      <c r="AC366" s="22" t="s">
        <v>58</v>
      </c>
      <c r="AD366" s="22" t="s">
        <v>58</v>
      </c>
      <c r="AE366" s="22" t="s">
        <v>61</v>
      </c>
      <c r="AF366" s="22" t="s">
        <v>61</v>
      </c>
      <c r="AG366" s="22" t="s">
        <v>58</v>
      </c>
      <c r="AH366" s="22">
        <v>200.0</v>
      </c>
      <c r="AI366" s="22">
        <v>5000.0</v>
      </c>
      <c r="AJ366" s="22">
        <v>200.0</v>
      </c>
      <c r="AK366" s="22">
        <v>0.0</v>
      </c>
      <c r="AL366" s="22"/>
      <c r="AM366" s="22"/>
      <c r="AN366" s="22"/>
      <c r="AO366" s="22"/>
    </row>
    <row r="367" ht="15.75" customHeight="1">
      <c r="A367" s="22">
        <v>359.0</v>
      </c>
      <c r="B367" s="22" t="s">
        <v>2980</v>
      </c>
      <c r="C367" s="22" t="s">
        <v>2981</v>
      </c>
      <c r="D367" s="66" t="s">
        <v>2982</v>
      </c>
      <c r="E367" s="22" t="s">
        <v>49</v>
      </c>
      <c r="F367" s="24" t="s">
        <v>69</v>
      </c>
      <c r="G367" s="24" t="s">
        <v>69</v>
      </c>
      <c r="H367" s="22" t="s">
        <v>570</v>
      </c>
      <c r="I367" s="22" t="s">
        <v>571</v>
      </c>
      <c r="J367" s="22" t="s">
        <v>571</v>
      </c>
      <c r="K367" s="22" t="s">
        <v>55</v>
      </c>
      <c r="L367" s="22" t="s">
        <v>56</v>
      </c>
      <c r="M367" s="22" t="s">
        <v>57</v>
      </c>
      <c r="N367" s="22" t="s">
        <v>58</v>
      </c>
      <c r="O367" s="22">
        <v>800.0</v>
      </c>
      <c r="P367" s="22"/>
      <c r="Q367" s="22" t="s">
        <v>59</v>
      </c>
      <c r="R367" s="22" t="s">
        <v>58</v>
      </c>
      <c r="S367" s="22" t="s">
        <v>58</v>
      </c>
      <c r="T367" s="22"/>
      <c r="U367" s="22"/>
      <c r="V367" s="22" t="s">
        <v>61</v>
      </c>
      <c r="W367" s="22" t="s">
        <v>58</v>
      </c>
      <c r="X367" s="22" t="s">
        <v>58</v>
      </c>
      <c r="Y367" s="22" t="s">
        <v>58</v>
      </c>
      <c r="Z367" s="22" t="s">
        <v>58</v>
      </c>
      <c r="AA367" s="22" t="s">
        <v>58</v>
      </c>
      <c r="AB367" s="22" t="s">
        <v>58</v>
      </c>
      <c r="AC367" s="22" t="s">
        <v>58</v>
      </c>
      <c r="AD367" s="22" t="s">
        <v>58</v>
      </c>
      <c r="AE367" s="22" t="s">
        <v>61</v>
      </c>
      <c r="AF367" s="22" t="s">
        <v>61</v>
      </c>
      <c r="AG367" s="22" t="s">
        <v>58</v>
      </c>
      <c r="AH367" s="22">
        <v>200.0</v>
      </c>
      <c r="AI367" s="22">
        <v>500.0</v>
      </c>
      <c r="AJ367" s="22">
        <v>200.0</v>
      </c>
      <c r="AK367" s="22">
        <v>0.0</v>
      </c>
      <c r="AL367" s="22"/>
      <c r="AM367" s="22"/>
      <c r="AN367" s="22"/>
      <c r="AO367" s="22"/>
    </row>
    <row r="368" ht="31.5" customHeight="1">
      <c r="A368" s="15">
        <v>360.0</v>
      </c>
      <c r="B368" s="15" t="s">
        <v>2986</v>
      </c>
      <c r="C368" s="15" t="s">
        <v>2987</v>
      </c>
      <c r="D368" s="15" t="s">
        <v>2988</v>
      </c>
      <c r="E368" s="15" t="s">
        <v>49</v>
      </c>
      <c r="F368" s="49" t="s">
        <v>2989</v>
      </c>
      <c r="G368" s="15" t="s">
        <v>2992</v>
      </c>
      <c r="H368" s="15" t="s">
        <v>123</v>
      </c>
      <c r="I368" s="15" t="s">
        <v>124</v>
      </c>
      <c r="J368" s="15" t="s">
        <v>74</v>
      </c>
      <c r="K368" s="15" t="s">
        <v>55</v>
      </c>
      <c r="L368" s="15" t="s">
        <v>56</v>
      </c>
      <c r="M368" s="15" t="s">
        <v>57</v>
      </c>
      <c r="N368" s="15" t="s">
        <v>58</v>
      </c>
      <c r="O368" s="15">
        <v>1400.0</v>
      </c>
      <c r="P368" s="15">
        <v>1600.0</v>
      </c>
      <c r="Q368" s="15" t="s">
        <v>59</v>
      </c>
      <c r="R368" s="15" t="s">
        <v>58</v>
      </c>
      <c r="S368" s="15" t="s">
        <v>58</v>
      </c>
      <c r="T368" s="16" t="s">
        <v>2993</v>
      </c>
      <c r="U368" s="15"/>
      <c r="V368" s="15" t="s">
        <v>61</v>
      </c>
      <c r="W368" s="15" t="s">
        <v>58</v>
      </c>
      <c r="X368" s="15" t="s">
        <v>58</v>
      </c>
      <c r="Y368" s="15" t="s">
        <v>58</v>
      </c>
      <c r="Z368" s="15" t="s">
        <v>58</v>
      </c>
      <c r="AA368" s="15" t="s">
        <v>58</v>
      </c>
      <c r="AB368" s="15" t="s">
        <v>58</v>
      </c>
      <c r="AC368" s="15" t="s">
        <v>58</v>
      </c>
      <c r="AD368" s="15" t="s">
        <v>58</v>
      </c>
      <c r="AE368" s="15" t="s">
        <v>61</v>
      </c>
      <c r="AF368" s="15" t="s">
        <v>61</v>
      </c>
      <c r="AG368" s="15" t="s">
        <v>58</v>
      </c>
      <c r="AH368" s="15">
        <v>50.0</v>
      </c>
      <c r="AI368" s="15">
        <v>250.0</v>
      </c>
      <c r="AJ368" s="15">
        <v>50.0</v>
      </c>
      <c r="AK368" s="15">
        <v>0.0</v>
      </c>
      <c r="AL368" s="15"/>
      <c r="AM368" s="15"/>
      <c r="AN368" s="16"/>
      <c r="AO368" s="21">
        <v>2.0</v>
      </c>
    </row>
    <row r="369" ht="15.75" customHeight="1">
      <c r="A369" s="22">
        <v>361.0</v>
      </c>
      <c r="B369" s="22" t="s">
        <v>2995</v>
      </c>
      <c r="C369" s="22" t="s">
        <v>2996</v>
      </c>
      <c r="D369" s="66" t="s">
        <v>2997</v>
      </c>
      <c r="E369" s="22" t="s">
        <v>49</v>
      </c>
      <c r="F369" s="42" t="s">
        <v>2998</v>
      </c>
      <c r="G369" s="81" t="s">
        <v>3000</v>
      </c>
      <c r="H369" s="22" t="s">
        <v>303</v>
      </c>
      <c r="I369" s="22" t="s">
        <v>303</v>
      </c>
      <c r="J369" s="22" t="s">
        <v>74</v>
      </c>
      <c r="K369" s="22" t="s">
        <v>55</v>
      </c>
      <c r="L369" s="22" t="s">
        <v>56</v>
      </c>
      <c r="M369" s="22" t="s">
        <v>57</v>
      </c>
      <c r="N369" s="22" t="s">
        <v>58</v>
      </c>
      <c r="O369" s="22">
        <v>800.0</v>
      </c>
      <c r="P369" s="22">
        <v>900.0</v>
      </c>
      <c r="Q369" s="22" t="s">
        <v>59</v>
      </c>
      <c r="R369" s="22" t="s">
        <v>58</v>
      </c>
      <c r="S369" s="22" t="s">
        <v>58</v>
      </c>
      <c r="T369" s="22"/>
      <c r="U369" s="22"/>
      <c r="V369" s="22" t="s">
        <v>61</v>
      </c>
      <c r="W369" s="22" t="s">
        <v>58</v>
      </c>
      <c r="X369" s="22" t="s">
        <v>58</v>
      </c>
      <c r="Y369" s="22" t="s">
        <v>58</v>
      </c>
      <c r="Z369" s="22" t="s">
        <v>58</v>
      </c>
      <c r="AA369" s="22" t="s">
        <v>58</v>
      </c>
      <c r="AB369" s="22" t="s">
        <v>58</v>
      </c>
      <c r="AC369" s="22" t="s">
        <v>58</v>
      </c>
      <c r="AD369" s="22" t="s">
        <v>58</v>
      </c>
      <c r="AE369" s="22" t="s">
        <v>61</v>
      </c>
      <c r="AF369" s="22" t="s">
        <v>61</v>
      </c>
      <c r="AG369" s="22" t="s">
        <v>58</v>
      </c>
      <c r="AH369" s="22">
        <v>50.0</v>
      </c>
      <c r="AI369" s="22">
        <v>1000.0</v>
      </c>
      <c r="AJ369" s="22">
        <v>50.0</v>
      </c>
      <c r="AK369" s="22">
        <v>0.0</v>
      </c>
      <c r="AL369" s="22"/>
      <c r="AM369" s="22"/>
      <c r="AN369" s="22"/>
      <c r="AO369" s="22"/>
    </row>
    <row r="370" ht="15.75" customHeight="1">
      <c r="A370" s="22">
        <v>362.0</v>
      </c>
      <c r="B370" s="22" t="s">
        <v>3003</v>
      </c>
      <c r="C370" s="22" t="s">
        <v>3004</v>
      </c>
      <c r="D370" s="22" t="s">
        <v>3005</v>
      </c>
      <c r="E370" s="22" t="s">
        <v>49</v>
      </c>
      <c r="F370" s="42" t="s">
        <v>3006</v>
      </c>
      <c r="G370" s="81" t="s">
        <v>3008</v>
      </c>
      <c r="H370" s="22" t="s">
        <v>303</v>
      </c>
      <c r="I370" s="22" t="s">
        <v>303</v>
      </c>
      <c r="J370" s="22" t="s">
        <v>74</v>
      </c>
      <c r="K370" s="22" t="s">
        <v>55</v>
      </c>
      <c r="L370" s="22" t="s">
        <v>56</v>
      </c>
      <c r="M370" s="22" t="s">
        <v>57</v>
      </c>
      <c r="N370" s="22" t="s">
        <v>58</v>
      </c>
      <c r="O370" s="22">
        <v>850.0</v>
      </c>
      <c r="P370" s="22">
        <v>1200.0</v>
      </c>
      <c r="Q370" s="22" t="s">
        <v>59</v>
      </c>
      <c r="R370" s="22" t="s">
        <v>58</v>
      </c>
      <c r="S370" s="22" t="s">
        <v>58</v>
      </c>
      <c r="T370" s="22" t="s">
        <v>948</v>
      </c>
      <c r="U370" s="22"/>
      <c r="V370" s="22" t="s">
        <v>61</v>
      </c>
      <c r="W370" s="22" t="s">
        <v>58</v>
      </c>
      <c r="X370" s="22" t="s">
        <v>58</v>
      </c>
      <c r="Y370" s="22" t="s">
        <v>58</v>
      </c>
      <c r="Z370" s="22" t="s">
        <v>58</v>
      </c>
      <c r="AA370" s="22" t="s">
        <v>58</v>
      </c>
      <c r="AB370" s="22" t="s">
        <v>58</v>
      </c>
      <c r="AC370" s="22" t="s">
        <v>58</v>
      </c>
      <c r="AD370" s="22" t="s">
        <v>58</v>
      </c>
      <c r="AE370" s="22" t="s">
        <v>61</v>
      </c>
      <c r="AF370" s="22" t="s">
        <v>61</v>
      </c>
      <c r="AG370" s="22" t="s">
        <v>58</v>
      </c>
      <c r="AH370" s="22">
        <v>0.0</v>
      </c>
      <c r="AI370" s="22">
        <v>0.0</v>
      </c>
      <c r="AJ370" s="22">
        <v>0.0</v>
      </c>
      <c r="AK370" s="22">
        <v>0.0</v>
      </c>
      <c r="AL370" s="22"/>
      <c r="AM370" s="22"/>
      <c r="AN370" s="22"/>
      <c r="AO370" s="22"/>
    </row>
    <row r="371" ht="15.75" customHeight="1">
      <c r="A371" s="22">
        <v>363.0</v>
      </c>
      <c r="B371" s="22" t="s">
        <v>3012</v>
      </c>
      <c r="C371" s="22" t="s">
        <v>3013</v>
      </c>
      <c r="D371" s="66" t="s">
        <v>3014</v>
      </c>
      <c r="E371" s="22" t="s">
        <v>49</v>
      </c>
      <c r="F371" s="42" t="s">
        <v>3015</v>
      </c>
      <c r="G371" s="82" t="s">
        <v>3017</v>
      </c>
      <c r="H371" s="22" t="s">
        <v>1110</v>
      </c>
      <c r="I371" s="22" t="s">
        <v>1111</v>
      </c>
      <c r="J371" s="22" t="s">
        <v>74</v>
      </c>
      <c r="K371" s="22" t="s">
        <v>55</v>
      </c>
      <c r="L371" s="22" t="s">
        <v>56</v>
      </c>
      <c r="M371" s="22" t="s">
        <v>57</v>
      </c>
      <c r="N371" s="22" t="s">
        <v>58</v>
      </c>
      <c r="O371" s="22">
        <v>200.0</v>
      </c>
      <c r="P371" s="22"/>
      <c r="Q371" s="22" t="s">
        <v>59</v>
      </c>
      <c r="R371" s="22" t="s">
        <v>58</v>
      </c>
      <c r="S371" s="22" t="s">
        <v>58</v>
      </c>
      <c r="T371" s="22"/>
      <c r="U371" s="22"/>
      <c r="V371" s="22" t="s">
        <v>61</v>
      </c>
      <c r="W371" s="22" t="s">
        <v>58</v>
      </c>
      <c r="X371" s="22" t="s">
        <v>58</v>
      </c>
      <c r="Y371" s="22" t="s">
        <v>58</v>
      </c>
      <c r="Z371" s="22" t="s">
        <v>58</v>
      </c>
      <c r="AA371" s="22" t="s">
        <v>58</v>
      </c>
      <c r="AB371" s="22" t="s">
        <v>58</v>
      </c>
      <c r="AC371" s="22" t="s">
        <v>58</v>
      </c>
      <c r="AD371" s="22" t="s">
        <v>58</v>
      </c>
      <c r="AE371" s="22" t="s">
        <v>61</v>
      </c>
      <c r="AF371" s="22" t="s">
        <v>61</v>
      </c>
      <c r="AG371" s="22" t="s">
        <v>58</v>
      </c>
      <c r="AH371" s="22">
        <v>100.0</v>
      </c>
      <c r="AI371" s="22">
        <v>1000.0</v>
      </c>
      <c r="AJ371" s="22">
        <v>100.0</v>
      </c>
      <c r="AK371" s="22">
        <v>0.0</v>
      </c>
      <c r="AL371" s="22"/>
      <c r="AM371" s="22"/>
      <c r="AN371" s="22"/>
      <c r="AO371" s="22"/>
    </row>
    <row r="372" ht="15.75" customHeight="1">
      <c r="A372" s="22">
        <v>364.0</v>
      </c>
      <c r="B372" s="22" t="s">
        <v>3019</v>
      </c>
      <c r="C372" s="22" t="s">
        <v>3020</v>
      </c>
      <c r="D372" s="66" t="s">
        <v>2168</v>
      </c>
      <c r="E372" s="22" t="s">
        <v>49</v>
      </c>
      <c r="F372" s="42" t="s">
        <v>3022</v>
      </c>
      <c r="G372" s="81" t="s">
        <v>3025</v>
      </c>
      <c r="H372" s="22" t="s">
        <v>123</v>
      </c>
      <c r="I372" s="22" t="s">
        <v>124</v>
      </c>
      <c r="J372" s="22" t="s">
        <v>74</v>
      </c>
      <c r="K372" s="22" t="s">
        <v>55</v>
      </c>
      <c r="L372" s="22" t="s">
        <v>56</v>
      </c>
      <c r="M372" s="22" t="s">
        <v>57</v>
      </c>
      <c r="N372" s="22" t="s">
        <v>58</v>
      </c>
      <c r="O372" s="22">
        <v>1500.0</v>
      </c>
      <c r="P372" s="22">
        <v>2000.0</v>
      </c>
      <c r="Q372" s="22" t="s">
        <v>59</v>
      </c>
      <c r="R372" s="22" t="s">
        <v>58</v>
      </c>
      <c r="S372" s="22" t="s">
        <v>58</v>
      </c>
      <c r="T372" s="22"/>
      <c r="U372" s="22"/>
      <c r="V372" s="22" t="s">
        <v>61</v>
      </c>
      <c r="W372" s="22" t="s">
        <v>58</v>
      </c>
      <c r="X372" s="22" t="s">
        <v>58</v>
      </c>
      <c r="Y372" s="22" t="s">
        <v>58</v>
      </c>
      <c r="Z372" s="22" t="s">
        <v>58</v>
      </c>
      <c r="AA372" s="22" t="s">
        <v>58</v>
      </c>
      <c r="AB372" s="22" t="s">
        <v>58</v>
      </c>
      <c r="AC372" s="22" t="s">
        <v>58</v>
      </c>
      <c r="AD372" s="22" t="s">
        <v>58</v>
      </c>
      <c r="AE372" s="22" t="s">
        <v>61</v>
      </c>
      <c r="AF372" s="22" t="s">
        <v>61</v>
      </c>
      <c r="AG372" s="22" t="s">
        <v>58</v>
      </c>
      <c r="AH372" s="22">
        <v>150.0</v>
      </c>
      <c r="AI372" s="22">
        <v>5000.0</v>
      </c>
      <c r="AJ372" s="22">
        <v>150.0</v>
      </c>
      <c r="AK372" s="22">
        <v>0.0</v>
      </c>
      <c r="AL372" s="22"/>
      <c r="AM372" s="22"/>
      <c r="AN372" s="22"/>
      <c r="AO372" s="22"/>
    </row>
    <row r="373" ht="15.75" customHeight="1">
      <c r="A373" s="22">
        <v>365.0</v>
      </c>
      <c r="B373" s="22" t="s">
        <v>3026</v>
      </c>
      <c r="C373" s="22" t="s">
        <v>3027</v>
      </c>
      <c r="D373" s="66" t="s">
        <v>3028</v>
      </c>
      <c r="E373" s="22" t="s">
        <v>49</v>
      </c>
      <c r="F373" s="24" t="s">
        <v>69</v>
      </c>
      <c r="G373" s="54" t="s">
        <v>69</v>
      </c>
      <c r="H373" s="22" t="s">
        <v>1336</v>
      </c>
      <c r="I373" s="22" t="s">
        <v>1337</v>
      </c>
      <c r="J373" s="22" t="s">
        <v>74</v>
      </c>
      <c r="K373" s="22" t="s">
        <v>55</v>
      </c>
      <c r="L373" s="22" t="s">
        <v>56</v>
      </c>
      <c r="M373" s="22" t="s">
        <v>57</v>
      </c>
      <c r="N373" s="22" t="s">
        <v>58</v>
      </c>
      <c r="O373" s="22">
        <v>1100.0</v>
      </c>
      <c r="P373" s="22"/>
      <c r="Q373" s="22" t="s">
        <v>59</v>
      </c>
      <c r="R373" s="22" t="s">
        <v>58</v>
      </c>
      <c r="S373" s="22" t="s">
        <v>58</v>
      </c>
      <c r="T373" s="22"/>
      <c r="U373" s="22"/>
      <c r="V373" s="22" t="s">
        <v>61</v>
      </c>
      <c r="W373" s="22" t="s">
        <v>58</v>
      </c>
      <c r="X373" s="22" t="s">
        <v>58</v>
      </c>
      <c r="Y373" s="22" t="s">
        <v>58</v>
      </c>
      <c r="Z373" s="22" t="s">
        <v>58</v>
      </c>
      <c r="AA373" s="22" t="s">
        <v>58</v>
      </c>
      <c r="AB373" s="22" t="s">
        <v>58</v>
      </c>
      <c r="AC373" s="22" t="s">
        <v>58</v>
      </c>
      <c r="AD373" s="22" t="s">
        <v>58</v>
      </c>
      <c r="AE373" s="22" t="s">
        <v>61</v>
      </c>
      <c r="AF373" s="22" t="s">
        <v>61</v>
      </c>
      <c r="AG373" s="22" t="s">
        <v>58</v>
      </c>
      <c r="AH373" s="22">
        <v>50.0</v>
      </c>
      <c r="AI373" s="22">
        <v>150.0</v>
      </c>
      <c r="AJ373" s="22">
        <v>50.0</v>
      </c>
      <c r="AK373" s="22">
        <v>0.0</v>
      </c>
      <c r="AL373" s="22"/>
      <c r="AM373" s="22"/>
      <c r="AN373" s="22"/>
      <c r="AO373" s="22"/>
    </row>
    <row r="374" ht="15.75" customHeight="1">
      <c r="A374" s="22">
        <v>366.0</v>
      </c>
      <c r="B374" s="22" t="s">
        <v>3030</v>
      </c>
      <c r="C374" s="22" t="s">
        <v>3031</v>
      </c>
      <c r="D374" s="66" t="s">
        <v>3032</v>
      </c>
      <c r="E374" s="22" t="s">
        <v>49</v>
      </c>
      <c r="F374" s="42" t="s">
        <v>3033</v>
      </c>
      <c r="G374" s="71" t="s">
        <v>3039</v>
      </c>
      <c r="H374" s="22" t="s">
        <v>107</v>
      </c>
      <c r="I374" s="22" t="s">
        <v>109</v>
      </c>
      <c r="J374" s="22" t="s">
        <v>74</v>
      </c>
      <c r="K374" s="22" t="s">
        <v>55</v>
      </c>
      <c r="L374" s="22" t="s">
        <v>56</v>
      </c>
      <c r="M374" s="22" t="s">
        <v>57</v>
      </c>
      <c r="N374" s="22" t="s">
        <v>58</v>
      </c>
      <c r="O374" s="22">
        <v>800.0</v>
      </c>
      <c r="P374" s="22">
        <v>1200.0</v>
      </c>
      <c r="Q374" s="22" t="s">
        <v>59</v>
      </c>
      <c r="R374" s="22" t="s">
        <v>58</v>
      </c>
      <c r="S374" s="22" t="s">
        <v>58</v>
      </c>
      <c r="T374" s="22"/>
      <c r="U374" s="22"/>
      <c r="V374" s="22" t="s">
        <v>61</v>
      </c>
      <c r="W374" s="22" t="s">
        <v>58</v>
      </c>
      <c r="X374" s="22" t="s">
        <v>58</v>
      </c>
      <c r="Y374" s="22" t="s">
        <v>58</v>
      </c>
      <c r="Z374" s="22" t="s">
        <v>58</v>
      </c>
      <c r="AA374" s="22" t="s">
        <v>58</v>
      </c>
      <c r="AB374" s="22" t="s">
        <v>58</v>
      </c>
      <c r="AC374" s="22" t="s">
        <v>58</v>
      </c>
      <c r="AD374" s="22" t="s">
        <v>58</v>
      </c>
      <c r="AE374" s="22" t="s">
        <v>61</v>
      </c>
      <c r="AF374" s="22" t="s">
        <v>61</v>
      </c>
      <c r="AG374" s="22" t="s">
        <v>58</v>
      </c>
      <c r="AH374" s="22">
        <v>100.0</v>
      </c>
      <c r="AI374" s="22">
        <v>5000.0</v>
      </c>
      <c r="AJ374" s="22">
        <v>100.0</v>
      </c>
      <c r="AK374" s="22">
        <v>0.0</v>
      </c>
      <c r="AL374" s="22"/>
      <c r="AM374" s="22"/>
      <c r="AN374" s="22"/>
      <c r="AO374" s="22"/>
    </row>
    <row r="375" ht="15.75" customHeight="1">
      <c r="A375" s="22">
        <v>367.0</v>
      </c>
      <c r="B375" s="22" t="s">
        <v>1536</v>
      </c>
      <c r="C375" s="22" t="s">
        <v>1537</v>
      </c>
      <c r="D375" s="66" t="s">
        <v>1538</v>
      </c>
      <c r="E375" s="22" t="s">
        <v>49</v>
      </c>
      <c r="F375" s="42" t="s">
        <v>1694</v>
      </c>
      <c r="G375" s="82">
        <v>9.87389114E9</v>
      </c>
      <c r="H375" s="22" t="s">
        <v>389</v>
      </c>
      <c r="I375" s="22" t="s">
        <v>390</v>
      </c>
      <c r="J375" s="22" t="s">
        <v>390</v>
      </c>
      <c r="K375" s="22" t="s">
        <v>55</v>
      </c>
      <c r="L375" s="22" t="s">
        <v>56</v>
      </c>
      <c r="M375" s="22" t="s">
        <v>57</v>
      </c>
      <c r="N375" s="22" t="s">
        <v>58</v>
      </c>
      <c r="O375" s="22">
        <v>450.0</v>
      </c>
      <c r="P375" s="22">
        <v>600.0</v>
      </c>
      <c r="Q375" s="22" t="s">
        <v>59</v>
      </c>
      <c r="R375" s="22" t="s">
        <v>58</v>
      </c>
      <c r="S375" s="22" t="s">
        <v>58</v>
      </c>
      <c r="T375" s="22"/>
      <c r="U375" s="22"/>
      <c r="V375" s="22" t="s">
        <v>61</v>
      </c>
      <c r="W375" s="22" t="s">
        <v>58</v>
      </c>
      <c r="X375" s="22" t="s">
        <v>58</v>
      </c>
      <c r="Y375" s="22" t="s">
        <v>58</v>
      </c>
      <c r="Z375" s="22" t="s">
        <v>58</v>
      </c>
      <c r="AA375" s="22" t="s">
        <v>58</v>
      </c>
      <c r="AB375" s="22" t="s">
        <v>58</v>
      </c>
      <c r="AC375" s="22" t="s">
        <v>58</v>
      </c>
      <c r="AD375" s="22" t="s">
        <v>58</v>
      </c>
      <c r="AE375" s="22" t="s">
        <v>61</v>
      </c>
      <c r="AF375" s="22" t="s">
        <v>61</v>
      </c>
      <c r="AG375" s="22" t="s">
        <v>58</v>
      </c>
      <c r="AH375" s="22">
        <v>50.0</v>
      </c>
      <c r="AI375" s="22">
        <v>1200.0</v>
      </c>
      <c r="AJ375" s="22">
        <v>50.0</v>
      </c>
      <c r="AK375" s="22">
        <v>0.0</v>
      </c>
      <c r="AL375" s="22"/>
      <c r="AM375" s="22"/>
      <c r="AN375" s="22"/>
      <c r="AO375" s="22"/>
    </row>
    <row r="376" ht="15.75" customHeight="1">
      <c r="A376" s="22">
        <v>368.0</v>
      </c>
      <c r="B376" s="22" t="s">
        <v>3046</v>
      </c>
      <c r="C376" s="22" t="s">
        <v>3047</v>
      </c>
      <c r="D376" s="66" t="s">
        <v>3048</v>
      </c>
      <c r="E376" s="22" t="s">
        <v>49</v>
      </c>
      <c r="F376" s="24" t="s">
        <v>69</v>
      </c>
      <c r="G376" s="24" t="s">
        <v>69</v>
      </c>
      <c r="H376" s="22" t="s">
        <v>1367</v>
      </c>
      <c r="I376" s="22" t="s">
        <v>1368</v>
      </c>
      <c r="J376" s="22" t="s">
        <v>74</v>
      </c>
      <c r="K376" s="22" t="s">
        <v>55</v>
      </c>
      <c r="L376" s="22" t="s">
        <v>56</v>
      </c>
      <c r="M376" s="22" t="s">
        <v>57</v>
      </c>
      <c r="N376" s="22" t="s">
        <v>58</v>
      </c>
      <c r="O376" s="22">
        <v>850.0</v>
      </c>
      <c r="P376" s="22">
        <v>1100.0</v>
      </c>
      <c r="Q376" s="22" t="s">
        <v>59</v>
      </c>
      <c r="R376" s="22" t="s">
        <v>58</v>
      </c>
      <c r="S376" s="22" t="s">
        <v>58</v>
      </c>
      <c r="T376" s="22"/>
      <c r="U376" s="22"/>
      <c r="V376" s="22" t="s">
        <v>61</v>
      </c>
      <c r="W376" s="22" t="s">
        <v>58</v>
      </c>
      <c r="X376" s="22" t="s">
        <v>58</v>
      </c>
      <c r="Y376" s="22" t="s">
        <v>58</v>
      </c>
      <c r="Z376" s="22" t="s">
        <v>58</v>
      </c>
      <c r="AA376" s="22" t="s">
        <v>58</v>
      </c>
      <c r="AB376" s="22" t="s">
        <v>58</v>
      </c>
      <c r="AC376" s="22" t="s">
        <v>58</v>
      </c>
      <c r="AD376" s="22" t="s">
        <v>58</v>
      </c>
      <c r="AE376" s="22" t="s">
        <v>61</v>
      </c>
      <c r="AF376" s="22" t="s">
        <v>61</v>
      </c>
      <c r="AG376" s="22" t="s">
        <v>58</v>
      </c>
      <c r="AH376" s="22">
        <v>100.0</v>
      </c>
      <c r="AI376" s="22">
        <v>10000.0</v>
      </c>
      <c r="AJ376" s="22">
        <v>100.0</v>
      </c>
      <c r="AK376" s="22">
        <v>0.0</v>
      </c>
      <c r="AL376" s="22"/>
      <c r="AM376" s="22"/>
      <c r="AN376" s="22"/>
      <c r="AO376" s="22"/>
    </row>
    <row r="377" ht="15.75" customHeight="1">
      <c r="A377" s="22">
        <v>369.0</v>
      </c>
      <c r="B377" s="22" t="s">
        <v>3050</v>
      </c>
      <c r="C377" s="22" t="s">
        <v>3051</v>
      </c>
      <c r="D377" s="24" t="s">
        <v>69</v>
      </c>
      <c r="E377" s="22" t="s">
        <v>49</v>
      </c>
      <c r="F377" s="24" t="s">
        <v>69</v>
      </c>
      <c r="G377" s="24" t="s">
        <v>69</v>
      </c>
      <c r="H377" s="22" t="s">
        <v>513</v>
      </c>
      <c r="I377" s="22" t="s">
        <v>514</v>
      </c>
      <c r="J377" s="22" t="s">
        <v>74</v>
      </c>
      <c r="K377" s="22" t="s">
        <v>55</v>
      </c>
      <c r="L377" s="22" t="s">
        <v>56</v>
      </c>
      <c r="M377" s="22" t="s">
        <v>57</v>
      </c>
      <c r="N377" s="22" t="s">
        <v>58</v>
      </c>
      <c r="O377" s="22">
        <v>900.0</v>
      </c>
      <c r="P377" s="22">
        <v>1100.0</v>
      </c>
      <c r="Q377" s="22" t="s">
        <v>59</v>
      </c>
      <c r="R377" s="22" t="s">
        <v>58</v>
      </c>
      <c r="S377" s="22" t="s">
        <v>58</v>
      </c>
      <c r="T377" s="22"/>
      <c r="U377" s="22"/>
      <c r="V377" s="22" t="s">
        <v>61</v>
      </c>
      <c r="W377" s="22" t="s">
        <v>58</v>
      </c>
      <c r="X377" s="22" t="s">
        <v>58</v>
      </c>
      <c r="Y377" s="22" t="s">
        <v>58</v>
      </c>
      <c r="Z377" s="22" t="s">
        <v>58</v>
      </c>
      <c r="AA377" s="22" t="s">
        <v>58</v>
      </c>
      <c r="AB377" s="22" t="s">
        <v>58</v>
      </c>
      <c r="AC377" s="22" t="s">
        <v>58</v>
      </c>
      <c r="AD377" s="22" t="s">
        <v>58</v>
      </c>
      <c r="AE377" s="22" t="s">
        <v>61</v>
      </c>
      <c r="AF377" s="22" t="s">
        <v>61</v>
      </c>
      <c r="AG377" s="22" t="s">
        <v>58</v>
      </c>
      <c r="AH377" s="22">
        <v>150.0</v>
      </c>
      <c r="AI377" s="22">
        <v>2500.0</v>
      </c>
      <c r="AJ377" s="22">
        <v>150.0</v>
      </c>
      <c r="AK377" s="22">
        <v>0.0</v>
      </c>
      <c r="AL377" s="22"/>
      <c r="AM377" s="22"/>
      <c r="AN377" s="22"/>
      <c r="AO377" s="22"/>
    </row>
    <row r="378" ht="15.75" customHeight="1">
      <c r="A378" s="22">
        <v>370.0</v>
      </c>
      <c r="B378" s="22" t="s">
        <v>3053</v>
      </c>
      <c r="C378" s="22" t="s">
        <v>3054</v>
      </c>
      <c r="D378" s="66" t="s">
        <v>3055</v>
      </c>
      <c r="E378" s="22" t="s">
        <v>49</v>
      </c>
      <c r="F378" s="42" t="s">
        <v>3056</v>
      </c>
      <c r="G378" s="71" t="s">
        <v>3060</v>
      </c>
      <c r="H378" s="22" t="s">
        <v>727</v>
      </c>
      <c r="I378" s="22" t="s">
        <v>729</v>
      </c>
      <c r="J378" s="22" t="s">
        <v>74</v>
      </c>
      <c r="K378" s="22" t="s">
        <v>55</v>
      </c>
      <c r="L378" s="22" t="s">
        <v>56</v>
      </c>
      <c r="M378" s="22" t="s">
        <v>57</v>
      </c>
      <c r="N378" s="22" t="s">
        <v>58</v>
      </c>
      <c r="O378" s="22">
        <v>800.0</v>
      </c>
      <c r="P378" s="22">
        <v>1200.0</v>
      </c>
      <c r="Q378" s="22" t="s">
        <v>59</v>
      </c>
      <c r="R378" s="22" t="s">
        <v>58</v>
      </c>
      <c r="S378" s="22" t="s">
        <v>58</v>
      </c>
      <c r="T378" s="22"/>
      <c r="U378" s="22"/>
      <c r="V378" s="22" t="s">
        <v>61</v>
      </c>
      <c r="W378" s="22" t="s">
        <v>58</v>
      </c>
      <c r="X378" s="22" t="s">
        <v>58</v>
      </c>
      <c r="Y378" s="22" t="s">
        <v>58</v>
      </c>
      <c r="Z378" s="22" t="s">
        <v>58</v>
      </c>
      <c r="AA378" s="22" t="s">
        <v>58</v>
      </c>
      <c r="AB378" s="22" t="s">
        <v>58</v>
      </c>
      <c r="AC378" s="22" t="s">
        <v>58</v>
      </c>
      <c r="AD378" s="22" t="s">
        <v>58</v>
      </c>
      <c r="AE378" s="22" t="s">
        <v>61</v>
      </c>
      <c r="AF378" s="22" t="s">
        <v>61</v>
      </c>
      <c r="AG378" s="22" t="s">
        <v>58</v>
      </c>
      <c r="AH378" s="22">
        <v>50.0</v>
      </c>
      <c r="AI378" s="22">
        <v>2500.0</v>
      </c>
      <c r="AJ378" s="22">
        <v>50.0</v>
      </c>
      <c r="AK378" s="22">
        <v>0.0</v>
      </c>
      <c r="AL378" s="22"/>
      <c r="AM378" s="22"/>
      <c r="AN378" s="22"/>
      <c r="AO378" s="22"/>
    </row>
    <row r="379" ht="15.75" customHeight="1">
      <c r="A379" s="22">
        <v>371.0</v>
      </c>
      <c r="B379" s="22" t="s">
        <v>895</v>
      </c>
      <c r="C379" s="22" t="s">
        <v>896</v>
      </c>
      <c r="D379" s="66" t="s">
        <v>897</v>
      </c>
      <c r="E379" s="22" t="s">
        <v>49</v>
      </c>
      <c r="F379" s="42" t="s">
        <v>3077</v>
      </c>
      <c r="G379" s="81" t="s">
        <v>3078</v>
      </c>
      <c r="H379" s="22" t="s">
        <v>899</v>
      </c>
      <c r="I379" s="22" t="s">
        <v>900</v>
      </c>
      <c r="J379" s="22" t="s">
        <v>900</v>
      </c>
      <c r="K379" s="22" t="s">
        <v>55</v>
      </c>
      <c r="L379" s="22" t="s">
        <v>56</v>
      </c>
      <c r="M379" s="22" t="s">
        <v>57</v>
      </c>
      <c r="N379" s="22" t="s">
        <v>58</v>
      </c>
      <c r="O379" s="22">
        <v>105.0</v>
      </c>
      <c r="P379" s="22"/>
      <c r="Q379" s="22" t="s">
        <v>59</v>
      </c>
      <c r="R379" s="22" t="s">
        <v>58</v>
      </c>
      <c r="S379" s="22" t="s">
        <v>58</v>
      </c>
      <c r="T379" s="22"/>
      <c r="U379" s="22"/>
      <c r="V379" s="22" t="s">
        <v>61</v>
      </c>
      <c r="W379" s="22" t="s">
        <v>58</v>
      </c>
      <c r="X379" s="22" t="s">
        <v>58</v>
      </c>
      <c r="Y379" s="22" t="s">
        <v>58</v>
      </c>
      <c r="Z379" s="22" t="s">
        <v>58</v>
      </c>
      <c r="AA379" s="22" t="s">
        <v>58</v>
      </c>
      <c r="AB379" s="22" t="s">
        <v>58</v>
      </c>
      <c r="AC379" s="22" t="s">
        <v>58</v>
      </c>
      <c r="AD379" s="22" t="s">
        <v>58</v>
      </c>
      <c r="AE379" s="22" t="s">
        <v>61</v>
      </c>
      <c r="AF379" s="22" t="s">
        <v>61</v>
      </c>
      <c r="AG379" s="22" t="s">
        <v>58</v>
      </c>
      <c r="AH379" s="22">
        <v>100.0</v>
      </c>
      <c r="AI379" s="22">
        <v>10000.0</v>
      </c>
      <c r="AJ379" s="22">
        <v>100.0</v>
      </c>
      <c r="AK379" s="22">
        <v>0.0</v>
      </c>
      <c r="AL379" s="22"/>
      <c r="AM379" s="22"/>
      <c r="AN379" s="22"/>
      <c r="AO379" s="22"/>
    </row>
    <row r="380" ht="15.75" customHeight="1">
      <c r="A380" s="22">
        <v>372.0</v>
      </c>
      <c r="B380" s="22" t="s">
        <v>1754</v>
      </c>
      <c r="C380" s="22" t="s">
        <v>1755</v>
      </c>
      <c r="D380" s="66" t="s">
        <v>1756</v>
      </c>
      <c r="E380" s="22" t="s">
        <v>49</v>
      </c>
      <c r="F380" s="24" t="s">
        <v>69</v>
      </c>
      <c r="G380" s="24" t="s">
        <v>69</v>
      </c>
      <c r="H380" s="22" t="s">
        <v>389</v>
      </c>
      <c r="I380" s="22" t="s">
        <v>390</v>
      </c>
      <c r="J380" s="22" t="s">
        <v>390</v>
      </c>
      <c r="K380" s="22" t="s">
        <v>55</v>
      </c>
      <c r="L380" s="22" t="s">
        <v>56</v>
      </c>
      <c r="M380" s="22" t="s">
        <v>57</v>
      </c>
      <c r="N380" s="22" t="s">
        <v>58</v>
      </c>
      <c r="O380" s="22">
        <v>600.0</v>
      </c>
      <c r="P380" s="22"/>
      <c r="Q380" s="22" t="s">
        <v>59</v>
      </c>
      <c r="R380" s="22" t="s">
        <v>58</v>
      </c>
      <c r="S380" s="22" t="s">
        <v>58</v>
      </c>
      <c r="T380" s="22"/>
      <c r="U380" s="22"/>
      <c r="V380" s="22" t="s">
        <v>61</v>
      </c>
      <c r="W380" s="22" t="s">
        <v>58</v>
      </c>
      <c r="X380" s="22" t="s">
        <v>58</v>
      </c>
      <c r="Y380" s="22" t="s">
        <v>58</v>
      </c>
      <c r="Z380" s="22" t="s">
        <v>58</v>
      </c>
      <c r="AA380" s="22" t="s">
        <v>58</v>
      </c>
      <c r="AB380" s="22" t="s">
        <v>58</v>
      </c>
      <c r="AC380" s="22" t="s">
        <v>58</v>
      </c>
      <c r="AD380" s="22" t="s">
        <v>58</v>
      </c>
      <c r="AE380" s="22" t="s">
        <v>61</v>
      </c>
      <c r="AF380" s="22" t="s">
        <v>61</v>
      </c>
      <c r="AG380" s="22" t="s">
        <v>58</v>
      </c>
      <c r="AH380" s="22">
        <v>250.0</v>
      </c>
      <c r="AI380" s="22">
        <v>1200.0</v>
      </c>
      <c r="AJ380" s="22">
        <v>250.0</v>
      </c>
      <c r="AK380" s="22">
        <v>0.0</v>
      </c>
      <c r="AL380" s="22"/>
      <c r="AM380" s="22"/>
      <c r="AN380" s="22"/>
      <c r="AO380" s="22"/>
    </row>
    <row r="381" ht="15.75" customHeight="1">
      <c r="A381" s="22">
        <v>373.0</v>
      </c>
      <c r="B381" s="22" t="s">
        <v>3081</v>
      </c>
      <c r="C381" s="22" t="s">
        <v>3082</v>
      </c>
      <c r="D381" s="66" t="s">
        <v>3083</v>
      </c>
      <c r="E381" s="22" t="s">
        <v>49</v>
      </c>
      <c r="F381" s="42" t="s">
        <v>3084</v>
      </c>
      <c r="G381" s="81" t="s">
        <v>3090</v>
      </c>
      <c r="H381" s="22" t="s">
        <v>860</v>
      </c>
      <c r="I381" s="22" t="s">
        <v>861</v>
      </c>
      <c r="J381" s="22" t="s">
        <v>74</v>
      </c>
      <c r="K381" s="22" t="s">
        <v>55</v>
      </c>
      <c r="L381" s="22" t="s">
        <v>56</v>
      </c>
      <c r="M381" s="22" t="s">
        <v>57</v>
      </c>
      <c r="N381" s="22" t="s">
        <v>58</v>
      </c>
      <c r="O381" s="22">
        <v>600.0</v>
      </c>
      <c r="P381" s="22">
        <v>800.0</v>
      </c>
      <c r="Q381" s="22" t="s">
        <v>59</v>
      </c>
      <c r="R381" s="22" t="s">
        <v>58</v>
      </c>
      <c r="S381" s="22" t="s">
        <v>58</v>
      </c>
      <c r="T381" s="22"/>
      <c r="U381" s="22"/>
      <c r="V381" s="22" t="s">
        <v>61</v>
      </c>
      <c r="W381" s="22" t="s">
        <v>58</v>
      </c>
      <c r="X381" s="22" t="s">
        <v>58</v>
      </c>
      <c r="Y381" s="22" t="s">
        <v>58</v>
      </c>
      <c r="Z381" s="22" t="s">
        <v>58</v>
      </c>
      <c r="AA381" s="22" t="s">
        <v>58</v>
      </c>
      <c r="AB381" s="22" t="s">
        <v>58</v>
      </c>
      <c r="AC381" s="22" t="s">
        <v>58</v>
      </c>
      <c r="AD381" s="22" t="s">
        <v>58</v>
      </c>
      <c r="AE381" s="22" t="s">
        <v>61</v>
      </c>
      <c r="AF381" s="22" t="s">
        <v>61</v>
      </c>
      <c r="AG381" s="22" t="s">
        <v>58</v>
      </c>
      <c r="AH381" s="22">
        <v>30.0</v>
      </c>
      <c r="AI381" s="22">
        <v>5000.0</v>
      </c>
      <c r="AJ381" s="22">
        <v>30.0</v>
      </c>
      <c r="AK381" s="22">
        <v>0.0</v>
      </c>
      <c r="AL381" s="22"/>
      <c r="AM381" s="22"/>
      <c r="AN381" s="22"/>
      <c r="AO381" s="22"/>
    </row>
    <row r="382" ht="15.75" customHeight="1">
      <c r="A382" s="15">
        <v>374.0</v>
      </c>
      <c r="B382" s="15" t="s">
        <v>3093</v>
      </c>
      <c r="C382" s="15" t="s">
        <v>3094</v>
      </c>
      <c r="D382" s="48" t="s">
        <v>3095</v>
      </c>
      <c r="E382" s="15" t="s">
        <v>49</v>
      </c>
      <c r="F382" s="49" t="s">
        <v>1551</v>
      </c>
      <c r="G382" s="15" t="s">
        <v>3096</v>
      </c>
      <c r="H382" s="15" t="s">
        <v>3097</v>
      </c>
      <c r="I382" s="15" t="s">
        <v>3098</v>
      </c>
      <c r="J382" s="15" t="s">
        <v>74</v>
      </c>
      <c r="K382" s="15" t="s">
        <v>55</v>
      </c>
      <c r="L382" s="15" t="s">
        <v>56</v>
      </c>
      <c r="M382" s="15" t="s">
        <v>57</v>
      </c>
      <c r="N382" s="15" t="s">
        <v>58</v>
      </c>
      <c r="O382" s="15">
        <v>400.0</v>
      </c>
      <c r="P382" s="15">
        <v>600.0</v>
      </c>
      <c r="Q382" s="15" t="s">
        <v>59</v>
      </c>
      <c r="R382" s="15" t="s">
        <v>58</v>
      </c>
      <c r="S382" s="15" t="s">
        <v>58</v>
      </c>
      <c r="T382" s="15"/>
      <c r="U382" s="15"/>
      <c r="V382" s="15" t="s">
        <v>61</v>
      </c>
      <c r="W382" s="15" t="s">
        <v>58</v>
      </c>
      <c r="X382" s="15" t="s">
        <v>58</v>
      </c>
      <c r="Y382" s="15" t="s">
        <v>58</v>
      </c>
      <c r="Z382" s="15" t="s">
        <v>58</v>
      </c>
      <c r="AA382" s="15" t="s">
        <v>58</v>
      </c>
      <c r="AB382" s="15" t="s">
        <v>58</v>
      </c>
      <c r="AC382" s="15" t="s">
        <v>58</v>
      </c>
      <c r="AD382" s="15" t="s">
        <v>58</v>
      </c>
      <c r="AE382" s="15" t="s">
        <v>61</v>
      </c>
      <c r="AF382" s="15" t="s">
        <v>61</v>
      </c>
      <c r="AG382" s="15" t="s">
        <v>58</v>
      </c>
      <c r="AH382" s="15">
        <v>20.0</v>
      </c>
      <c r="AI382" s="15">
        <v>2000.0</v>
      </c>
      <c r="AJ382" s="15">
        <v>20.0</v>
      </c>
      <c r="AK382" s="15">
        <v>0.0</v>
      </c>
      <c r="AL382" s="15"/>
      <c r="AM382" s="15"/>
      <c r="AN382" s="16" t="s">
        <v>757</v>
      </c>
      <c r="AO382" s="21">
        <v>2.0</v>
      </c>
    </row>
    <row r="383" ht="29.25" customHeight="1">
      <c r="A383" s="22">
        <v>375.0</v>
      </c>
      <c r="B383" s="22" t="s">
        <v>873</v>
      </c>
      <c r="C383" s="22" t="s">
        <v>875</v>
      </c>
      <c r="D383" s="24" t="s">
        <v>69</v>
      </c>
      <c r="E383" s="22" t="s">
        <v>49</v>
      </c>
      <c r="F383" s="42" t="s">
        <v>877</v>
      </c>
      <c r="G383" s="24" t="s">
        <v>69</v>
      </c>
      <c r="H383" s="22" t="s">
        <v>147</v>
      </c>
      <c r="I383" s="22" t="s">
        <v>148</v>
      </c>
      <c r="J383" s="22" t="s">
        <v>148</v>
      </c>
      <c r="K383" s="22" t="s">
        <v>55</v>
      </c>
      <c r="L383" s="22" t="s">
        <v>56</v>
      </c>
      <c r="M383" s="22" t="s">
        <v>57</v>
      </c>
      <c r="N383" s="22" t="s">
        <v>58</v>
      </c>
      <c r="O383" s="22">
        <v>500.0</v>
      </c>
      <c r="P383" s="22">
        <v>700.0</v>
      </c>
      <c r="Q383" s="22" t="s">
        <v>59</v>
      </c>
      <c r="R383" s="22" t="s">
        <v>58</v>
      </c>
      <c r="S383" s="22" t="s">
        <v>58</v>
      </c>
      <c r="T383" s="22"/>
      <c r="U383" s="22"/>
      <c r="V383" s="22" t="s">
        <v>61</v>
      </c>
      <c r="W383" s="22" t="s">
        <v>58</v>
      </c>
      <c r="X383" s="22" t="s">
        <v>58</v>
      </c>
      <c r="Y383" s="22" t="s">
        <v>58</v>
      </c>
      <c r="Z383" s="22" t="s">
        <v>58</v>
      </c>
      <c r="AA383" s="22" t="s">
        <v>58</v>
      </c>
      <c r="AB383" s="22" t="s">
        <v>58</v>
      </c>
      <c r="AC383" s="22" t="s">
        <v>58</v>
      </c>
      <c r="AD383" s="22" t="s">
        <v>58</v>
      </c>
      <c r="AE383" s="22" t="s">
        <v>61</v>
      </c>
      <c r="AF383" s="22" t="s">
        <v>61</v>
      </c>
      <c r="AG383" s="22" t="s">
        <v>58</v>
      </c>
      <c r="AH383" s="22">
        <v>25.0</v>
      </c>
      <c r="AI383" s="22">
        <v>1500.0</v>
      </c>
      <c r="AJ383" s="22">
        <v>25.0</v>
      </c>
      <c r="AK383" s="22">
        <v>0.0</v>
      </c>
      <c r="AL383" s="22"/>
      <c r="AM383" s="22"/>
      <c r="AN383" s="22"/>
      <c r="AO383" s="22"/>
    </row>
    <row r="384" ht="15.75" customHeight="1">
      <c r="A384" s="22">
        <v>376.0</v>
      </c>
      <c r="B384" s="22" t="s">
        <v>3108</v>
      </c>
      <c r="C384" s="22" t="s">
        <v>3109</v>
      </c>
      <c r="D384" s="66" t="s">
        <v>3110</v>
      </c>
      <c r="E384" s="22" t="s">
        <v>49</v>
      </c>
      <c r="F384" s="42" t="s">
        <v>3111</v>
      </c>
      <c r="G384" s="106">
        <v>9.32359264E9</v>
      </c>
      <c r="H384" s="22" t="s">
        <v>72</v>
      </c>
      <c r="I384" s="22" t="s">
        <v>73</v>
      </c>
      <c r="J384" s="22" t="s">
        <v>74</v>
      </c>
      <c r="K384" s="22" t="s">
        <v>55</v>
      </c>
      <c r="L384" s="22" t="s">
        <v>56</v>
      </c>
      <c r="M384" s="22" t="s">
        <v>57</v>
      </c>
      <c r="N384" s="22" t="s">
        <v>58</v>
      </c>
      <c r="O384" s="22">
        <v>1100.0</v>
      </c>
      <c r="P384" s="22">
        <v>1300.0</v>
      </c>
      <c r="Q384" s="22" t="s">
        <v>59</v>
      </c>
      <c r="R384" s="22" t="s">
        <v>58</v>
      </c>
      <c r="S384" s="22" t="s">
        <v>58</v>
      </c>
      <c r="T384" s="22"/>
      <c r="U384" s="22"/>
      <c r="V384" s="22" t="s">
        <v>61</v>
      </c>
      <c r="W384" s="22" t="s">
        <v>58</v>
      </c>
      <c r="X384" s="22" t="s">
        <v>58</v>
      </c>
      <c r="Y384" s="22" t="s">
        <v>58</v>
      </c>
      <c r="Z384" s="22" t="s">
        <v>58</v>
      </c>
      <c r="AA384" s="22" t="s">
        <v>58</v>
      </c>
      <c r="AB384" s="22" t="s">
        <v>58</v>
      </c>
      <c r="AC384" s="22" t="s">
        <v>58</v>
      </c>
      <c r="AD384" s="22" t="s">
        <v>58</v>
      </c>
      <c r="AE384" s="22" t="s">
        <v>61</v>
      </c>
      <c r="AF384" s="22" t="s">
        <v>61</v>
      </c>
      <c r="AG384" s="22" t="s">
        <v>58</v>
      </c>
      <c r="AH384" s="22">
        <v>250.0</v>
      </c>
      <c r="AI384" s="22">
        <v>3000.0</v>
      </c>
      <c r="AJ384" s="22">
        <v>250.0</v>
      </c>
      <c r="AK384" s="22">
        <v>0.0</v>
      </c>
      <c r="AL384" s="22"/>
      <c r="AM384" s="22"/>
      <c r="AN384" s="22"/>
      <c r="AO384" s="22"/>
    </row>
    <row r="385" ht="15.75" customHeight="1">
      <c r="A385" s="22">
        <v>377.0</v>
      </c>
      <c r="B385" s="22" t="s">
        <v>640</v>
      </c>
      <c r="C385" s="22" t="s">
        <v>641</v>
      </c>
      <c r="D385" s="22" t="s">
        <v>640</v>
      </c>
      <c r="E385" s="22" t="s">
        <v>49</v>
      </c>
      <c r="F385" s="24" t="s">
        <v>69</v>
      </c>
      <c r="G385" s="24" t="s">
        <v>69</v>
      </c>
      <c r="H385" s="22" t="s">
        <v>147</v>
      </c>
      <c r="I385" s="22" t="s">
        <v>148</v>
      </c>
      <c r="J385" s="22" t="s">
        <v>148</v>
      </c>
      <c r="K385" s="22" t="s">
        <v>55</v>
      </c>
      <c r="L385" s="22" t="s">
        <v>56</v>
      </c>
      <c r="M385" s="22" t="s">
        <v>57</v>
      </c>
      <c r="N385" s="22" t="s">
        <v>58</v>
      </c>
      <c r="O385" s="22">
        <v>300.0</v>
      </c>
      <c r="P385" s="22">
        <v>450.0</v>
      </c>
      <c r="Q385" s="22" t="s">
        <v>59</v>
      </c>
      <c r="R385" s="22" t="s">
        <v>58</v>
      </c>
      <c r="S385" s="22" t="s">
        <v>58</v>
      </c>
      <c r="T385" s="22"/>
      <c r="U385" s="22"/>
      <c r="V385" s="22" t="s">
        <v>61</v>
      </c>
      <c r="W385" s="22" t="s">
        <v>58</v>
      </c>
      <c r="X385" s="22" t="s">
        <v>58</v>
      </c>
      <c r="Y385" s="22" t="s">
        <v>58</v>
      </c>
      <c r="Z385" s="22" t="s">
        <v>58</v>
      </c>
      <c r="AA385" s="22" t="s">
        <v>58</v>
      </c>
      <c r="AB385" s="22" t="s">
        <v>58</v>
      </c>
      <c r="AC385" s="22" t="s">
        <v>58</v>
      </c>
      <c r="AD385" s="22" t="s">
        <v>58</v>
      </c>
      <c r="AE385" s="22" t="s">
        <v>61</v>
      </c>
      <c r="AF385" s="22" t="s">
        <v>61</v>
      </c>
      <c r="AG385" s="22" t="s">
        <v>58</v>
      </c>
      <c r="AH385" s="22">
        <v>100.0</v>
      </c>
      <c r="AI385" s="22">
        <v>1000.0</v>
      </c>
      <c r="AJ385" s="22">
        <v>100.0</v>
      </c>
      <c r="AK385" s="22">
        <v>0.0</v>
      </c>
      <c r="AL385" s="22"/>
      <c r="AM385" s="22"/>
      <c r="AN385" s="22"/>
      <c r="AO385" s="22"/>
    </row>
    <row r="386" ht="15.75" customHeight="1">
      <c r="A386" s="22">
        <v>378.0</v>
      </c>
      <c r="B386" s="22" t="s">
        <v>3128</v>
      </c>
      <c r="C386" s="22" t="s">
        <v>3129</v>
      </c>
      <c r="D386" s="66" t="s">
        <v>3130</v>
      </c>
      <c r="E386" s="22" t="s">
        <v>49</v>
      </c>
      <c r="F386" s="24" t="s">
        <v>69</v>
      </c>
      <c r="G386" s="24" t="s">
        <v>69</v>
      </c>
      <c r="H386" s="22" t="s">
        <v>1385</v>
      </c>
      <c r="I386" s="22" t="s">
        <v>1386</v>
      </c>
      <c r="J386" s="22" t="s">
        <v>74</v>
      </c>
      <c r="K386" s="22" t="s">
        <v>55</v>
      </c>
      <c r="L386" s="22" t="s">
        <v>56</v>
      </c>
      <c r="M386" s="22" t="s">
        <v>57</v>
      </c>
      <c r="N386" s="22" t="s">
        <v>58</v>
      </c>
      <c r="O386" s="22">
        <v>500.0</v>
      </c>
      <c r="P386" s="22">
        <v>1000.0</v>
      </c>
      <c r="Q386" s="22" t="s">
        <v>59</v>
      </c>
      <c r="R386" s="22" t="s">
        <v>58</v>
      </c>
      <c r="S386" s="22" t="s">
        <v>58</v>
      </c>
      <c r="T386" s="22"/>
      <c r="U386" s="22"/>
      <c r="V386" s="22" t="s">
        <v>61</v>
      </c>
      <c r="W386" s="22" t="s">
        <v>58</v>
      </c>
      <c r="X386" s="22" t="s">
        <v>58</v>
      </c>
      <c r="Y386" s="22" t="s">
        <v>58</v>
      </c>
      <c r="Z386" s="22" t="s">
        <v>58</v>
      </c>
      <c r="AA386" s="22" t="s">
        <v>58</v>
      </c>
      <c r="AB386" s="22" t="s">
        <v>58</v>
      </c>
      <c r="AC386" s="22" t="s">
        <v>58</v>
      </c>
      <c r="AD386" s="22" t="s">
        <v>58</v>
      </c>
      <c r="AE386" s="22" t="s">
        <v>61</v>
      </c>
      <c r="AF386" s="22" t="s">
        <v>61</v>
      </c>
      <c r="AG386" s="22" t="s">
        <v>58</v>
      </c>
      <c r="AH386" s="22">
        <v>300.0</v>
      </c>
      <c r="AI386" s="22">
        <v>200.0</v>
      </c>
      <c r="AJ386" s="22">
        <v>300.0</v>
      </c>
      <c r="AK386" s="22">
        <v>0.0</v>
      </c>
      <c r="AL386" s="22"/>
      <c r="AM386" s="22"/>
      <c r="AN386" s="22"/>
      <c r="AO386" s="22"/>
    </row>
    <row r="387" ht="15.75" customHeight="1">
      <c r="A387" s="22">
        <v>379.0</v>
      </c>
      <c r="B387" s="22" t="s">
        <v>3136</v>
      </c>
      <c r="C387" s="22" t="s">
        <v>3137</v>
      </c>
      <c r="D387" s="66" t="s">
        <v>3138</v>
      </c>
      <c r="E387" s="22" t="s">
        <v>49</v>
      </c>
      <c r="F387" s="42" t="s">
        <v>3139</v>
      </c>
      <c r="G387" s="81" t="s">
        <v>3141</v>
      </c>
      <c r="H387" s="22" t="s">
        <v>2659</v>
      </c>
      <c r="I387" s="22" t="s">
        <v>2660</v>
      </c>
      <c r="J387" s="22" t="s">
        <v>74</v>
      </c>
      <c r="K387" s="22" t="s">
        <v>55</v>
      </c>
      <c r="L387" s="22" t="s">
        <v>56</v>
      </c>
      <c r="M387" s="22" t="s">
        <v>57</v>
      </c>
      <c r="N387" s="22" t="s">
        <v>58</v>
      </c>
      <c r="O387" s="22">
        <v>1800.0</v>
      </c>
      <c r="P387" s="22">
        <v>2000.0</v>
      </c>
      <c r="Q387" s="22" t="s">
        <v>59</v>
      </c>
      <c r="R387" s="22" t="s">
        <v>58</v>
      </c>
      <c r="S387" s="22" t="s">
        <v>58</v>
      </c>
      <c r="T387" s="22"/>
      <c r="U387" s="22"/>
      <c r="V387" s="22" t="s">
        <v>61</v>
      </c>
      <c r="W387" s="22" t="s">
        <v>58</v>
      </c>
      <c r="X387" s="22" t="s">
        <v>58</v>
      </c>
      <c r="Y387" s="22" t="s">
        <v>58</v>
      </c>
      <c r="Z387" s="22" t="s">
        <v>58</v>
      </c>
      <c r="AA387" s="22" t="s">
        <v>58</v>
      </c>
      <c r="AB387" s="22" t="s">
        <v>58</v>
      </c>
      <c r="AC387" s="22" t="s">
        <v>58</v>
      </c>
      <c r="AD387" s="22" t="s">
        <v>58</v>
      </c>
      <c r="AE387" s="22" t="s">
        <v>61</v>
      </c>
      <c r="AF387" s="22" t="s">
        <v>61</v>
      </c>
      <c r="AG387" s="22" t="s">
        <v>58</v>
      </c>
      <c r="AH387" s="22">
        <v>50.0</v>
      </c>
      <c r="AI387" s="22">
        <v>500.0</v>
      </c>
      <c r="AJ387" s="22">
        <v>50.0</v>
      </c>
      <c r="AK387" s="22">
        <v>0.0</v>
      </c>
      <c r="AL387" s="22"/>
      <c r="AM387" s="22"/>
      <c r="AN387" s="22"/>
      <c r="AO387" s="22"/>
    </row>
    <row r="388" ht="15.75" customHeight="1">
      <c r="A388" s="22">
        <v>380.0</v>
      </c>
      <c r="B388" s="22" t="s">
        <v>3143</v>
      </c>
      <c r="C388" s="22" t="s">
        <v>3145</v>
      </c>
      <c r="D388" s="53" t="s">
        <v>3148</v>
      </c>
      <c r="E388" s="22" t="s">
        <v>49</v>
      </c>
      <c r="F388" s="22"/>
      <c r="G388" s="22" t="s">
        <v>3149</v>
      </c>
      <c r="H388" s="22" t="s">
        <v>123</v>
      </c>
      <c r="I388" s="22" t="s">
        <v>124</v>
      </c>
      <c r="J388" s="22" t="s">
        <v>74</v>
      </c>
      <c r="K388" s="22" t="s">
        <v>55</v>
      </c>
      <c r="L388" s="22" t="s">
        <v>56</v>
      </c>
      <c r="M388" s="22" t="s">
        <v>57</v>
      </c>
      <c r="N388" s="22" t="s">
        <v>58</v>
      </c>
      <c r="O388" s="22">
        <v>500.0</v>
      </c>
      <c r="P388" s="22">
        <v>800.0</v>
      </c>
      <c r="Q388" s="22" t="s">
        <v>59</v>
      </c>
      <c r="R388" s="22" t="s">
        <v>58</v>
      </c>
      <c r="S388" s="22" t="s">
        <v>58</v>
      </c>
      <c r="T388" s="22"/>
      <c r="U388" s="22"/>
      <c r="V388" s="22" t="s">
        <v>61</v>
      </c>
      <c r="W388" s="22" t="s">
        <v>58</v>
      </c>
      <c r="X388" s="22" t="s">
        <v>58</v>
      </c>
      <c r="Y388" s="22" t="s">
        <v>58</v>
      </c>
      <c r="Z388" s="22" t="s">
        <v>58</v>
      </c>
      <c r="AA388" s="22" t="s">
        <v>58</v>
      </c>
      <c r="AB388" s="22" t="s">
        <v>58</v>
      </c>
      <c r="AC388" s="22" t="s">
        <v>58</v>
      </c>
      <c r="AD388" s="22" t="s">
        <v>58</v>
      </c>
      <c r="AE388" s="22" t="s">
        <v>61</v>
      </c>
      <c r="AF388" s="22" t="s">
        <v>61</v>
      </c>
      <c r="AG388" s="22" t="s">
        <v>58</v>
      </c>
      <c r="AH388" s="22">
        <v>50.0</v>
      </c>
      <c r="AI388" s="22">
        <v>3000.0</v>
      </c>
      <c r="AJ388" s="22">
        <v>50.0</v>
      </c>
      <c r="AK388" s="22">
        <v>0.0</v>
      </c>
      <c r="AL388" s="22"/>
      <c r="AM388" s="22"/>
      <c r="AN388" s="24" t="s">
        <v>757</v>
      </c>
      <c r="AO388" s="22"/>
    </row>
    <row r="389" ht="15.75" customHeight="1">
      <c r="A389" s="22">
        <v>381.0</v>
      </c>
      <c r="B389" s="22" t="s">
        <v>3152</v>
      </c>
      <c r="C389" s="22" t="s">
        <v>3153</v>
      </c>
      <c r="D389" s="22" t="s">
        <v>3155</v>
      </c>
      <c r="E389" s="22" t="s">
        <v>49</v>
      </c>
      <c r="F389" s="42" t="s">
        <v>3156</v>
      </c>
      <c r="G389" s="82">
        <v>8.83831513E9</v>
      </c>
      <c r="H389" s="22" t="s">
        <v>3157</v>
      </c>
      <c r="I389" s="22" t="s">
        <v>3158</v>
      </c>
      <c r="J389" s="22" t="s">
        <v>74</v>
      </c>
      <c r="K389" s="22" t="s">
        <v>55</v>
      </c>
      <c r="L389" s="22" t="s">
        <v>56</v>
      </c>
      <c r="M389" s="22" t="s">
        <v>57</v>
      </c>
      <c r="N389" s="22" t="s">
        <v>58</v>
      </c>
      <c r="O389" s="22">
        <v>500.0</v>
      </c>
      <c r="P389" s="22"/>
      <c r="Q389" s="22" t="s">
        <v>59</v>
      </c>
      <c r="R389" s="22" t="s">
        <v>58</v>
      </c>
      <c r="S389" s="22" t="s">
        <v>58</v>
      </c>
      <c r="T389" s="24" t="s">
        <v>823</v>
      </c>
      <c r="U389" s="24" t="s">
        <v>823</v>
      </c>
      <c r="V389" s="22" t="s">
        <v>61</v>
      </c>
      <c r="W389" s="22" t="s">
        <v>58</v>
      </c>
      <c r="X389" s="22" t="s">
        <v>58</v>
      </c>
      <c r="Y389" s="22" t="s">
        <v>58</v>
      </c>
      <c r="Z389" s="22" t="s">
        <v>58</v>
      </c>
      <c r="AA389" s="22" t="s">
        <v>58</v>
      </c>
      <c r="AB389" s="22" t="s">
        <v>58</v>
      </c>
      <c r="AC389" s="22" t="s">
        <v>58</v>
      </c>
      <c r="AD389" s="22" t="s">
        <v>58</v>
      </c>
      <c r="AE389" s="22" t="s">
        <v>61</v>
      </c>
      <c r="AF389" s="22" t="s">
        <v>61</v>
      </c>
      <c r="AG389" s="22" t="s">
        <v>58</v>
      </c>
      <c r="AH389" s="22">
        <v>50.0</v>
      </c>
      <c r="AI389" s="22">
        <v>2000.0</v>
      </c>
      <c r="AJ389" s="22">
        <v>50.0</v>
      </c>
      <c r="AK389" s="22">
        <v>0.0</v>
      </c>
      <c r="AL389" s="22"/>
      <c r="AM389" s="22"/>
      <c r="AN389" s="22"/>
      <c r="AO389" s="22"/>
    </row>
    <row r="390" ht="15.75" customHeight="1">
      <c r="A390" s="22">
        <v>382.0</v>
      </c>
      <c r="B390" s="22" t="s">
        <v>3161</v>
      </c>
      <c r="C390" s="22" t="s">
        <v>3162</v>
      </c>
      <c r="D390" s="66" t="s">
        <v>3163</v>
      </c>
      <c r="E390" s="22" t="s">
        <v>49</v>
      </c>
      <c r="F390" s="42" t="s">
        <v>3164</v>
      </c>
      <c r="G390" s="71" t="s">
        <v>3169</v>
      </c>
      <c r="H390" s="22" t="s">
        <v>1091</v>
      </c>
      <c r="I390" s="22" t="s">
        <v>1092</v>
      </c>
      <c r="J390" s="22" t="s">
        <v>74</v>
      </c>
      <c r="K390" s="22" t="s">
        <v>55</v>
      </c>
      <c r="L390" s="22" t="s">
        <v>56</v>
      </c>
      <c r="M390" s="22" t="s">
        <v>57</v>
      </c>
      <c r="N390" s="22" t="s">
        <v>58</v>
      </c>
      <c r="O390" s="22">
        <v>950.0</v>
      </c>
      <c r="P390" s="22">
        <v>1050.0</v>
      </c>
      <c r="Q390" s="22" t="s">
        <v>59</v>
      </c>
      <c r="R390" s="22" t="s">
        <v>58</v>
      </c>
      <c r="S390" s="22" t="s">
        <v>58</v>
      </c>
      <c r="T390" s="22"/>
      <c r="U390" s="22"/>
      <c r="V390" s="22" t="s">
        <v>61</v>
      </c>
      <c r="W390" s="22" t="s">
        <v>58</v>
      </c>
      <c r="X390" s="22" t="s">
        <v>58</v>
      </c>
      <c r="Y390" s="22" t="s">
        <v>58</v>
      </c>
      <c r="Z390" s="22" t="s">
        <v>58</v>
      </c>
      <c r="AA390" s="22" t="s">
        <v>58</v>
      </c>
      <c r="AB390" s="22" t="s">
        <v>58</v>
      </c>
      <c r="AC390" s="22" t="s">
        <v>58</v>
      </c>
      <c r="AD390" s="22" t="s">
        <v>58</v>
      </c>
      <c r="AE390" s="22" t="s">
        <v>61</v>
      </c>
      <c r="AF390" s="22" t="s">
        <v>61</v>
      </c>
      <c r="AG390" s="22" t="s">
        <v>58</v>
      </c>
      <c r="AH390" s="22">
        <v>150.0</v>
      </c>
      <c r="AI390" s="22">
        <v>3000.0</v>
      </c>
      <c r="AJ390" s="22">
        <v>150.0</v>
      </c>
      <c r="AK390" s="22">
        <v>0.0</v>
      </c>
      <c r="AL390" s="22"/>
      <c r="AM390" s="22"/>
      <c r="AN390" s="22"/>
      <c r="AO390" s="22"/>
    </row>
    <row r="391" ht="15.75" customHeight="1">
      <c r="A391" s="22">
        <v>383.0</v>
      </c>
      <c r="B391" s="22" t="s">
        <v>3174</v>
      </c>
      <c r="C391" s="22" t="s">
        <v>3175</v>
      </c>
      <c r="D391" s="66" t="s">
        <v>3176</v>
      </c>
      <c r="E391" s="22" t="s">
        <v>49</v>
      </c>
      <c r="F391" s="24" t="s">
        <v>69</v>
      </c>
      <c r="G391" s="24" t="s">
        <v>69</v>
      </c>
      <c r="H391" s="22" t="s">
        <v>1599</v>
      </c>
      <c r="I391" s="22" t="s">
        <v>1601</v>
      </c>
      <c r="J391" s="22" t="s">
        <v>74</v>
      </c>
      <c r="K391" s="22" t="s">
        <v>55</v>
      </c>
      <c r="L391" s="22" t="s">
        <v>56</v>
      </c>
      <c r="M391" s="22" t="s">
        <v>57</v>
      </c>
      <c r="N391" s="22" t="s">
        <v>58</v>
      </c>
      <c r="O391" s="22">
        <v>500.0</v>
      </c>
      <c r="P391" s="22"/>
      <c r="Q391" s="22" t="s">
        <v>59</v>
      </c>
      <c r="R391" s="22" t="s">
        <v>58</v>
      </c>
      <c r="S391" s="22" t="s">
        <v>58</v>
      </c>
      <c r="T391" s="22"/>
      <c r="U391" s="22"/>
      <c r="V391" s="22" t="s">
        <v>61</v>
      </c>
      <c r="W391" s="22" t="s">
        <v>58</v>
      </c>
      <c r="X391" s="22" t="s">
        <v>58</v>
      </c>
      <c r="Y391" s="22" t="s">
        <v>58</v>
      </c>
      <c r="Z391" s="22" t="s">
        <v>58</v>
      </c>
      <c r="AA391" s="22" t="s">
        <v>58</v>
      </c>
      <c r="AB391" s="22" t="s">
        <v>58</v>
      </c>
      <c r="AC391" s="22" t="s">
        <v>58</v>
      </c>
      <c r="AD391" s="22" t="s">
        <v>58</v>
      </c>
      <c r="AE391" s="22" t="s">
        <v>61</v>
      </c>
      <c r="AF391" s="22" t="s">
        <v>61</v>
      </c>
      <c r="AG391" s="22" t="s">
        <v>58</v>
      </c>
      <c r="AH391" s="22">
        <v>50.0</v>
      </c>
      <c r="AI391" s="22">
        <v>20000.0</v>
      </c>
      <c r="AJ391" s="22">
        <v>50.0</v>
      </c>
      <c r="AK391" s="22">
        <v>0.0</v>
      </c>
      <c r="AL391" s="22"/>
      <c r="AM391" s="22"/>
      <c r="AN391" s="22"/>
      <c r="AO391" s="22"/>
    </row>
    <row r="392" ht="15.75" customHeight="1">
      <c r="A392" s="22">
        <v>384.0</v>
      </c>
      <c r="B392" s="22" t="s">
        <v>3179</v>
      </c>
      <c r="C392" s="22" t="s">
        <v>3180</v>
      </c>
      <c r="D392" s="66" t="s">
        <v>3181</v>
      </c>
      <c r="E392" s="22" t="s">
        <v>49</v>
      </c>
      <c r="F392" s="24" t="s">
        <v>69</v>
      </c>
      <c r="G392" s="24" t="s">
        <v>69</v>
      </c>
      <c r="H392" s="22" t="s">
        <v>1091</v>
      </c>
      <c r="I392" s="22" t="s">
        <v>1092</v>
      </c>
      <c r="J392" s="22" t="s">
        <v>74</v>
      </c>
      <c r="K392" s="22" t="s">
        <v>55</v>
      </c>
      <c r="L392" s="22" t="s">
        <v>56</v>
      </c>
      <c r="M392" s="22" t="s">
        <v>57</v>
      </c>
      <c r="N392" s="22" t="s">
        <v>58</v>
      </c>
      <c r="O392" s="22">
        <v>1000.0</v>
      </c>
      <c r="P392" s="22"/>
      <c r="Q392" s="22" t="s">
        <v>59</v>
      </c>
      <c r="R392" s="22" t="s">
        <v>58</v>
      </c>
      <c r="S392" s="22" t="s">
        <v>58</v>
      </c>
      <c r="T392" s="22"/>
      <c r="U392" s="22"/>
      <c r="V392" s="22" t="s">
        <v>61</v>
      </c>
      <c r="W392" s="22" t="s">
        <v>58</v>
      </c>
      <c r="X392" s="22" t="s">
        <v>58</v>
      </c>
      <c r="Y392" s="22" t="s">
        <v>58</v>
      </c>
      <c r="Z392" s="22" t="s">
        <v>58</v>
      </c>
      <c r="AA392" s="22" t="s">
        <v>58</v>
      </c>
      <c r="AB392" s="22" t="s">
        <v>58</v>
      </c>
      <c r="AC392" s="22" t="s">
        <v>58</v>
      </c>
      <c r="AD392" s="22" t="s">
        <v>58</v>
      </c>
      <c r="AE392" s="22" t="s">
        <v>61</v>
      </c>
      <c r="AF392" s="22" t="s">
        <v>61</v>
      </c>
      <c r="AG392" s="22" t="s">
        <v>58</v>
      </c>
      <c r="AH392" s="22">
        <v>5.0</v>
      </c>
      <c r="AI392" s="22">
        <v>500.0</v>
      </c>
      <c r="AJ392" s="22">
        <v>5.0</v>
      </c>
      <c r="AK392" s="22">
        <v>0.0</v>
      </c>
      <c r="AL392" s="22"/>
      <c r="AM392" s="22"/>
      <c r="AN392" s="22"/>
      <c r="AO392" s="22"/>
    </row>
    <row r="393" ht="42.75" customHeight="1">
      <c r="A393" s="22">
        <v>385.0</v>
      </c>
      <c r="B393" s="22" t="s">
        <v>1309</v>
      </c>
      <c r="C393" s="22" t="s">
        <v>1310</v>
      </c>
      <c r="D393" s="22" t="s">
        <v>1311</v>
      </c>
      <c r="E393" s="22" t="s">
        <v>49</v>
      </c>
      <c r="F393" s="42" t="s">
        <v>3183</v>
      </c>
      <c r="G393" s="24" t="s">
        <v>69</v>
      </c>
      <c r="H393" s="22" t="s">
        <v>784</v>
      </c>
      <c r="I393" s="22" t="s">
        <v>785</v>
      </c>
      <c r="J393" s="22" t="s">
        <v>785</v>
      </c>
      <c r="K393" s="22" t="s">
        <v>55</v>
      </c>
      <c r="L393" s="22" t="s">
        <v>56</v>
      </c>
      <c r="M393" s="22" t="s">
        <v>57</v>
      </c>
      <c r="N393" s="22" t="s">
        <v>58</v>
      </c>
      <c r="O393" s="22">
        <v>700.0</v>
      </c>
      <c r="P393" s="22">
        <v>1100.0</v>
      </c>
      <c r="Q393" s="22" t="s">
        <v>59</v>
      </c>
      <c r="R393" s="22" t="s">
        <v>58</v>
      </c>
      <c r="S393" s="22" t="s">
        <v>58</v>
      </c>
      <c r="T393" s="22" t="s">
        <v>3186</v>
      </c>
      <c r="U393" s="22"/>
      <c r="V393" s="22" t="s">
        <v>61</v>
      </c>
      <c r="W393" s="22" t="s">
        <v>58</v>
      </c>
      <c r="X393" s="22" t="s">
        <v>58</v>
      </c>
      <c r="Y393" s="22" t="s">
        <v>58</v>
      </c>
      <c r="Z393" s="22" t="s">
        <v>58</v>
      </c>
      <c r="AA393" s="22" t="s">
        <v>58</v>
      </c>
      <c r="AB393" s="22" t="s">
        <v>58</v>
      </c>
      <c r="AC393" s="22" t="s">
        <v>58</v>
      </c>
      <c r="AD393" s="22" t="s">
        <v>58</v>
      </c>
      <c r="AE393" s="22" t="s">
        <v>61</v>
      </c>
      <c r="AF393" s="22" t="s">
        <v>61</v>
      </c>
      <c r="AG393" s="22" t="s">
        <v>58</v>
      </c>
      <c r="AH393" s="22">
        <v>0.0</v>
      </c>
      <c r="AI393" s="22">
        <v>5000.0</v>
      </c>
      <c r="AJ393" s="22">
        <v>0.0</v>
      </c>
      <c r="AK393" s="22">
        <v>0.0</v>
      </c>
      <c r="AL393" s="22"/>
      <c r="AM393" s="22"/>
      <c r="AN393" s="22"/>
      <c r="AO393" s="22"/>
    </row>
    <row r="394" ht="15.75" customHeight="1">
      <c r="A394" s="22"/>
      <c r="B394" s="22"/>
      <c r="C394" s="22"/>
      <c r="D394" s="22"/>
      <c r="E394" s="22"/>
      <c r="F394" s="22"/>
      <c r="G394" s="22"/>
      <c r="H394" s="22"/>
      <c r="I394" s="22"/>
      <c r="J394" s="22"/>
      <c r="K394" s="22"/>
      <c r="L394" s="22"/>
      <c r="M394" s="22"/>
      <c r="N394" s="22"/>
      <c r="O394" s="22"/>
      <c r="P394" s="22"/>
      <c r="Q394" s="22"/>
      <c r="R394" s="22"/>
      <c r="S394" s="22"/>
      <c r="T394" s="22" t="s">
        <v>3192</v>
      </c>
      <c r="U394" s="22"/>
      <c r="V394" s="22"/>
      <c r="W394" s="22"/>
      <c r="X394" s="22"/>
      <c r="Y394" s="22"/>
      <c r="Z394" s="22"/>
      <c r="AA394" s="22"/>
      <c r="AB394" s="22"/>
      <c r="AC394" s="22"/>
      <c r="AD394" s="22"/>
      <c r="AE394" s="22"/>
      <c r="AF394" s="22"/>
      <c r="AG394" s="22"/>
      <c r="AH394" s="22"/>
      <c r="AI394" s="22"/>
      <c r="AJ394" s="22"/>
      <c r="AK394" s="22"/>
      <c r="AL394" s="22"/>
      <c r="AM394" s="22"/>
      <c r="AN394" s="22"/>
      <c r="AO394" s="22"/>
    </row>
    <row r="395" ht="15.75" customHeight="1">
      <c r="A395" s="22">
        <v>386.0</v>
      </c>
      <c r="B395" s="22" t="s">
        <v>3194</v>
      </c>
      <c r="C395" s="22" t="s">
        <v>3195</v>
      </c>
      <c r="D395" s="66" t="s">
        <v>3196</v>
      </c>
      <c r="E395" s="22" t="s">
        <v>49</v>
      </c>
      <c r="F395" s="42" t="s">
        <v>3197</v>
      </c>
      <c r="G395" s="82">
        <v>9.220870033E9</v>
      </c>
      <c r="H395" s="22" t="s">
        <v>3198</v>
      </c>
      <c r="I395" s="22" t="s">
        <v>3199</v>
      </c>
      <c r="J395" s="22" t="s">
        <v>74</v>
      </c>
      <c r="K395" s="22" t="s">
        <v>55</v>
      </c>
      <c r="L395" s="22" t="s">
        <v>56</v>
      </c>
      <c r="M395" s="22" t="s">
        <v>57</v>
      </c>
      <c r="N395" s="22" t="s">
        <v>58</v>
      </c>
      <c r="O395" s="22">
        <v>699.0</v>
      </c>
      <c r="P395" s="22">
        <v>899.0</v>
      </c>
      <c r="Q395" s="22" t="s">
        <v>59</v>
      </c>
      <c r="R395" s="22" t="s">
        <v>58</v>
      </c>
      <c r="S395" s="22" t="s">
        <v>58</v>
      </c>
      <c r="T395" s="22"/>
      <c r="U395" s="22"/>
      <c r="V395" s="22" t="s">
        <v>61</v>
      </c>
      <c r="W395" s="22" t="s">
        <v>58</v>
      </c>
      <c r="X395" s="22" t="s">
        <v>58</v>
      </c>
      <c r="Y395" s="22" t="s">
        <v>58</v>
      </c>
      <c r="Z395" s="22" t="s">
        <v>58</v>
      </c>
      <c r="AA395" s="22" t="s">
        <v>58</v>
      </c>
      <c r="AB395" s="22" t="s">
        <v>58</v>
      </c>
      <c r="AC395" s="22" t="s">
        <v>58</v>
      </c>
      <c r="AD395" s="22" t="s">
        <v>58</v>
      </c>
      <c r="AE395" s="22" t="s">
        <v>61</v>
      </c>
      <c r="AF395" s="22" t="s">
        <v>61</v>
      </c>
      <c r="AG395" s="22" t="s">
        <v>58</v>
      </c>
      <c r="AH395" s="22">
        <v>77.0</v>
      </c>
      <c r="AI395" s="22">
        <v>25.0</v>
      </c>
      <c r="AJ395" s="22">
        <v>77.0</v>
      </c>
      <c r="AK395" s="22">
        <v>0.0</v>
      </c>
      <c r="AL395" s="22"/>
      <c r="AM395" s="22"/>
      <c r="AN395" s="22"/>
      <c r="AO395" s="22"/>
    </row>
    <row r="396" ht="15.75" customHeight="1">
      <c r="A396" s="22">
        <v>387.0</v>
      </c>
      <c r="B396" s="22" t="s">
        <v>3200</v>
      </c>
      <c r="C396" s="22" t="s">
        <v>3201</v>
      </c>
      <c r="D396" s="66" t="s">
        <v>3202</v>
      </c>
      <c r="E396" s="22" t="s">
        <v>49</v>
      </c>
      <c r="F396" s="42" t="s">
        <v>3203</v>
      </c>
      <c r="G396" s="71">
        <v>9.811987831E9</v>
      </c>
      <c r="H396" s="22" t="s">
        <v>513</v>
      </c>
      <c r="I396" s="22" t="s">
        <v>514</v>
      </c>
      <c r="J396" s="22" t="s">
        <v>74</v>
      </c>
      <c r="K396" s="22" t="s">
        <v>55</v>
      </c>
      <c r="L396" s="22" t="s">
        <v>56</v>
      </c>
      <c r="M396" s="22" t="s">
        <v>57</v>
      </c>
      <c r="N396" s="22" t="s">
        <v>58</v>
      </c>
      <c r="O396" s="22">
        <v>1200.0</v>
      </c>
      <c r="P396" s="22">
        <v>1500.0</v>
      </c>
      <c r="Q396" s="22" t="s">
        <v>59</v>
      </c>
      <c r="R396" s="22" t="s">
        <v>58</v>
      </c>
      <c r="S396" s="22" t="s">
        <v>58</v>
      </c>
      <c r="T396" s="22"/>
      <c r="U396" s="22"/>
      <c r="V396" s="22" t="s">
        <v>61</v>
      </c>
      <c r="W396" s="22" t="s">
        <v>58</v>
      </c>
      <c r="X396" s="22" t="s">
        <v>58</v>
      </c>
      <c r="Y396" s="22" t="s">
        <v>58</v>
      </c>
      <c r="Z396" s="22" t="s">
        <v>58</v>
      </c>
      <c r="AA396" s="22" t="s">
        <v>58</v>
      </c>
      <c r="AB396" s="22" t="s">
        <v>58</v>
      </c>
      <c r="AC396" s="22" t="s">
        <v>58</v>
      </c>
      <c r="AD396" s="22" t="s">
        <v>58</v>
      </c>
      <c r="AE396" s="22" t="s">
        <v>61</v>
      </c>
      <c r="AF396" s="22" t="s">
        <v>61</v>
      </c>
      <c r="AG396" s="22" t="s">
        <v>58</v>
      </c>
      <c r="AH396" s="22">
        <v>30.0</v>
      </c>
      <c r="AI396" s="22">
        <v>500.0</v>
      </c>
      <c r="AJ396" s="22">
        <v>30.0</v>
      </c>
      <c r="AK396" s="22">
        <v>0.0</v>
      </c>
      <c r="AL396" s="22"/>
      <c r="AM396" s="22"/>
      <c r="AN396" s="22"/>
      <c r="AO396" s="22"/>
    </row>
    <row r="397" ht="15.75" customHeight="1">
      <c r="A397" s="22">
        <v>388.0</v>
      </c>
      <c r="B397" s="22" t="s">
        <v>3209</v>
      </c>
      <c r="C397" s="22" t="s">
        <v>3210</v>
      </c>
      <c r="D397" s="66" t="s">
        <v>3211</v>
      </c>
      <c r="E397" s="22" t="s">
        <v>49</v>
      </c>
      <c r="F397" s="42" t="s">
        <v>3212</v>
      </c>
      <c r="G397" s="24" t="s">
        <v>69</v>
      </c>
      <c r="H397" s="22" t="s">
        <v>123</v>
      </c>
      <c r="I397" s="22" t="s">
        <v>124</v>
      </c>
      <c r="J397" s="22" t="s">
        <v>74</v>
      </c>
      <c r="K397" s="22" t="s">
        <v>55</v>
      </c>
      <c r="L397" s="22" t="s">
        <v>56</v>
      </c>
      <c r="M397" s="22" t="s">
        <v>57</v>
      </c>
      <c r="N397" s="22" t="s">
        <v>58</v>
      </c>
      <c r="O397" s="22">
        <v>350.0</v>
      </c>
      <c r="P397" s="22">
        <v>400.0</v>
      </c>
      <c r="Q397" s="22" t="s">
        <v>59</v>
      </c>
      <c r="R397" s="22" t="s">
        <v>58</v>
      </c>
      <c r="S397" s="22" t="s">
        <v>58</v>
      </c>
      <c r="T397" s="22"/>
      <c r="U397" s="22"/>
      <c r="V397" s="22" t="s">
        <v>61</v>
      </c>
      <c r="W397" s="22" t="s">
        <v>58</v>
      </c>
      <c r="X397" s="22" t="s">
        <v>58</v>
      </c>
      <c r="Y397" s="22" t="s">
        <v>58</v>
      </c>
      <c r="Z397" s="22" t="s">
        <v>58</v>
      </c>
      <c r="AA397" s="22" t="s">
        <v>58</v>
      </c>
      <c r="AB397" s="22" t="s">
        <v>58</v>
      </c>
      <c r="AC397" s="22" t="s">
        <v>58</v>
      </c>
      <c r="AD397" s="22" t="s">
        <v>58</v>
      </c>
      <c r="AE397" s="22" t="s">
        <v>61</v>
      </c>
      <c r="AF397" s="22" t="s">
        <v>61</v>
      </c>
      <c r="AG397" s="22" t="s">
        <v>58</v>
      </c>
      <c r="AH397" s="22">
        <v>100.0</v>
      </c>
      <c r="AI397" s="22">
        <v>2500.0</v>
      </c>
      <c r="AJ397" s="22">
        <v>100.0</v>
      </c>
      <c r="AK397" s="22">
        <v>0.0</v>
      </c>
      <c r="AL397" s="22"/>
      <c r="AM397" s="22"/>
      <c r="AN397" s="22"/>
      <c r="AO397" s="22"/>
    </row>
    <row r="398" ht="15.75" customHeight="1">
      <c r="A398" s="22">
        <v>389.0</v>
      </c>
      <c r="B398" s="22" t="s">
        <v>3218</v>
      </c>
      <c r="C398" s="22" t="s">
        <v>3219</v>
      </c>
      <c r="D398" s="66" t="s">
        <v>3220</v>
      </c>
      <c r="E398" s="22" t="s">
        <v>49</v>
      </c>
      <c r="F398" s="42" t="s">
        <v>3222</v>
      </c>
      <c r="G398" s="71" t="s">
        <v>3223</v>
      </c>
      <c r="H398" s="22" t="s">
        <v>586</v>
      </c>
      <c r="I398" s="22" t="s">
        <v>587</v>
      </c>
      <c r="J398" s="22" t="s">
        <v>74</v>
      </c>
      <c r="K398" s="22" t="s">
        <v>55</v>
      </c>
      <c r="L398" s="22" t="s">
        <v>56</v>
      </c>
      <c r="M398" s="22" t="s">
        <v>57</v>
      </c>
      <c r="N398" s="22" t="s">
        <v>58</v>
      </c>
      <c r="O398" s="22">
        <v>800.0</v>
      </c>
      <c r="P398" s="22">
        <v>1000.0</v>
      </c>
      <c r="Q398" s="22" t="s">
        <v>59</v>
      </c>
      <c r="R398" s="22" t="s">
        <v>58</v>
      </c>
      <c r="S398" s="22" t="s">
        <v>58</v>
      </c>
      <c r="T398" s="22"/>
      <c r="U398" s="22"/>
      <c r="V398" s="22" t="s">
        <v>61</v>
      </c>
      <c r="W398" s="22" t="s">
        <v>58</v>
      </c>
      <c r="X398" s="22" t="s">
        <v>58</v>
      </c>
      <c r="Y398" s="22" t="s">
        <v>58</v>
      </c>
      <c r="Z398" s="22" t="s">
        <v>58</v>
      </c>
      <c r="AA398" s="22" t="s">
        <v>58</v>
      </c>
      <c r="AB398" s="22" t="s">
        <v>58</v>
      </c>
      <c r="AC398" s="22" t="s">
        <v>58</v>
      </c>
      <c r="AD398" s="22" t="s">
        <v>58</v>
      </c>
      <c r="AE398" s="22" t="s">
        <v>61</v>
      </c>
      <c r="AF398" s="22" t="s">
        <v>61</v>
      </c>
      <c r="AG398" s="22" t="s">
        <v>58</v>
      </c>
      <c r="AH398" s="22">
        <v>500.0</v>
      </c>
      <c r="AI398" s="22">
        <v>2000.0</v>
      </c>
      <c r="AJ398" s="22">
        <v>500.0</v>
      </c>
      <c r="AK398" s="22">
        <v>0.0</v>
      </c>
      <c r="AL398" s="22"/>
      <c r="AM398" s="22"/>
      <c r="AN398" s="22"/>
      <c r="AO398" s="22"/>
    </row>
    <row r="399" ht="15.75" customHeight="1">
      <c r="A399" s="22">
        <v>390.0</v>
      </c>
      <c r="B399" s="22" t="s">
        <v>3233</v>
      </c>
      <c r="C399" s="22" t="s">
        <v>3234</v>
      </c>
      <c r="D399" s="24" t="s">
        <v>69</v>
      </c>
      <c r="E399" s="22" t="s">
        <v>49</v>
      </c>
      <c r="F399" s="24" t="s">
        <v>69</v>
      </c>
      <c r="G399" s="24" t="s">
        <v>69</v>
      </c>
      <c r="H399" s="22" t="s">
        <v>303</v>
      </c>
      <c r="I399" s="22" t="s">
        <v>303</v>
      </c>
      <c r="J399" s="22" t="s">
        <v>74</v>
      </c>
      <c r="K399" s="22" t="s">
        <v>55</v>
      </c>
      <c r="L399" s="22" t="s">
        <v>56</v>
      </c>
      <c r="M399" s="22" t="s">
        <v>57</v>
      </c>
      <c r="N399" s="22" t="s">
        <v>58</v>
      </c>
      <c r="O399" s="22">
        <v>1200.0</v>
      </c>
      <c r="P399" s="22">
        <v>2000.0</v>
      </c>
      <c r="Q399" s="22" t="s">
        <v>59</v>
      </c>
      <c r="R399" s="22" t="s">
        <v>58</v>
      </c>
      <c r="S399" s="22" t="s">
        <v>58</v>
      </c>
      <c r="T399" s="22"/>
      <c r="U399" s="22"/>
      <c r="V399" s="22" t="s">
        <v>61</v>
      </c>
      <c r="W399" s="22" t="s">
        <v>58</v>
      </c>
      <c r="X399" s="22" t="s">
        <v>58</v>
      </c>
      <c r="Y399" s="22" t="s">
        <v>58</v>
      </c>
      <c r="Z399" s="22" t="s">
        <v>58</v>
      </c>
      <c r="AA399" s="22" t="s">
        <v>58</v>
      </c>
      <c r="AB399" s="22" t="s">
        <v>58</v>
      </c>
      <c r="AC399" s="22" t="s">
        <v>58</v>
      </c>
      <c r="AD399" s="22" t="s">
        <v>58</v>
      </c>
      <c r="AE399" s="22" t="s">
        <v>61</v>
      </c>
      <c r="AF399" s="22" t="s">
        <v>61</v>
      </c>
      <c r="AG399" s="22" t="s">
        <v>58</v>
      </c>
      <c r="AH399" s="22">
        <v>5000.0</v>
      </c>
      <c r="AI399" s="22">
        <v>50000.0</v>
      </c>
      <c r="AJ399" s="22">
        <v>5000.0</v>
      </c>
      <c r="AK399" s="22">
        <v>0.0</v>
      </c>
      <c r="AL399" s="22"/>
      <c r="AM399" s="22"/>
      <c r="AN399" s="22"/>
      <c r="AO399" s="22"/>
    </row>
    <row r="400" ht="15.75" customHeight="1">
      <c r="A400" s="22">
        <v>391.0</v>
      </c>
      <c r="B400" s="22" t="s">
        <v>3238</v>
      </c>
      <c r="C400" s="22" t="s">
        <v>3239</v>
      </c>
      <c r="D400" s="22" t="s">
        <v>3240</v>
      </c>
      <c r="E400" s="22" t="s">
        <v>49</v>
      </c>
      <c r="F400" s="42" t="s">
        <v>3241</v>
      </c>
      <c r="G400" s="81" t="s">
        <v>3244</v>
      </c>
      <c r="H400" s="22" t="s">
        <v>303</v>
      </c>
      <c r="I400" s="22" t="s">
        <v>303</v>
      </c>
      <c r="J400" s="22" t="s">
        <v>74</v>
      </c>
      <c r="K400" s="22" t="s">
        <v>55</v>
      </c>
      <c r="L400" s="22" t="s">
        <v>56</v>
      </c>
      <c r="M400" s="22" t="s">
        <v>57</v>
      </c>
      <c r="N400" s="22" t="s">
        <v>58</v>
      </c>
      <c r="O400" s="22">
        <v>450.0</v>
      </c>
      <c r="P400" s="22">
        <v>500.0</v>
      </c>
      <c r="Q400" s="22" t="s">
        <v>59</v>
      </c>
      <c r="R400" s="22" t="s">
        <v>58</v>
      </c>
      <c r="S400" s="22" t="s">
        <v>58</v>
      </c>
      <c r="T400" s="22" t="s">
        <v>948</v>
      </c>
      <c r="U400" s="22"/>
      <c r="V400" s="22" t="s">
        <v>61</v>
      </c>
      <c r="W400" s="22" t="s">
        <v>58</v>
      </c>
      <c r="X400" s="22" t="s">
        <v>58</v>
      </c>
      <c r="Y400" s="22" t="s">
        <v>58</v>
      </c>
      <c r="Z400" s="22" t="s">
        <v>58</v>
      </c>
      <c r="AA400" s="22" t="s">
        <v>58</v>
      </c>
      <c r="AB400" s="22" t="s">
        <v>58</v>
      </c>
      <c r="AC400" s="22" t="s">
        <v>58</v>
      </c>
      <c r="AD400" s="22" t="s">
        <v>58</v>
      </c>
      <c r="AE400" s="22" t="s">
        <v>61</v>
      </c>
      <c r="AF400" s="22" t="s">
        <v>61</v>
      </c>
      <c r="AG400" s="22" t="s">
        <v>58</v>
      </c>
      <c r="AH400" s="22">
        <v>25.0</v>
      </c>
      <c r="AI400" s="22">
        <v>250.0</v>
      </c>
      <c r="AJ400" s="22">
        <v>25.0</v>
      </c>
      <c r="AK400" s="22">
        <v>0.0</v>
      </c>
      <c r="AL400" s="22"/>
      <c r="AM400" s="22"/>
      <c r="AN400" s="22"/>
      <c r="AO400" s="22"/>
    </row>
    <row r="401" ht="15.75" customHeight="1">
      <c r="A401" s="22">
        <v>392.0</v>
      </c>
      <c r="B401" s="22" t="s">
        <v>698</v>
      </c>
      <c r="C401" s="22" t="s">
        <v>699</v>
      </c>
      <c r="D401" s="66" t="s">
        <v>3246</v>
      </c>
      <c r="E401" s="22" t="s">
        <v>49</v>
      </c>
      <c r="F401" s="42" t="s">
        <v>3247</v>
      </c>
      <c r="G401" s="24" t="s">
        <v>69</v>
      </c>
      <c r="H401" s="22" t="s">
        <v>75</v>
      </c>
      <c r="I401" s="22" t="s">
        <v>76</v>
      </c>
      <c r="J401" s="22" t="s">
        <v>76</v>
      </c>
      <c r="K401" s="22" t="s">
        <v>55</v>
      </c>
      <c r="L401" s="22" t="s">
        <v>56</v>
      </c>
      <c r="M401" s="22" t="s">
        <v>57</v>
      </c>
      <c r="N401" s="22" t="s">
        <v>58</v>
      </c>
      <c r="O401" s="22">
        <v>500.0</v>
      </c>
      <c r="P401" s="22">
        <v>700.0</v>
      </c>
      <c r="Q401" s="22" t="s">
        <v>59</v>
      </c>
      <c r="R401" s="22" t="s">
        <v>58</v>
      </c>
      <c r="S401" s="22" t="s">
        <v>58</v>
      </c>
      <c r="T401" s="22"/>
      <c r="U401" s="22"/>
      <c r="V401" s="22" t="s">
        <v>61</v>
      </c>
      <c r="W401" s="22" t="s">
        <v>58</v>
      </c>
      <c r="X401" s="22" t="s">
        <v>58</v>
      </c>
      <c r="Y401" s="22" t="s">
        <v>58</v>
      </c>
      <c r="Z401" s="22" t="s">
        <v>58</v>
      </c>
      <c r="AA401" s="22" t="s">
        <v>58</v>
      </c>
      <c r="AB401" s="22" t="s">
        <v>58</v>
      </c>
      <c r="AC401" s="22" t="s">
        <v>58</v>
      </c>
      <c r="AD401" s="22" t="s">
        <v>58</v>
      </c>
      <c r="AE401" s="22" t="s">
        <v>61</v>
      </c>
      <c r="AF401" s="22" t="s">
        <v>61</v>
      </c>
      <c r="AG401" s="22" t="s">
        <v>58</v>
      </c>
      <c r="AH401" s="22">
        <v>50.0</v>
      </c>
      <c r="AI401" s="22">
        <v>5000.0</v>
      </c>
      <c r="AJ401" s="22">
        <v>50.0</v>
      </c>
      <c r="AK401" s="22">
        <v>0.0</v>
      </c>
      <c r="AL401" s="22"/>
      <c r="AM401" s="22"/>
      <c r="AN401" s="22"/>
      <c r="AO401" s="22"/>
    </row>
    <row r="402" ht="15.75" customHeight="1">
      <c r="A402" s="22">
        <v>393.0</v>
      </c>
      <c r="B402" s="22" t="s">
        <v>3251</v>
      </c>
      <c r="C402" s="22" t="s">
        <v>3252</v>
      </c>
      <c r="D402" s="66" t="s">
        <v>3253</v>
      </c>
      <c r="E402" s="22" t="s">
        <v>49</v>
      </c>
      <c r="F402" s="42" t="s">
        <v>3254</v>
      </c>
      <c r="G402" s="81" t="s">
        <v>3255</v>
      </c>
      <c r="H402" s="22" t="s">
        <v>3256</v>
      </c>
      <c r="I402" s="22" t="s">
        <v>3257</v>
      </c>
      <c r="J402" s="22" t="s">
        <v>74</v>
      </c>
      <c r="K402" s="22" t="s">
        <v>55</v>
      </c>
      <c r="L402" s="22" t="s">
        <v>56</v>
      </c>
      <c r="M402" s="22" t="s">
        <v>57</v>
      </c>
      <c r="N402" s="22" t="s">
        <v>58</v>
      </c>
      <c r="O402" s="22">
        <v>699.0</v>
      </c>
      <c r="P402" s="22">
        <v>999.0</v>
      </c>
      <c r="Q402" s="22" t="s">
        <v>59</v>
      </c>
      <c r="R402" s="22" t="s">
        <v>58</v>
      </c>
      <c r="S402" s="22" t="s">
        <v>58</v>
      </c>
      <c r="T402" s="22"/>
      <c r="U402" s="22"/>
      <c r="V402" s="22" t="s">
        <v>61</v>
      </c>
      <c r="W402" s="22" t="s">
        <v>58</v>
      </c>
      <c r="X402" s="22" t="s">
        <v>58</v>
      </c>
      <c r="Y402" s="22" t="s">
        <v>58</v>
      </c>
      <c r="Z402" s="22" t="s">
        <v>58</v>
      </c>
      <c r="AA402" s="22" t="s">
        <v>58</v>
      </c>
      <c r="AB402" s="22" t="s">
        <v>58</v>
      </c>
      <c r="AC402" s="22" t="s">
        <v>58</v>
      </c>
      <c r="AD402" s="22" t="s">
        <v>58</v>
      </c>
      <c r="AE402" s="22" t="s">
        <v>61</v>
      </c>
      <c r="AF402" s="22" t="s">
        <v>61</v>
      </c>
      <c r="AG402" s="22" t="s">
        <v>58</v>
      </c>
      <c r="AH402" s="22">
        <v>10.0</v>
      </c>
      <c r="AI402" s="22">
        <v>3000.0</v>
      </c>
      <c r="AJ402" s="22">
        <v>10.0</v>
      </c>
      <c r="AK402" s="22">
        <v>0.0</v>
      </c>
      <c r="AL402" s="22"/>
      <c r="AM402" s="22"/>
      <c r="AN402" s="22"/>
      <c r="AO402" s="22"/>
    </row>
    <row r="403" ht="15.75" customHeight="1">
      <c r="A403" s="22">
        <v>394.0</v>
      </c>
      <c r="B403" s="22" t="s">
        <v>3260</v>
      </c>
      <c r="C403" s="22" t="s">
        <v>3261</v>
      </c>
      <c r="D403" s="22" t="s">
        <v>3262</v>
      </c>
      <c r="E403" s="22" t="s">
        <v>49</v>
      </c>
      <c r="F403" s="42" t="s">
        <v>3263</v>
      </c>
      <c r="G403" s="81" t="s">
        <v>3265</v>
      </c>
      <c r="H403" s="22" t="s">
        <v>303</v>
      </c>
      <c r="I403" s="22" t="s">
        <v>303</v>
      </c>
      <c r="J403" s="22" t="s">
        <v>74</v>
      </c>
      <c r="K403" s="22" t="s">
        <v>55</v>
      </c>
      <c r="L403" s="22" t="s">
        <v>56</v>
      </c>
      <c r="M403" s="22" t="s">
        <v>57</v>
      </c>
      <c r="N403" s="22" t="s">
        <v>58</v>
      </c>
      <c r="O403" s="22">
        <v>450.0</v>
      </c>
      <c r="P403" s="22">
        <v>450.0</v>
      </c>
      <c r="Q403" s="22" t="s">
        <v>59</v>
      </c>
      <c r="R403" s="22" t="s">
        <v>58</v>
      </c>
      <c r="S403" s="22" t="s">
        <v>58</v>
      </c>
      <c r="T403" s="24" t="s">
        <v>3270</v>
      </c>
      <c r="U403" s="22"/>
      <c r="V403" s="22" t="s">
        <v>61</v>
      </c>
      <c r="W403" s="22" t="s">
        <v>58</v>
      </c>
      <c r="X403" s="22" t="s">
        <v>58</v>
      </c>
      <c r="Y403" s="22" t="s">
        <v>58</v>
      </c>
      <c r="Z403" s="22" t="s">
        <v>58</v>
      </c>
      <c r="AA403" s="22" t="s">
        <v>58</v>
      </c>
      <c r="AB403" s="22" t="s">
        <v>58</v>
      </c>
      <c r="AC403" s="22" t="s">
        <v>58</v>
      </c>
      <c r="AD403" s="22" t="s">
        <v>58</v>
      </c>
      <c r="AE403" s="22" t="s">
        <v>61</v>
      </c>
      <c r="AF403" s="22" t="s">
        <v>61</v>
      </c>
      <c r="AG403" s="22" t="s">
        <v>58</v>
      </c>
      <c r="AH403" s="22">
        <v>25.0</v>
      </c>
      <c r="AI403" s="22">
        <v>300.0</v>
      </c>
      <c r="AJ403" s="22">
        <v>25.0</v>
      </c>
      <c r="AK403" s="22">
        <v>0.0</v>
      </c>
      <c r="AL403" s="22"/>
      <c r="AM403" s="22"/>
      <c r="AN403" s="22"/>
      <c r="AO403" s="22"/>
    </row>
    <row r="404" ht="15.75" customHeight="1">
      <c r="A404" s="22">
        <v>395.0</v>
      </c>
      <c r="B404" s="22" t="s">
        <v>3272</v>
      </c>
      <c r="C404" s="22" t="s">
        <v>3273</v>
      </c>
      <c r="D404" s="66" t="s">
        <v>3274</v>
      </c>
      <c r="E404" s="22" t="s">
        <v>49</v>
      </c>
      <c r="F404" s="42" t="s">
        <v>3275</v>
      </c>
      <c r="G404" s="81" t="s">
        <v>3278</v>
      </c>
      <c r="H404" s="22" t="s">
        <v>1385</v>
      </c>
      <c r="I404" s="22" t="s">
        <v>1386</v>
      </c>
      <c r="J404" s="22" t="s">
        <v>74</v>
      </c>
      <c r="K404" s="22" t="s">
        <v>55</v>
      </c>
      <c r="L404" s="22" t="s">
        <v>56</v>
      </c>
      <c r="M404" s="22" t="s">
        <v>57</v>
      </c>
      <c r="N404" s="22" t="s">
        <v>58</v>
      </c>
      <c r="O404" s="22">
        <v>1000.0</v>
      </c>
      <c r="P404" s="22">
        <v>1200.0</v>
      </c>
      <c r="Q404" s="22" t="s">
        <v>59</v>
      </c>
      <c r="R404" s="22" t="s">
        <v>58</v>
      </c>
      <c r="S404" s="22" t="s">
        <v>58</v>
      </c>
      <c r="T404" s="22"/>
      <c r="U404" s="22"/>
      <c r="V404" s="22" t="s">
        <v>61</v>
      </c>
      <c r="W404" s="22" t="s">
        <v>58</v>
      </c>
      <c r="X404" s="22" t="s">
        <v>58</v>
      </c>
      <c r="Y404" s="22" t="s">
        <v>58</v>
      </c>
      <c r="Z404" s="22" t="s">
        <v>58</v>
      </c>
      <c r="AA404" s="22" t="s">
        <v>58</v>
      </c>
      <c r="AB404" s="22" t="s">
        <v>58</v>
      </c>
      <c r="AC404" s="22" t="s">
        <v>58</v>
      </c>
      <c r="AD404" s="22" t="s">
        <v>58</v>
      </c>
      <c r="AE404" s="22" t="s">
        <v>61</v>
      </c>
      <c r="AF404" s="22" t="s">
        <v>61</v>
      </c>
      <c r="AG404" s="22" t="s">
        <v>58</v>
      </c>
      <c r="AH404" s="22">
        <v>250.0</v>
      </c>
      <c r="AI404" s="22">
        <v>5000.0</v>
      </c>
      <c r="AJ404" s="22">
        <v>250.0</v>
      </c>
      <c r="AK404" s="22">
        <v>0.0</v>
      </c>
      <c r="AL404" s="22"/>
      <c r="AM404" s="22"/>
      <c r="AN404" s="22"/>
      <c r="AO404" s="22"/>
    </row>
    <row r="405" ht="40.5" customHeight="1">
      <c r="A405" s="22">
        <v>396.0</v>
      </c>
      <c r="B405" s="22" t="s">
        <v>3280</v>
      </c>
      <c r="C405" s="22" t="s">
        <v>3281</v>
      </c>
      <c r="D405" s="22" t="s">
        <v>3282</v>
      </c>
      <c r="E405" s="22" t="s">
        <v>49</v>
      </c>
      <c r="F405" s="42" t="s">
        <v>3283</v>
      </c>
      <c r="G405" s="71" t="s">
        <v>3285</v>
      </c>
      <c r="H405" s="22" t="s">
        <v>303</v>
      </c>
      <c r="I405" s="22" t="s">
        <v>303</v>
      </c>
      <c r="J405" s="22" t="s">
        <v>74</v>
      </c>
      <c r="K405" s="22" t="s">
        <v>55</v>
      </c>
      <c r="L405" s="22" t="s">
        <v>56</v>
      </c>
      <c r="M405" s="22" t="s">
        <v>57</v>
      </c>
      <c r="N405" s="22" t="s">
        <v>58</v>
      </c>
      <c r="O405" s="22">
        <v>2700.0</v>
      </c>
      <c r="P405" s="22">
        <v>2700.0</v>
      </c>
      <c r="Q405" s="22" t="s">
        <v>59</v>
      </c>
      <c r="R405" s="22" t="s">
        <v>58</v>
      </c>
      <c r="S405" s="22" t="s">
        <v>58</v>
      </c>
      <c r="T405" s="24" t="s">
        <v>3288</v>
      </c>
      <c r="U405" s="22"/>
      <c r="V405" s="22" t="s">
        <v>61</v>
      </c>
      <c r="W405" s="22" t="s">
        <v>58</v>
      </c>
      <c r="X405" s="22" t="s">
        <v>58</v>
      </c>
      <c r="Y405" s="22" t="s">
        <v>58</v>
      </c>
      <c r="Z405" s="22" t="s">
        <v>58</v>
      </c>
      <c r="AA405" s="22" t="s">
        <v>58</v>
      </c>
      <c r="AB405" s="22" t="s">
        <v>58</v>
      </c>
      <c r="AC405" s="22" t="s">
        <v>58</v>
      </c>
      <c r="AD405" s="22" t="s">
        <v>58</v>
      </c>
      <c r="AE405" s="22" t="s">
        <v>61</v>
      </c>
      <c r="AF405" s="22" t="s">
        <v>61</v>
      </c>
      <c r="AG405" s="22" t="s">
        <v>58</v>
      </c>
      <c r="AH405" s="22">
        <v>800.0</v>
      </c>
      <c r="AI405" s="22">
        <v>2500.0</v>
      </c>
      <c r="AJ405" s="22">
        <v>800.0</v>
      </c>
      <c r="AK405" s="22">
        <v>0.0</v>
      </c>
      <c r="AL405" s="22"/>
      <c r="AM405" s="22"/>
      <c r="AN405" s="22"/>
      <c r="AO405" s="22"/>
    </row>
    <row r="406" ht="15.75" customHeight="1">
      <c r="A406" s="15">
        <v>397.0</v>
      </c>
      <c r="B406" s="15" t="s">
        <v>3293</v>
      </c>
      <c r="C406" s="15" t="s">
        <v>3294</v>
      </c>
      <c r="D406" s="48" t="s">
        <v>3295</v>
      </c>
      <c r="E406" s="15" t="s">
        <v>49</v>
      </c>
      <c r="F406" s="49" t="s">
        <v>3296</v>
      </c>
      <c r="G406" s="15" t="s">
        <v>3298</v>
      </c>
      <c r="H406" s="15" t="s">
        <v>1475</v>
      </c>
      <c r="I406" s="15" t="s">
        <v>1476</v>
      </c>
      <c r="J406" s="15" t="s">
        <v>74</v>
      </c>
      <c r="K406" s="15" t="s">
        <v>55</v>
      </c>
      <c r="L406" s="15" t="s">
        <v>56</v>
      </c>
      <c r="M406" s="15" t="s">
        <v>57</v>
      </c>
      <c r="N406" s="15" t="s">
        <v>58</v>
      </c>
      <c r="O406" s="15">
        <v>850.0</v>
      </c>
      <c r="P406" s="15">
        <v>1200.0</v>
      </c>
      <c r="Q406" s="15" t="s">
        <v>59</v>
      </c>
      <c r="R406" s="15" t="s">
        <v>58</v>
      </c>
      <c r="S406" s="15" t="s">
        <v>58</v>
      </c>
      <c r="T406" s="15"/>
      <c r="U406" s="15"/>
      <c r="V406" s="15" t="s">
        <v>61</v>
      </c>
      <c r="W406" s="15" t="s">
        <v>58</v>
      </c>
      <c r="X406" s="15" t="s">
        <v>58</v>
      </c>
      <c r="Y406" s="15" t="s">
        <v>58</v>
      </c>
      <c r="Z406" s="15" t="s">
        <v>58</v>
      </c>
      <c r="AA406" s="15" t="s">
        <v>58</v>
      </c>
      <c r="AB406" s="15" t="s">
        <v>58</v>
      </c>
      <c r="AC406" s="15" t="s">
        <v>58</v>
      </c>
      <c r="AD406" s="15" t="s">
        <v>58</v>
      </c>
      <c r="AE406" s="15" t="s">
        <v>61</v>
      </c>
      <c r="AF406" s="15" t="s">
        <v>61</v>
      </c>
      <c r="AG406" s="15" t="s">
        <v>58</v>
      </c>
      <c r="AH406" s="15">
        <v>50.0</v>
      </c>
      <c r="AI406" s="15">
        <v>1000.0</v>
      </c>
      <c r="AJ406" s="15">
        <v>50.0</v>
      </c>
      <c r="AK406" s="15">
        <v>0.0</v>
      </c>
      <c r="AL406" s="15"/>
      <c r="AM406" s="15"/>
      <c r="AN406" s="16" t="s">
        <v>757</v>
      </c>
      <c r="AO406" s="21">
        <v>2.0</v>
      </c>
    </row>
    <row r="407" ht="15.75" customHeight="1">
      <c r="A407" s="22">
        <v>398.0</v>
      </c>
      <c r="B407" s="22" t="s">
        <v>1354</v>
      </c>
      <c r="C407" s="22" t="s">
        <v>1355</v>
      </c>
      <c r="D407" s="24" t="s">
        <v>69</v>
      </c>
      <c r="E407" s="22" t="s">
        <v>49</v>
      </c>
      <c r="F407" s="42" t="s">
        <v>3302</v>
      </c>
      <c r="G407" s="54" t="s">
        <v>3303</v>
      </c>
      <c r="H407" s="22" t="s">
        <v>75</v>
      </c>
      <c r="I407" s="22" t="s">
        <v>76</v>
      </c>
      <c r="J407" s="22" t="s">
        <v>76</v>
      </c>
      <c r="K407" s="22" t="s">
        <v>55</v>
      </c>
      <c r="L407" s="22" t="s">
        <v>56</v>
      </c>
      <c r="M407" s="22" t="s">
        <v>57</v>
      </c>
      <c r="N407" s="22" t="s">
        <v>58</v>
      </c>
      <c r="O407" s="22">
        <v>750.0</v>
      </c>
      <c r="P407" s="22">
        <v>950.0</v>
      </c>
      <c r="Q407" s="22" t="s">
        <v>59</v>
      </c>
      <c r="R407" s="22" t="s">
        <v>58</v>
      </c>
      <c r="S407" s="22" t="s">
        <v>58</v>
      </c>
      <c r="T407" s="22"/>
      <c r="U407" s="22"/>
      <c r="V407" s="22" t="s">
        <v>61</v>
      </c>
      <c r="W407" s="22" t="s">
        <v>58</v>
      </c>
      <c r="X407" s="22" t="s">
        <v>58</v>
      </c>
      <c r="Y407" s="22" t="s">
        <v>58</v>
      </c>
      <c r="Z407" s="22" t="s">
        <v>58</v>
      </c>
      <c r="AA407" s="22" t="s">
        <v>58</v>
      </c>
      <c r="AB407" s="22" t="s">
        <v>58</v>
      </c>
      <c r="AC407" s="22" t="s">
        <v>58</v>
      </c>
      <c r="AD407" s="22" t="s">
        <v>58</v>
      </c>
      <c r="AE407" s="22" t="s">
        <v>61</v>
      </c>
      <c r="AF407" s="22" t="s">
        <v>61</v>
      </c>
      <c r="AG407" s="22" t="s">
        <v>58</v>
      </c>
      <c r="AH407" s="22">
        <v>150.0</v>
      </c>
      <c r="AI407" s="22">
        <v>2000.0</v>
      </c>
      <c r="AJ407" s="22">
        <v>150.0</v>
      </c>
      <c r="AK407" s="22">
        <v>0.0</v>
      </c>
      <c r="AL407" s="22"/>
      <c r="AM407" s="22"/>
      <c r="AN407" s="22"/>
      <c r="AO407" s="22"/>
    </row>
    <row r="408" ht="15.75" customHeight="1">
      <c r="A408" s="22">
        <v>399.0</v>
      </c>
      <c r="B408" s="22" t="s">
        <v>1265</v>
      </c>
      <c r="C408" s="22" t="s">
        <v>1267</v>
      </c>
      <c r="D408" s="66" t="s">
        <v>1268</v>
      </c>
      <c r="E408" s="22" t="s">
        <v>49</v>
      </c>
      <c r="F408" s="42" t="s">
        <v>3305</v>
      </c>
      <c r="G408" s="108" t="s">
        <v>3307</v>
      </c>
      <c r="H408" s="22" t="s">
        <v>53</v>
      </c>
      <c r="I408" s="22" t="s">
        <v>54</v>
      </c>
      <c r="J408" s="22" t="s">
        <v>54</v>
      </c>
      <c r="K408" s="22" t="s">
        <v>55</v>
      </c>
      <c r="L408" s="22" t="s">
        <v>56</v>
      </c>
      <c r="M408" s="22" t="s">
        <v>57</v>
      </c>
      <c r="N408" s="22" t="s">
        <v>58</v>
      </c>
      <c r="O408" s="22">
        <v>1600.0</v>
      </c>
      <c r="P408" s="22">
        <v>1800.0</v>
      </c>
      <c r="Q408" s="22" t="s">
        <v>59</v>
      </c>
      <c r="R408" s="22" t="s">
        <v>58</v>
      </c>
      <c r="S408" s="22" t="s">
        <v>58</v>
      </c>
      <c r="T408" s="22"/>
      <c r="U408" s="22"/>
      <c r="V408" s="22" t="s">
        <v>61</v>
      </c>
      <c r="W408" s="22" t="s">
        <v>58</v>
      </c>
      <c r="X408" s="22" t="s">
        <v>58</v>
      </c>
      <c r="Y408" s="22" t="s">
        <v>58</v>
      </c>
      <c r="Z408" s="22" t="s">
        <v>58</v>
      </c>
      <c r="AA408" s="22" t="s">
        <v>58</v>
      </c>
      <c r="AB408" s="22" t="s">
        <v>58</v>
      </c>
      <c r="AC408" s="22" t="s">
        <v>58</v>
      </c>
      <c r="AD408" s="22" t="s">
        <v>58</v>
      </c>
      <c r="AE408" s="22" t="s">
        <v>61</v>
      </c>
      <c r="AF408" s="22" t="s">
        <v>61</v>
      </c>
      <c r="AG408" s="22" t="s">
        <v>58</v>
      </c>
      <c r="AH408" s="22">
        <v>2000.0</v>
      </c>
      <c r="AI408" s="22">
        <v>50.0</v>
      </c>
      <c r="AJ408" s="22">
        <v>2000.0</v>
      </c>
      <c r="AK408" s="22">
        <v>0.0</v>
      </c>
      <c r="AL408" s="22"/>
      <c r="AM408" s="22"/>
      <c r="AN408" s="22"/>
      <c r="AO408" s="22"/>
    </row>
    <row r="409" ht="15.75" customHeight="1">
      <c r="A409" s="22">
        <v>400.0</v>
      </c>
      <c r="B409" s="22" t="s">
        <v>3309</v>
      </c>
      <c r="C409" s="22" t="s">
        <v>3310</v>
      </c>
      <c r="D409" s="66" t="s">
        <v>3311</v>
      </c>
      <c r="E409" s="22" t="s">
        <v>49</v>
      </c>
      <c r="F409" s="42" t="s">
        <v>3314</v>
      </c>
      <c r="G409" s="82" t="s">
        <v>3317</v>
      </c>
      <c r="H409" s="22" t="s">
        <v>2659</v>
      </c>
      <c r="I409" s="22" t="s">
        <v>2660</v>
      </c>
      <c r="J409" s="22" t="s">
        <v>74</v>
      </c>
      <c r="K409" s="22" t="s">
        <v>55</v>
      </c>
      <c r="L409" s="22" t="s">
        <v>56</v>
      </c>
      <c r="M409" s="22" t="s">
        <v>57</v>
      </c>
      <c r="N409" s="22" t="s">
        <v>58</v>
      </c>
      <c r="O409" s="22">
        <v>1500.0</v>
      </c>
      <c r="P409" s="22">
        <v>2000.0</v>
      </c>
      <c r="Q409" s="22" t="s">
        <v>59</v>
      </c>
      <c r="R409" s="22" t="s">
        <v>58</v>
      </c>
      <c r="S409" s="22" t="s">
        <v>58</v>
      </c>
      <c r="T409" s="22"/>
      <c r="U409" s="22"/>
      <c r="V409" s="22" t="s">
        <v>61</v>
      </c>
      <c r="W409" s="22" t="s">
        <v>58</v>
      </c>
      <c r="X409" s="22" t="s">
        <v>58</v>
      </c>
      <c r="Y409" s="22" t="s">
        <v>58</v>
      </c>
      <c r="Z409" s="22" t="s">
        <v>58</v>
      </c>
      <c r="AA409" s="22" t="s">
        <v>58</v>
      </c>
      <c r="AB409" s="22" t="s">
        <v>58</v>
      </c>
      <c r="AC409" s="22" t="s">
        <v>58</v>
      </c>
      <c r="AD409" s="22" t="s">
        <v>58</v>
      </c>
      <c r="AE409" s="22" t="s">
        <v>61</v>
      </c>
      <c r="AF409" s="22" t="s">
        <v>61</v>
      </c>
      <c r="AG409" s="22" t="s">
        <v>58</v>
      </c>
      <c r="AH409" s="22">
        <v>25.0</v>
      </c>
      <c r="AI409" s="22">
        <v>10000.0</v>
      </c>
      <c r="AJ409" s="22">
        <v>25.0</v>
      </c>
      <c r="AK409" s="22">
        <v>0.0</v>
      </c>
      <c r="AL409" s="22"/>
      <c r="AM409" s="22"/>
      <c r="AN409" s="22"/>
      <c r="AO409" s="22"/>
    </row>
    <row r="410" ht="15.75" customHeight="1">
      <c r="A410" s="22">
        <v>401.0</v>
      </c>
      <c r="B410" s="22" t="s">
        <v>3290</v>
      </c>
      <c r="C410" s="22" t="s">
        <v>3291</v>
      </c>
      <c r="D410" s="66" t="s">
        <v>3319</v>
      </c>
      <c r="E410" s="22" t="s">
        <v>49</v>
      </c>
      <c r="F410" s="42" t="s">
        <v>3320</v>
      </c>
      <c r="G410" s="81" t="s">
        <v>3322</v>
      </c>
      <c r="H410" s="22" t="s">
        <v>586</v>
      </c>
      <c r="I410" s="22" t="s">
        <v>587</v>
      </c>
      <c r="J410" s="22" t="s">
        <v>74</v>
      </c>
      <c r="K410" s="22" t="s">
        <v>55</v>
      </c>
      <c r="L410" s="22" t="s">
        <v>56</v>
      </c>
      <c r="M410" s="22" t="s">
        <v>57</v>
      </c>
      <c r="N410" s="22" t="s">
        <v>58</v>
      </c>
      <c r="O410" s="22">
        <v>750.0</v>
      </c>
      <c r="P410" s="22"/>
      <c r="Q410" s="22" t="s">
        <v>59</v>
      </c>
      <c r="R410" s="22" t="s">
        <v>58</v>
      </c>
      <c r="S410" s="22" t="s">
        <v>58</v>
      </c>
      <c r="T410" s="22"/>
      <c r="U410" s="22"/>
      <c r="V410" s="22" t="s">
        <v>61</v>
      </c>
      <c r="W410" s="22" t="s">
        <v>58</v>
      </c>
      <c r="X410" s="22" t="s">
        <v>58</v>
      </c>
      <c r="Y410" s="22" t="s">
        <v>58</v>
      </c>
      <c r="Z410" s="22" t="s">
        <v>58</v>
      </c>
      <c r="AA410" s="22" t="s">
        <v>58</v>
      </c>
      <c r="AB410" s="22" t="s">
        <v>58</v>
      </c>
      <c r="AC410" s="22" t="s">
        <v>58</v>
      </c>
      <c r="AD410" s="22" t="s">
        <v>58</v>
      </c>
      <c r="AE410" s="22" t="s">
        <v>61</v>
      </c>
      <c r="AF410" s="22" t="s">
        <v>61</v>
      </c>
      <c r="AG410" s="22" t="s">
        <v>58</v>
      </c>
      <c r="AH410" s="22">
        <v>250.0</v>
      </c>
      <c r="AI410" s="22">
        <v>3000.0</v>
      </c>
      <c r="AJ410" s="22">
        <v>250.0</v>
      </c>
      <c r="AK410" s="22">
        <v>0.0</v>
      </c>
      <c r="AL410" s="22"/>
      <c r="AM410" s="22"/>
      <c r="AN410" s="22"/>
      <c r="AO410" s="22"/>
    </row>
    <row r="411" ht="15.75" customHeight="1">
      <c r="A411" s="22">
        <v>402.0</v>
      </c>
      <c r="B411" s="22" t="s">
        <v>3324</v>
      </c>
      <c r="C411" s="22" t="s">
        <v>3325</v>
      </c>
      <c r="D411" s="66" t="s">
        <v>3326</v>
      </c>
      <c r="E411" s="22" t="s">
        <v>49</v>
      </c>
      <c r="F411" s="24" t="s">
        <v>69</v>
      </c>
      <c r="G411" s="24" t="s">
        <v>69</v>
      </c>
      <c r="H411" s="22" t="s">
        <v>142</v>
      </c>
      <c r="I411" s="22" t="s">
        <v>144</v>
      </c>
      <c r="J411" s="22" t="s">
        <v>74</v>
      </c>
      <c r="K411" s="22" t="s">
        <v>55</v>
      </c>
      <c r="L411" s="22" t="s">
        <v>56</v>
      </c>
      <c r="M411" s="22" t="s">
        <v>57</v>
      </c>
      <c r="N411" s="22" t="s">
        <v>58</v>
      </c>
      <c r="O411" s="22">
        <v>1100.0</v>
      </c>
      <c r="P411" s="22"/>
      <c r="Q411" s="22" t="s">
        <v>59</v>
      </c>
      <c r="R411" s="22" t="s">
        <v>58</v>
      </c>
      <c r="S411" s="22" t="s">
        <v>58</v>
      </c>
      <c r="T411" s="22"/>
      <c r="U411" s="22"/>
      <c r="V411" s="22" t="s">
        <v>61</v>
      </c>
      <c r="W411" s="22" t="s">
        <v>58</v>
      </c>
      <c r="X411" s="22" t="s">
        <v>58</v>
      </c>
      <c r="Y411" s="22" t="s">
        <v>58</v>
      </c>
      <c r="Z411" s="22" t="s">
        <v>58</v>
      </c>
      <c r="AA411" s="22" t="s">
        <v>58</v>
      </c>
      <c r="AB411" s="22" t="s">
        <v>58</v>
      </c>
      <c r="AC411" s="22" t="s">
        <v>58</v>
      </c>
      <c r="AD411" s="22" t="s">
        <v>58</v>
      </c>
      <c r="AE411" s="22" t="s">
        <v>61</v>
      </c>
      <c r="AF411" s="22" t="s">
        <v>61</v>
      </c>
      <c r="AG411" s="22" t="s">
        <v>58</v>
      </c>
      <c r="AH411" s="22">
        <v>100.0</v>
      </c>
      <c r="AI411" s="22">
        <v>5000.0</v>
      </c>
      <c r="AJ411" s="22">
        <v>100.0</v>
      </c>
      <c r="AK411" s="22">
        <v>0.0</v>
      </c>
      <c r="AL411" s="22"/>
      <c r="AM411" s="22"/>
      <c r="AN411" s="22"/>
      <c r="AO411" s="22"/>
    </row>
    <row r="412" ht="15.75" customHeight="1">
      <c r="A412" s="22">
        <v>403.0</v>
      </c>
      <c r="B412" s="22" t="s">
        <v>3328</v>
      </c>
      <c r="C412" s="22" t="s">
        <v>3329</v>
      </c>
      <c r="D412" s="22" t="s">
        <v>3330</v>
      </c>
      <c r="E412" s="22" t="s">
        <v>49</v>
      </c>
      <c r="F412" s="42" t="s">
        <v>3331</v>
      </c>
      <c r="G412" s="110" t="s">
        <v>3333</v>
      </c>
      <c r="H412" s="22" t="s">
        <v>1385</v>
      </c>
      <c r="I412" s="22" t="s">
        <v>1386</v>
      </c>
      <c r="J412" s="22" t="s">
        <v>74</v>
      </c>
      <c r="K412" s="22" t="s">
        <v>55</v>
      </c>
      <c r="L412" s="22" t="s">
        <v>56</v>
      </c>
      <c r="M412" s="22" t="s">
        <v>57</v>
      </c>
      <c r="N412" s="22" t="s">
        <v>58</v>
      </c>
      <c r="O412" s="22">
        <v>600.0</v>
      </c>
      <c r="P412" s="22"/>
      <c r="Q412" s="22" t="s">
        <v>59</v>
      </c>
      <c r="R412" s="22" t="s">
        <v>58</v>
      </c>
      <c r="S412" s="22" t="s">
        <v>58</v>
      </c>
      <c r="T412" s="22"/>
      <c r="U412" s="22"/>
      <c r="V412" s="22" t="s">
        <v>61</v>
      </c>
      <c r="W412" s="22" t="s">
        <v>58</v>
      </c>
      <c r="X412" s="22" t="s">
        <v>58</v>
      </c>
      <c r="Y412" s="22" t="s">
        <v>58</v>
      </c>
      <c r="Z412" s="22" t="s">
        <v>58</v>
      </c>
      <c r="AA412" s="22" t="s">
        <v>58</v>
      </c>
      <c r="AB412" s="22" t="s">
        <v>58</v>
      </c>
      <c r="AC412" s="22" t="s">
        <v>58</v>
      </c>
      <c r="AD412" s="22" t="s">
        <v>58</v>
      </c>
      <c r="AE412" s="22" t="s">
        <v>61</v>
      </c>
      <c r="AF412" s="22" t="s">
        <v>61</v>
      </c>
      <c r="AG412" s="22" t="s">
        <v>58</v>
      </c>
      <c r="AH412" s="22">
        <v>500.0</v>
      </c>
      <c r="AI412" s="22">
        <v>0.0</v>
      </c>
      <c r="AJ412" s="22">
        <v>500.0</v>
      </c>
      <c r="AK412" s="22">
        <v>0.0</v>
      </c>
      <c r="AL412" s="22"/>
      <c r="AM412" s="22"/>
      <c r="AN412" s="22"/>
      <c r="AO412" s="22"/>
    </row>
    <row r="413" ht="15.75" customHeight="1">
      <c r="A413" s="22">
        <v>404.0</v>
      </c>
      <c r="B413" s="22" t="s">
        <v>3338</v>
      </c>
      <c r="C413" s="22" t="s">
        <v>3339</v>
      </c>
      <c r="D413" s="66" t="s">
        <v>3340</v>
      </c>
      <c r="E413" s="22" t="s">
        <v>49</v>
      </c>
      <c r="F413" s="42" t="s">
        <v>3341</v>
      </c>
      <c r="G413" s="81" t="s">
        <v>3343</v>
      </c>
      <c r="H413" s="22" t="s">
        <v>123</v>
      </c>
      <c r="I413" s="22" t="s">
        <v>124</v>
      </c>
      <c r="J413" s="22" t="s">
        <v>74</v>
      </c>
      <c r="K413" s="22" t="s">
        <v>55</v>
      </c>
      <c r="L413" s="22" t="s">
        <v>56</v>
      </c>
      <c r="M413" s="22" t="s">
        <v>57</v>
      </c>
      <c r="N413" s="22" t="s">
        <v>58</v>
      </c>
      <c r="O413" s="22">
        <v>800.0</v>
      </c>
      <c r="P413" s="22"/>
      <c r="Q413" s="22" t="s">
        <v>59</v>
      </c>
      <c r="R413" s="22" t="s">
        <v>58</v>
      </c>
      <c r="S413" s="22" t="s">
        <v>58</v>
      </c>
      <c r="T413" s="22"/>
      <c r="U413" s="22"/>
      <c r="V413" s="22" t="s">
        <v>61</v>
      </c>
      <c r="W413" s="22" t="s">
        <v>58</v>
      </c>
      <c r="X413" s="22" t="s">
        <v>58</v>
      </c>
      <c r="Y413" s="22" t="s">
        <v>58</v>
      </c>
      <c r="Z413" s="22" t="s">
        <v>58</v>
      </c>
      <c r="AA413" s="22" t="s">
        <v>58</v>
      </c>
      <c r="AB413" s="22" t="s">
        <v>58</v>
      </c>
      <c r="AC413" s="22" t="s">
        <v>58</v>
      </c>
      <c r="AD413" s="22" t="s">
        <v>58</v>
      </c>
      <c r="AE413" s="22" t="s">
        <v>61</v>
      </c>
      <c r="AF413" s="22" t="s">
        <v>61</v>
      </c>
      <c r="AG413" s="22" t="s">
        <v>58</v>
      </c>
      <c r="AH413" s="22">
        <v>50.0</v>
      </c>
      <c r="AI413" s="22">
        <v>2000.0</v>
      </c>
      <c r="AJ413" s="22">
        <v>50.0</v>
      </c>
      <c r="AK413" s="22">
        <v>0.0</v>
      </c>
      <c r="AL413" s="22"/>
      <c r="AM413" s="22"/>
      <c r="AN413" s="22"/>
      <c r="AO413" s="22"/>
    </row>
    <row r="414" ht="15.75" customHeight="1">
      <c r="A414" s="22">
        <v>405.0</v>
      </c>
      <c r="B414" s="22" t="s">
        <v>3086</v>
      </c>
      <c r="C414" s="22" t="s">
        <v>3087</v>
      </c>
      <c r="D414" s="66" t="s">
        <v>3346</v>
      </c>
      <c r="E414" s="22" t="s">
        <v>49</v>
      </c>
      <c r="F414" s="42" t="s">
        <v>3088</v>
      </c>
      <c r="G414" s="81" t="s">
        <v>3347</v>
      </c>
      <c r="H414" s="22" t="s">
        <v>1020</v>
      </c>
      <c r="I414" s="22" t="s">
        <v>587</v>
      </c>
      <c r="J414" s="22" t="s">
        <v>74</v>
      </c>
      <c r="K414" s="22" t="s">
        <v>55</v>
      </c>
      <c r="L414" s="22" t="s">
        <v>56</v>
      </c>
      <c r="M414" s="22" t="s">
        <v>57</v>
      </c>
      <c r="N414" s="22" t="s">
        <v>58</v>
      </c>
      <c r="O414" s="22">
        <v>799.0</v>
      </c>
      <c r="P414" s="22"/>
      <c r="Q414" s="22" t="s">
        <v>59</v>
      </c>
      <c r="R414" s="22" t="s">
        <v>58</v>
      </c>
      <c r="S414" s="22" t="s">
        <v>58</v>
      </c>
      <c r="T414" s="22"/>
      <c r="U414" s="22"/>
      <c r="V414" s="22" t="s">
        <v>61</v>
      </c>
      <c r="W414" s="22" t="s">
        <v>58</v>
      </c>
      <c r="X414" s="22" t="s">
        <v>58</v>
      </c>
      <c r="Y414" s="22" t="s">
        <v>58</v>
      </c>
      <c r="Z414" s="22" t="s">
        <v>58</v>
      </c>
      <c r="AA414" s="22" t="s">
        <v>58</v>
      </c>
      <c r="AB414" s="22" t="s">
        <v>58</v>
      </c>
      <c r="AC414" s="22" t="s">
        <v>58</v>
      </c>
      <c r="AD414" s="22" t="s">
        <v>58</v>
      </c>
      <c r="AE414" s="22" t="s">
        <v>61</v>
      </c>
      <c r="AF414" s="22" t="s">
        <v>61</v>
      </c>
      <c r="AG414" s="22" t="s">
        <v>58</v>
      </c>
      <c r="AH414" s="22">
        <v>200.0</v>
      </c>
      <c r="AI414" s="22">
        <v>2000.0</v>
      </c>
      <c r="AJ414" s="22">
        <v>200.0</v>
      </c>
      <c r="AK414" s="22">
        <v>0.0</v>
      </c>
      <c r="AL414" s="22"/>
      <c r="AM414" s="22"/>
      <c r="AN414" s="22"/>
      <c r="AO414" s="22"/>
    </row>
    <row r="415" ht="15.75" customHeight="1">
      <c r="A415" s="22">
        <v>406.0</v>
      </c>
      <c r="B415" s="22" t="s">
        <v>773</v>
      </c>
      <c r="C415" s="22" t="s">
        <v>775</v>
      </c>
      <c r="D415" s="66" t="s">
        <v>776</v>
      </c>
      <c r="E415" s="22" t="s">
        <v>49</v>
      </c>
      <c r="F415" s="24" t="s">
        <v>69</v>
      </c>
      <c r="G415" s="24" t="s">
        <v>69</v>
      </c>
      <c r="H415" s="22" t="s">
        <v>147</v>
      </c>
      <c r="I415" s="22" t="s">
        <v>148</v>
      </c>
      <c r="J415" s="22" t="s">
        <v>148</v>
      </c>
      <c r="K415" s="22" t="s">
        <v>55</v>
      </c>
      <c r="L415" s="22" t="s">
        <v>56</v>
      </c>
      <c r="M415" s="22" t="s">
        <v>57</v>
      </c>
      <c r="N415" s="22" t="s">
        <v>58</v>
      </c>
      <c r="O415" s="22">
        <v>450.0</v>
      </c>
      <c r="P415" s="22">
        <v>650.0</v>
      </c>
      <c r="Q415" s="22" t="s">
        <v>59</v>
      </c>
      <c r="R415" s="22" t="s">
        <v>58</v>
      </c>
      <c r="S415" s="22" t="s">
        <v>58</v>
      </c>
      <c r="T415" s="22"/>
      <c r="U415" s="22"/>
      <c r="V415" s="22" t="s">
        <v>61</v>
      </c>
      <c r="W415" s="22" t="s">
        <v>58</v>
      </c>
      <c r="X415" s="22" t="s">
        <v>58</v>
      </c>
      <c r="Y415" s="22" t="s">
        <v>58</v>
      </c>
      <c r="Z415" s="22" t="s">
        <v>58</v>
      </c>
      <c r="AA415" s="22" t="s">
        <v>58</v>
      </c>
      <c r="AB415" s="22" t="s">
        <v>58</v>
      </c>
      <c r="AC415" s="22" t="s">
        <v>58</v>
      </c>
      <c r="AD415" s="22" t="s">
        <v>58</v>
      </c>
      <c r="AE415" s="22" t="s">
        <v>61</v>
      </c>
      <c r="AF415" s="22" t="s">
        <v>61</v>
      </c>
      <c r="AG415" s="22" t="s">
        <v>58</v>
      </c>
      <c r="AH415" s="22">
        <v>100.0</v>
      </c>
      <c r="AI415" s="22">
        <v>5000.0</v>
      </c>
      <c r="AJ415" s="22">
        <v>100.0</v>
      </c>
      <c r="AK415" s="22">
        <v>0.0</v>
      </c>
      <c r="AL415" s="22"/>
      <c r="AM415" s="22"/>
      <c r="AN415" s="22"/>
      <c r="AO415" s="22"/>
    </row>
    <row r="416" ht="15.75" customHeight="1">
      <c r="A416" s="22">
        <v>407.0</v>
      </c>
      <c r="B416" s="22" t="s">
        <v>228</v>
      </c>
      <c r="C416" s="22" t="s">
        <v>1159</v>
      </c>
      <c r="D416" s="66" t="s">
        <v>229</v>
      </c>
      <c r="E416" s="22" t="s">
        <v>49</v>
      </c>
      <c r="F416" s="42" t="s">
        <v>3002</v>
      </c>
      <c r="G416" s="81" t="s">
        <v>3007</v>
      </c>
      <c r="H416" s="22" t="s">
        <v>91</v>
      </c>
      <c r="I416" s="22" t="s">
        <v>92</v>
      </c>
      <c r="J416" s="22" t="s">
        <v>92</v>
      </c>
      <c r="K416" s="22" t="s">
        <v>55</v>
      </c>
      <c r="L416" s="22" t="s">
        <v>56</v>
      </c>
      <c r="M416" s="22" t="s">
        <v>57</v>
      </c>
      <c r="N416" s="22" t="s">
        <v>58</v>
      </c>
      <c r="O416" s="22">
        <v>1100.0</v>
      </c>
      <c r="P416" s="22">
        <v>1750.0</v>
      </c>
      <c r="Q416" s="22" t="s">
        <v>59</v>
      </c>
      <c r="R416" s="22" t="s">
        <v>58</v>
      </c>
      <c r="S416" s="22" t="s">
        <v>58</v>
      </c>
      <c r="T416" s="22"/>
      <c r="U416" s="22"/>
      <c r="V416" s="22" t="s">
        <v>61</v>
      </c>
      <c r="W416" s="22" t="s">
        <v>58</v>
      </c>
      <c r="X416" s="22" t="s">
        <v>58</v>
      </c>
      <c r="Y416" s="22" t="s">
        <v>58</v>
      </c>
      <c r="Z416" s="22" t="s">
        <v>58</v>
      </c>
      <c r="AA416" s="22" t="s">
        <v>58</v>
      </c>
      <c r="AB416" s="22" t="s">
        <v>58</v>
      </c>
      <c r="AC416" s="22" t="s">
        <v>58</v>
      </c>
      <c r="AD416" s="22" t="s">
        <v>58</v>
      </c>
      <c r="AE416" s="22" t="s">
        <v>61</v>
      </c>
      <c r="AF416" s="22" t="s">
        <v>61</v>
      </c>
      <c r="AG416" s="22" t="s">
        <v>58</v>
      </c>
      <c r="AH416" s="22">
        <v>50.0</v>
      </c>
      <c r="AI416" s="22">
        <v>1200.0</v>
      </c>
      <c r="AJ416" s="22">
        <v>50.0</v>
      </c>
      <c r="AK416" s="22">
        <v>0.0</v>
      </c>
      <c r="AL416" s="22"/>
      <c r="AM416" s="22"/>
      <c r="AN416" s="22"/>
      <c r="AO416" s="22"/>
    </row>
    <row r="417" ht="15.75" customHeight="1">
      <c r="A417" s="22">
        <v>408.0</v>
      </c>
      <c r="B417" s="22" t="s">
        <v>658</v>
      </c>
      <c r="C417" s="22" t="s">
        <v>660</v>
      </c>
      <c r="D417" s="66" t="s">
        <v>662</v>
      </c>
      <c r="E417" s="22" t="s">
        <v>49</v>
      </c>
      <c r="F417" s="42" t="s">
        <v>3002</v>
      </c>
      <c r="G417" s="81" t="s">
        <v>3007</v>
      </c>
      <c r="H417" s="22" t="s">
        <v>618</v>
      </c>
      <c r="I417" s="22" t="s">
        <v>148</v>
      </c>
      <c r="J417" s="22" t="s">
        <v>74</v>
      </c>
      <c r="K417" s="22" t="s">
        <v>55</v>
      </c>
      <c r="L417" s="22" t="s">
        <v>56</v>
      </c>
      <c r="M417" s="22" t="s">
        <v>57</v>
      </c>
      <c r="N417" s="22" t="s">
        <v>58</v>
      </c>
      <c r="O417" s="22">
        <v>800.0</v>
      </c>
      <c r="P417" s="22">
        <v>1200.0</v>
      </c>
      <c r="Q417" s="22" t="s">
        <v>59</v>
      </c>
      <c r="R417" s="22" t="s">
        <v>58</v>
      </c>
      <c r="S417" s="22" t="s">
        <v>58</v>
      </c>
      <c r="T417" s="22"/>
      <c r="U417" s="22"/>
      <c r="V417" s="22" t="s">
        <v>61</v>
      </c>
      <c r="W417" s="22" t="s">
        <v>58</v>
      </c>
      <c r="X417" s="22" t="s">
        <v>58</v>
      </c>
      <c r="Y417" s="22" t="s">
        <v>58</v>
      </c>
      <c r="Z417" s="22" t="s">
        <v>58</v>
      </c>
      <c r="AA417" s="22" t="s">
        <v>58</v>
      </c>
      <c r="AB417" s="22" t="s">
        <v>58</v>
      </c>
      <c r="AC417" s="22" t="s">
        <v>58</v>
      </c>
      <c r="AD417" s="22" t="s">
        <v>58</v>
      </c>
      <c r="AE417" s="22" t="s">
        <v>61</v>
      </c>
      <c r="AF417" s="22" t="s">
        <v>61</v>
      </c>
      <c r="AG417" s="22" t="s">
        <v>58</v>
      </c>
      <c r="AH417" s="22">
        <v>10.0</v>
      </c>
      <c r="AI417" s="22">
        <v>1000.0</v>
      </c>
      <c r="AJ417" s="22">
        <v>10.0</v>
      </c>
      <c r="AK417" s="22">
        <v>0.0</v>
      </c>
      <c r="AL417" s="22"/>
      <c r="AM417" s="22"/>
      <c r="AN417" s="22"/>
      <c r="AO417" s="22"/>
    </row>
    <row r="418" ht="15.75" customHeight="1">
      <c r="A418" s="22">
        <v>409.0</v>
      </c>
      <c r="B418" s="22" t="s">
        <v>3356</v>
      </c>
      <c r="C418" s="22" t="s">
        <v>3357</v>
      </c>
      <c r="D418" s="22" t="s">
        <v>3358</v>
      </c>
      <c r="E418" s="22" t="s">
        <v>49</v>
      </c>
      <c r="F418" s="42" t="s">
        <v>3359</v>
      </c>
      <c r="G418" s="24" t="s">
        <v>69</v>
      </c>
      <c r="H418" s="22" t="s">
        <v>3360</v>
      </c>
      <c r="I418" s="22" t="s">
        <v>3361</v>
      </c>
      <c r="J418" s="22" t="s">
        <v>74</v>
      </c>
      <c r="K418" s="22" t="s">
        <v>55</v>
      </c>
      <c r="L418" s="22" t="s">
        <v>56</v>
      </c>
      <c r="M418" s="22" t="s">
        <v>57</v>
      </c>
      <c r="N418" s="22" t="s">
        <v>58</v>
      </c>
      <c r="O418" s="22">
        <v>1600.0</v>
      </c>
      <c r="P418" s="22"/>
      <c r="Q418" s="22" t="s">
        <v>59</v>
      </c>
      <c r="R418" s="22" t="s">
        <v>58</v>
      </c>
      <c r="S418" s="22" t="s">
        <v>58</v>
      </c>
      <c r="T418" s="24" t="s">
        <v>3362</v>
      </c>
      <c r="U418" s="22"/>
      <c r="V418" s="22" t="s">
        <v>61</v>
      </c>
      <c r="W418" s="22" t="s">
        <v>58</v>
      </c>
      <c r="X418" s="22" t="s">
        <v>58</v>
      </c>
      <c r="Y418" s="22" t="s">
        <v>58</v>
      </c>
      <c r="Z418" s="22" t="s">
        <v>58</v>
      </c>
      <c r="AA418" s="22" t="s">
        <v>58</v>
      </c>
      <c r="AB418" s="22" t="s">
        <v>58</v>
      </c>
      <c r="AC418" s="22" t="s">
        <v>58</v>
      </c>
      <c r="AD418" s="22" t="s">
        <v>58</v>
      </c>
      <c r="AE418" s="22" t="s">
        <v>61</v>
      </c>
      <c r="AF418" s="22" t="s">
        <v>61</v>
      </c>
      <c r="AG418" s="22" t="s">
        <v>58</v>
      </c>
      <c r="AH418" s="22">
        <v>20.0</v>
      </c>
      <c r="AI418" s="22">
        <v>300.0</v>
      </c>
      <c r="AJ418" s="22">
        <v>20.0</v>
      </c>
      <c r="AK418" s="22">
        <v>0.0</v>
      </c>
      <c r="AL418" s="22"/>
      <c r="AM418" s="22"/>
      <c r="AN418" s="22"/>
      <c r="AO418" s="22"/>
    </row>
    <row r="419" ht="15.75" customHeight="1">
      <c r="A419" s="111">
        <v>410.0</v>
      </c>
      <c r="B419" s="111" t="s">
        <v>3367</v>
      </c>
      <c r="C419" s="111" t="s">
        <v>3368</v>
      </c>
      <c r="D419" s="66" t="s">
        <v>3369</v>
      </c>
      <c r="E419" s="111" t="s">
        <v>49</v>
      </c>
      <c r="F419" s="112" t="s">
        <v>3269</v>
      </c>
      <c r="G419" s="81" t="s">
        <v>3271</v>
      </c>
      <c r="H419" s="111" t="s">
        <v>303</v>
      </c>
      <c r="I419" s="111" t="s">
        <v>303</v>
      </c>
      <c r="J419" s="111" t="s">
        <v>74</v>
      </c>
      <c r="K419" s="111" t="s">
        <v>55</v>
      </c>
      <c r="L419" s="111" t="s">
        <v>56</v>
      </c>
      <c r="M419" s="111" t="s">
        <v>57</v>
      </c>
      <c r="N419" s="111" t="s">
        <v>58</v>
      </c>
      <c r="O419" s="111">
        <v>500.0</v>
      </c>
      <c r="P419" s="111">
        <v>650.0</v>
      </c>
      <c r="Q419" s="111" t="s">
        <v>59</v>
      </c>
      <c r="R419" s="111" t="s">
        <v>58</v>
      </c>
      <c r="S419" s="111" t="s">
        <v>58</v>
      </c>
      <c r="T419" s="111"/>
      <c r="U419" s="111"/>
      <c r="V419" s="111" t="s">
        <v>61</v>
      </c>
      <c r="W419" s="111" t="s">
        <v>58</v>
      </c>
      <c r="X419" s="111" t="s">
        <v>58</v>
      </c>
      <c r="Y419" s="111" t="s">
        <v>58</v>
      </c>
      <c r="Z419" s="111" t="s">
        <v>58</v>
      </c>
      <c r="AA419" s="111" t="s">
        <v>58</v>
      </c>
      <c r="AB419" s="111" t="s">
        <v>58</v>
      </c>
      <c r="AC419" s="111" t="s">
        <v>58</v>
      </c>
      <c r="AD419" s="111" t="s">
        <v>58</v>
      </c>
      <c r="AE419" s="111" t="s">
        <v>61</v>
      </c>
      <c r="AF419" s="111" t="s">
        <v>61</v>
      </c>
      <c r="AG419" s="111" t="s">
        <v>58</v>
      </c>
      <c r="AH419" s="111">
        <v>100.0</v>
      </c>
      <c r="AI419" s="111">
        <v>100.0</v>
      </c>
      <c r="AJ419" s="111">
        <v>100.0</v>
      </c>
      <c r="AK419" s="111">
        <v>0.0</v>
      </c>
      <c r="AL419" s="111"/>
      <c r="AM419" s="111"/>
      <c r="AN419" s="111"/>
      <c r="AO419" s="111"/>
    </row>
    <row r="420" ht="15.75" customHeight="1">
      <c r="A420" s="22">
        <v>411.0</v>
      </c>
      <c r="B420" s="22" t="s">
        <v>3035</v>
      </c>
      <c r="C420" s="22" t="s">
        <v>3036</v>
      </c>
      <c r="D420" s="66" t="s">
        <v>3371</v>
      </c>
      <c r="E420" s="22" t="s">
        <v>49</v>
      </c>
      <c r="F420" s="42" t="s">
        <v>3372</v>
      </c>
      <c r="G420" s="81" t="s">
        <v>3374</v>
      </c>
      <c r="H420" s="22" t="s">
        <v>2801</v>
      </c>
      <c r="I420" s="22" t="s">
        <v>2802</v>
      </c>
      <c r="J420" s="22" t="s">
        <v>74</v>
      </c>
      <c r="K420" s="22" t="s">
        <v>55</v>
      </c>
      <c r="L420" s="22" t="s">
        <v>56</v>
      </c>
      <c r="M420" s="22" t="s">
        <v>57</v>
      </c>
      <c r="N420" s="22" t="s">
        <v>58</v>
      </c>
      <c r="O420" s="22">
        <v>599.0</v>
      </c>
      <c r="P420" s="22">
        <v>899.0</v>
      </c>
      <c r="Q420" s="22" t="s">
        <v>59</v>
      </c>
      <c r="R420" s="22" t="s">
        <v>58</v>
      </c>
      <c r="S420" s="22" t="s">
        <v>58</v>
      </c>
      <c r="T420" s="22"/>
      <c r="U420" s="22"/>
      <c r="V420" s="22" t="s">
        <v>61</v>
      </c>
      <c r="W420" s="22" t="s">
        <v>58</v>
      </c>
      <c r="X420" s="22" t="s">
        <v>58</v>
      </c>
      <c r="Y420" s="22" t="s">
        <v>58</v>
      </c>
      <c r="Z420" s="22" t="s">
        <v>58</v>
      </c>
      <c r="AA420" s="22" t="s">
        <v>58</v>
      </c>
      <c r="AB420" s="22" t="s">
        <v>58</v>
      </c>
      <c r="AC420" s="22" t="s">
        <v>58</v>
      </c>
      <c r="AD420" s="22" t="s">
        <v>58</v>
      </c>
      <c r="AE420" s="22" t="s">
        <v>61</v>
      </c>
      <c r="AF420" s="22" t="s">
        <v>61</v>
      </c>
      <c r="AG420" s="22" t="s">
        <v>58</v>
      </c>
      <c r="AH420" s="22">
        <v>100.0</v>
      </c>
      <c r="AI420" s="22">
        <v>5000.0</v>
      </c>
      <c r="AJ420" s="22">
        <v>100.0</v>
      </c>
      <c r="AK420" s="22">
        <v>0.0</v>
      </c>
      <c r="AL420" s="22"/>
      <c r="AM420" s="22"/>
      <c r="AN420" s="22"/>
      <c r="AO420" s="22"/>
    </row>
    <row r="421" ht="15.75" customHeight="1">
      <c r="A421" s="22">
        <v>412.0</v>
      </c>
      <c r="B421" s="22" t="s">
        <v>3375</v>
      </c>
      <c r="C421" s="22" t="s">
        <v>3376</v>
      </c>
      <c r="D421" s="66" t="s">
        <v>3377</v>
      </c>
      <c r="E421" s="22" t="s">
        <v>49</v>
      </c>
      <c r="F421" s="42" t="s">
        <v>3378</v>
      </c>
      <c r="G421" s="24">
        <v>9.654406413E9</v>
      </c>
      <c r="H421" s="22" t="s">
        <v>123</v>
      </c>
      <c r="I421" s="22" t="s">
        <v>124</v>
      </c>
      <c r="J421" s="22" t="s">
        <v>74</v>
      </c>
      <c r="K421" s="22" t="s">
        <v>55</v>
      </c>
      <c r="L421" s="22" t="s">
        <v>56</v>
      </c>
      <c r="M421" s="22" t="s">
        <v>57</v>
      </c>
      <c r="N421" s="22" t="s">
        <v>58</v>
      </c>
      <c r="O421" s="22">
        <v>2200.0</v>
      </c>
      <c r="P421" s="22">
        <v>2200.0</v>
      </c>
      <c r="Q421" s="22" t="s">
        <v>59</v>
      </c>
      <c r="R421" s="22" t="s">
        <v>58</v>
      </c>
      <c r="S421" s="22" t="s">
        <v>58</v>
      </c>
      <c r="T421" s="22"/>
      <c r="U421" s="22"/>
      <c r="V421" s="22" t="s">
        <v>61</v>
      </c>
      <c r="W421" s="22" t="s">
        <v>58</v>
      </c>
      <c r="X421" s="22" t="s">
        <v>58</v>
      </c>
      <c r="Y421" s="22" t="s">
        <v>58</v>
      </c>
      <c r="Z421" s="22" t="s">
        <v>58</v>
      </c>
      <c r="AA421" s="22" t="s">
        <v>58</v>
      </c>
      <c r="AB421" s="22" t="s">
        <v>58</v>
      </c>
      <c r="AC421" s="22" t="s">
        <v>58</v>
      </c>
      <c r="AD421" s="22" t="s">
        <v>58</v>
      </c>
      <c r="AE421" s="22" t="s">
        <v>61</v>
      </c>
      <c r="AF421" s="22" t="s">
        <v>61</v>
      </c>
      <c r="AG421" s="22" t="s">
        <v>58</v>
      </c>
      <c r="AH421" s="22">
        <v>50.0</v>
      </c>
      <c r="AI421" s="22">
        <v>500.0</v>
      </c>
      <c r="AJ421" s="22">
        <v>50.0</v>
      </c>
      <c r="AK421" s="22">
        <v>0.0</v>
      </c>
      <c r="AL421" s="22"/>
      <c r="AM421" s="22"/>
      <c r="AN421" s="22"/>
      <c r="AO421" s="22"/>
    </row>
    <row r="422" ht="15.75" customHeight="1">
      <c r="A422" s="22">
        <v>413.0</v>
      </c>
      <c r="B422" s="22" t="s">
        <v>853</v>
      </c>
      <c r="C422" s="22" t="s">
        <v>854</v>
      </c>
      <c r="D422" s="66" t="s">
        <v>3381</v>
      </c>
      <c r="E422" s="22" t="s">
        <v>49</v>
      </c>
      <c r="F422" s="42" t="s">
        <v>3382</v>
      </c>
      <c r="G422" s="81" t="s">
        <v>3383</v>
      </c>
      <c r="H422" s="22" t="s">
        <v>147</v>
      </c>
      <c r="I422" s="22" t="s">
        <v>148</v>
      </c>
      <c r="J422" s="22" t="s">
        <v>148</v>
      </c>
      <c r="K422" s="22" t="s">
        <v>55</v>
      </c>
      <c r="L422" s="22" t="s">
        <v>56</v>
      </c>
      <c r="M422" s="22" t="s">
        <v>57</v>
      </c>
      <c r="N422" s="22" t="s">
        <v>58</v>
      </c>
      <c r="O422" s="22">
        <v>489.0</v>
      </c>
      <c r="P422" s="22">
        <v>589.0</v>
      </c>
      <c r="Q422" s="22" t="s">
        <v>59</v>
      </c>
      <c r="R422" s="22" t="s">
        <v>58</v>
      </c>
      <c r="S422" s="22" t="s">
        <v>58</v>
      </c>
      <c r="T422" s="22"/>
      <c r="U422" s="22"/>
      <c r="V422" s="22" t="s">
        <v>61</v>
      </c>
      <c r="W422" s="22" t="s">
        <v>58</v>
      </c>
      <c r="X422" s="22" t="s">
        <v>58</v>
      </c>
      <c r="Y422" s="22" t="s">
        <v>58</v>
      </c>
      <c r="Z422" s="22" t="s">
        <v>58</v>
      </c>
      <c r="AA422" s="22" t="s">
        <v>58</v>
      </c>
      <c r="AB422" s="22" t="s">
        <v>58</v>
      </c>
      <c r="AC422" s="22" t="s">
        <v>58</v>
      </c>
      <c r="AD422" s="22" t="s">
        <v>58</v>
      </c>
      <c r="AE422" s="22" t="s">
        <v>61</v>
      </c>
      <c r="AF422" s="22" t="s">
        <v>61</v>
      </c>
      <c r="AG422" s="22" t="s">
        <v>58</v>
      </c>
      <c r="AH422" s="22">
        <v>15.0</v>
      </c>
      <c r="AI422" s="22">
        <v>200.0</v>
      </c>
      <c r="AJ422" s="22">
        <v>15.0</v>
      </c>
      <c r="AK422" s="22">
        <v>0.0</v>
      </c>
      <c r="AL422" s="22"/>
      <c r="AM422" s="22"/>
      <c r="AN422" s="22"/>
      <c r="AO422" s="22"/>
    </row>
    <row r="423" ht="15.75" customHeight="1">
      <c r="A423" s="22">
        <v>414.0</v>
      </c>
      <c r="B423" s="22" t="s">
        <v>3384</v>
      </c>
      <c r="C423" s="22" t="s">
        <v>3385</v>
      </c>
      <c r="D423" s="66" t="s">
        <v>3386</v>
      </c>
      <c r="E423" s="22" t="s">
        <v>49</v>
      </c>
      <c r="F423" s="42" t="s">
        <v>3387</v>
      </c>
      <c r="G423" s="81" t="s">
        <v>3393</v>
      </c>
      <c r="H423" s="22" t="s">
        <v>123</v>
      </c>
      <c r="I423" s="22" t="s">
        <v>124</v>
      </c>
      <c r="J423" s="22" t="s">
        <v>74</v>
      </c>
      <c r="K423" s="22" t="s">
        <v>55</v>
      </c>
      <c r="L423" s="22" t="s">
        <v>56</v>
      </c>
      <c r="M423" s="22" t="s">
        <v>57</v>
      </c>
      <c r="N423" s="22" t="s">
        <v>58</v>
      </c>
      <c r="O423" s="22">
        <v>800.0</v>
      </c>
      <c r="P423" s="22">
        <v>1200.0</v>
      </c>
      <c r="Q423" s="22" t="s">
        <v>59</v>
      </c>
      <c r="R423" s="22" t="s">
        <v>58</v>
      </c>
      <c r="S423" s="22" t="s">
        <v>58</v>
      </c>
      <c r="T423" s="22"/>
      <c r="U423" s="22"/>
      <c r="V423" s="22" t="s">
        <v>61</v>
      </c>
      <c r="W423" s="22" t="s">
        <v>58</v>
      </c>
      <c r="X423" s="22" t="s">
        <v>58</v>
      </c>
      <c r="Y423" s="22" t="s">
        <v>58</v>
      </c>
      <c r="Z423" s="22" t="s">
        <v>58</v>
      </c>
      <c r="AA423" s="22" t="s">
        <v>58</v>
      </c>
      <c r="AB423" s="22" t="s">
        <v>58</v>
      </c>
      <c r="AC423" s="22" t="s">
        <v>58</v>
      </c>
      <c r="AD423" s="22" t="s">
        <v>58</v>
      </c>
      <c r="AE423" s="22" t="s">
        <v>61</v>
      </c>
      <c r="AF423" s="22" t="s">
        <v>61</v>
      </c>
      <c r="AG423" s="22" t="s">
        <v>58</v>
      </c>
      <c r="AH423" s="22">
        <v>50.0</v>
      </c>
      <c r="AI423" s="22">
        <v>4000.0</v>
      </c>
      <c r="AJ423" s="22">
        <v>50.0</v>
      </c>
      <c r="AK423" s="22">
        <v>0.0</v>
      </c>
      <c r="AL423" s="22"/>
      <c r="AM423" s="22"/>
      <c r="AN423" s="22"/>
      <c r="AO423" s="22"/>
    </row>
    <row r="424" ht="15.75" customHeight="1">
      <c r="A424" s="22">
        <v>415.0</v>
      </c>
      <c r="B424" s="22" t="s">
        <v>3395</v>
      </c>
      <c r="C424" s="22" t="s">
        <v>3396</v>
      </c>
      <c r="D424" s="66" t="s">
        <v>3397</v>
      </c>
      <c r="E424" s="22" t="s">
        <v>49</v>
      </c>
      <c r="F424" s="42" t="s">
        <v>3398</v>
      </c>
      <c r="G424" s="24">
        <v>9.971688994E9</v>
      </c>
      <c r="H424" s="22" t="s">
        <v>314</v>
      </c>
      <c r="I424" s="22" t="s">
        <v>315</v>
      </c>
      <c r="J424" s="22" t="s">
        <v>74</v>
      </c>
      <c r="K424" s="22" t="s">
        <v>55</v>
      </c>
      <c r="L424" s="22" t="s">
        <v>56</v>
      </c>
      <c r="M424" s="22" t="s">
        <v>57</v>
      </c>
      <c r="N424" s="22" t="s">
        <v>58</v>
      </c>
      <c r="O424" s="22">
        <v>350.0</v>
      </c>
      <c r="P424" s="22">
        <v>350.0</v>
      </c>
      <c r="Q424" s="22" t="s">
        <v>59</v>
      </c>
      <c r="R424" s="22" t="s">
        <v>58</v>
      </c>
      <c r="S424" s="22" t="s">
        <v>58</v>
      </c>
      <c r="T424" s="22"/>
      <c r="U424" s="22"/>
      <c r="V424" s="22" t="s">
        <v>61</v>
      </c>
      <c r="W424" s="22" t="s">
        <v>58</v>
      </c>
      <c r="X424" s="22" t="s">
        <v>58</v>
      </c>
      <c r="Y424" s="22" t="s">
        <v>58</v>
      </c>
      <c r="Z424" s="22" t="s">
        <v>58</v>
      </c>
      <c r="AA424" s="22" t="s">
        <v>58</v>
      </c>
      <c r="AB424" s="22" t="s">
        <v>58</v>
      </c>
      <c r="AC424" s="22" t="s">
        <v>58</v>
      </c>
      <c r="AD424" s="22" t="s">
        <v>58</v>
      </c>
      <c r="AE424" s="22" t="s">
        <v>61</v>
      </c>
      <c r="AF424" s="22" t="s">
        <v>61</v>
      </c>
      <c r="AG424" s="22" t="s">
        <v>58</v>
      </c>
      <c r="AH424" s="22">
        <v>29.0</v>
      </c>
      <c r="AI424" s="22">
        <v>5000.0</v>
      </c>
      <c r="AJ424" s="22">
        <v>29.0</v>
      </c>
      <c r="AK424" s="22">
        <v>0.0</v>
      </c>
      <c r="AL424" s="22"/>
      <c r="AM424" s="22"/>
      <c r="AN424" s="22"/>
      <c r="AO424" s="22"/>
    </row>
    <row r="425" ht="15.75" customHeight="1">
      <c r="A425" s="22">
        <v>416.0</v>
      </c>
      <c r="B425" s="22" t="s">
        <v>3401</v>
      </c>
      <c r="C425" s="22" t="s">
        <v>3402</v>
      </c>
      <c r="D425" s="24" t="s">
        <v>69</v>
      </c>
      <c r="E425" s="22" t="s">
        <v>49</v>
      </c>
      <c r="F425" s="24" t="s">
        <v>69</v>
      </c>
      <c r="G425" s="24" t="s">
        <v>69</v>
      </c>
      <c r="H425" s="22" t="s">
        <v>1608</v>
      </c>
      <c r="I425" s="22" t="s">
        <v>1609</v>
      </c>
      <c r="J425" s="22" t="s">
        <v>74</v>
      </c>
      <c r="K425" s="22" t="s">
        <v>55</v>
      </c>
      <c r="L425" s="22" t="s">
        <v>56</v>
      </c>
      <c r="M425" s="22" t="s">
        <v>57</v>
      </c>
      <c r="N425" s="22" t="s">
        <v>58</v>
      </c>
      <c r="O425" s="22">
        <v>950.0</v>
      </c>
      <c r="P425" s="22">
        <v>1050.0</v>
      </c>
      <c r="Q425" s="22" t="s">
        <v>59</v>
      </c>
      <c r="R425" s="22" t="s">
        <v>58</v>
      </c>
      <c r="S425" s="22" t="s">
        <v>58</v>
      </c>
      <c r="T425" s="22"/>
      <c r="U425" s="22"/>
      <c r="V425" s="22" t="s">
        <v>61</v>
      </c>
      <c r="W425" s="22" t="s">
        <v>58</v>
      </c>
      <c r="X425" s="22" t="s">
        <v>58</v>
      </c>
      <c r="Y425" s="22" t="s">
        <v>58</v>
      </c>
      <c r="Z425" s="22" t="s">
        <v>58</v>
      </c>
      <c r="AA425" s="22" t="s">
        <v>58</v>
      </c>
      <c r="AB425" s="22" t="s">
        <v>58</v>
      </c>
      <c r="AC425" s="22" t="s">
        <v>58</v>
      </c>
      <c r="AD425" s="22" t="s">
        <v>58</v>
      </c>
      <c r="AE425" s="22" t="s">
        <v>61</v>
      </c>
      <c r="AF425" s="22" t="s">
        <v>61</v>
      </c>
      <c r="AG425" s="22" t="s">
        <v>58</v>
      </c>
      <c r="AH425" s="22">
        <v>180.0</v>
      </c>
      <c r="AI425" s="22">
        <v>2500.0</v>
      </c>
      <c r="AJ425" s="22">
        <v>180.0</v>
      </c>
      <c r="AK425" s="22">
        <v>0.0</v>
      </c>
      <c r="AL425" s="22"/>
      <c r="AM425" s="22"/>
      <c r="AN425" s="22"/>
      <c r="AO425" s="22"/>
    </row>
    <row r="426" ht="15.75" customHeight="1">
      <c r="A426" s="22">
        <v>417.0</v>
      </c>
      <c r="B426" s="22" t="s">
        <v>3404</v>
      </c>
      <c r="C426" s="22" t="s">
        <v>3405</v>
      </c>
      <c r="D426" s="22" t="s">
        <v>3406</v>
      </c>
      <c r="E426" s="22" t="s">
        <v>49</v>
      </c>
      <c r="F426" s="24" t="s">
        <v>69</v>
      </c>
      <c r="G426" s="24" t="s">
        <v>69</v>
      </c>
      <c r="H426" s="22" t="s">
        <v>72</v>
      </c>
      <c r="I426" s="22" t="s">
        <v>73</v>
      </c>
      <c r="J426" s="22" t="s">
        <v>74</v>
      </c>
      <c r="K426" s="22" t="s">
        <v>55</v>
      </c>
      <c r="L426" s="22" t="s">
        <v>56</v>
      </c>
      <c r="M426" s="22" t="s">
        <v>57</v>
      </c>
      <c r="N426" s="22" t="s">
        <v>58</v>
      </c>
      <c r="O426" s="22">
        <v>1500.0</v>
      </c>
      <c r="P426" s="22">
        <v>1800.0</v>
      </c>
      <c r="Q426" s="22" t="s">
        <v>59</v>
      </c>
      <c r="R426" s="22" t="s">
        <v>58</v>
      </c>
      <c r="S426" s="22" t="s">
        <v>58</v>
      </c>
      <c r="T426" s="22" t="s">
        <v>3407</v>
      </c>
      <c r="U426" s="22"/>
      <c r="V426" s="22" t="s">
        <v>61</v>
      </c>
      <c r="W426" s="22" t="s">
        <v>58</v>
      </c>
      <c r="X426" s="22" t="s">
        <v>58</v>
      </c>
      <c r="Y426" s="22" t="s">
        <v>58</v>
      </c>
      <c r="Z426" s="22" t="s">
        <v>58</v>
      </c>
      <c r="AA426" s="22" t="s">
        <v>58</v>
      </c>
      <c r="AB426" s="22" t="s">
        <v>58</v>
      </c>
      <c r="AC426" s="22" t="s">
        <v>58</v>
      </c>
      <c r="AD426" s="22" t="s">
        <v>58</v>
      </c>
      <c r="AE426" s="22" t="s">
        <v>61</v>
      </c>
      <c r="AF426" s="22" t="s">
        <v>61</v>
      </c>
      <c r="AG426" s="22" t="s">
        <v>58</v>
      </c>
      <c r="AH426" s="22">
        <v>50.0</v>
      </c>
      <c r="AI426" s="22">
        <v>3000.0</v>
      </c>
      <c r="AJ426" s="22">
        <v>50.0</v>
      </c>
      <c r="AK426" s="22">
        <v>0.0</v>
      </c>
      <c r="AL426" s="22"/>
      <c r="AM426" s="22"/>
      <c r="AN426" s="22"/>
      <c r="AO426" s="22"/>
    </row>
    <row r="427" ht="15.75" customHeight="1">
      <c r="A427" s="22">
        <v>418.0</v>
      </c>
      <c r="B427" s="22" t="s">
        <v>1123</v>
      </c>
      <c r="C427" s="22" t="s">
        <v>1124</v>
      </c>
      <c r="D427" s="22" t="s">
        <v>1125</v>
      </c>
      <c r="E427" s="22" t="s">
        <v>49</v>
      </c>
      <c r="F427" s="42" t="s">
        <v>3412</v>
      </c>
      <c r="G427" s="82">
        <v>9.217977499E9</v>
      </c>
      <c r="H427" s="22" t="s">
        <v>75</v>
      </c>
      <c r="I427" s="22" t="s">
        <v>76</v>
      </c>
      <c r="J427" s="22" t="s">
        <v>76</v>
      </c>
      <c r="K427" s="22" t="s">
        <v>55</v>
      </c>
      <c r="L427" s="22" t="s">
        <v>56</v>
      </c>
      <c r="M427" s="22" t="s">
        <v>57</v>
      </c>
      <c r="N427" s="22" t="s">
        <v>58</v>
      </c>
      <c r="O427" s="22">
        <v>2500.0</v>
      </c>
      <c r="P427" s="22">
        <v>3500.0</v>
      </c>
      <c r="Q427" s="22" t="s">
        <v>59</v>
      </c>
      <c r="R427" s="22" t="s">
        <v>58</v>
      </c>
      <c r="S427" s="22" t="s">
        <v>58</v>
      </c>
      <c r="T427" s="22"/>
      <c r="U427" s="22"/>
      <c r="V427" s="22" t="s">
        <v>61</v>
      </c>
      <c r="W427" s="22" t="s">
        <v>58</v>
      </c>
      <c r="X427" s="22" t="s">
        <v>58</v>
      </c>
      <c r="Y427" s="22" t="s">
        <v>58</v>
      </c>
      <c r="Z427" s="22" t="s">
        <v>58</v>
      </c>
      <c r="AA427" s="22" t="s">
        <v>58</v>
      </c>
      <c r="AB427" s="22" t="s">
        <v>58</v>
      </c>
      <c r="AC427" s="22" t="s">
        <v>58</v>
      </c>
      <c r="AD427" s="22" t="s">
        <v>58</v>
      </c>
      <c r="AE427" s="22" t="s">
        <v>61</v>
      </c>
      <c r="AF427" s="22" t="s">
        <v>61</v>
      </c>
      <c r="AG427" s="22" t="s">
        <v>58</v>
      </c>
      <c r="AH427" s="22">
        <v>30.0</v>
      </c>
      <c r="AI427" s="22">
        <v>15000.0</v>
      </c>
      <c r="AJ427" s="22">
        <v>30.0</v>
      </c>
      <c r="AK427" s="22">
        <v>0.0</v>
      </c>
      <c r="AL427" s="22"/>
      <c r="AM427" s="22"/>
      <c r="AN427" s="22"/>
      <c r="AO427" s="22"/>
    </row>
    <row r="428" ht="45.75" customHeight="1">
      <c r="A428" s="22">
        <v>419.0</v>
      </c>
      <c r="B428" s="22" t="s">
        <v>3188</v>
      </c>
      <c r="C428" s="22" t="s">
        <v>3189</v>
      </c>
      <c r="D428" s="22" t="s">
        <v>3190</v>
      </c>
      <c r="E428" s="22" t="s">
        <v>49</v>
      </c>
      <c r="F428" s="42" t="s">
        <v>3416</v>
      </c>
      <c r="G428" s="113">
        <f>+919990737679</f>
        <v>919990737679</v>
      </c>
      <c r="H428" s="22" t="s">
        <v>303</v>
      </c>
      <c r="I428" s="22" t="s">
        <v>303</v>
      </c>
      <c r="J428" s="22" t="s">
        <v>74</v>
      </c>
      <c r="K428" s="22" t="s">
        <v>55</v>
      </c>
      <c r="L428" s="22" t="s">
        <v>56</v>
      </c>
      <c r="M428" s="22" t="s">
        <v>57</v>
      </c>
      <c r="N428" s="22" t="s">
        <v>58</v>
      </c>
      <c r="O428" s="22">
        <v>250.0</v>
      </c>
      <c r="P428" s="22"/>
      <c r="Q428" s="22" t="s">
        <v>59</v>
      </c>
      <c r="R428" s="22" t="s">
        <v>58</v>
      </c>
      <c r="S428" s="22" t="s">
        <v>58</v>
      </c>
      <c r="T428" s="22" t="s">
        <v>948</v>
      </c>
      <c r="U428" s="22"/>
      <c r="V428" s="22" t="s">
        <v>61</v>
      </c>
      <c r="W428" s="22" t="s">
        <v>58</v>
      </c>
      <c r="X428" s="22" t="s">
        <v>58</v>
      </c>
      <c r="Y428" s="22" t="s">
        <v>58</v>
      </c>
      <c r="Z428" s="22" t="s">
        <v>58</v>
      </c>
      <c r="AA428" s="22" t="s">
        <v>58</v>
      </c>
      <c r="AB428" s="22" t="s">
        <v>58</v>
      </c>
      <c r="AC428" s="22" t="s">
        <v>58</v>
      </c>
      <c r="AD428" s="22" t="s">
        <v>58</v>
      </c>
      <c r="AE428" s="22" t="s">
        <v>61</v>
      </c>
      <c r="AF428" s="22" t="s">
        <v>61</v>
      </c>
      <c r="AG428" s="22" t="s">
        <v>58</v>
      </c>
      <c r="AH428" s="22">
        <v>0.0</v>
      </c>
      <c r="AI428" s="22">
        <v>0.0</v>
      </c>
      <c r="AJ428" s="22">
        <v>0.0</v>
      </c>
      <c r="AK428" s="22">
        <v>0.0</v>
      </c>
      <c r="AL428" s="22"/>
      <c r="AM428" s="22"/>
      <c r="AN428" s="22"/>
      <c r="AO428" s="22"/>
    </row>
    <row r="429" ht="15.75" customHeight="1">
      <c r="A429" s="22">
        <v>420.0</v>
      </c>
      <c r="B429" s="22" t="s">
        <v>1728</v>
      </c>
      <c r="C429" s="22" t="s">
        <v>1729</v>
      </c>
      <c r="D429" s="66" t="s">
        <v>1730</v>
      </c>
      <c r="E429" s="22" t="s">
        <v>49</v>
      </c>
      <c r="F429" s="42" t="s">
        <v>1731</v>
      </c>
      <c r="G429" s="24" t="s">
        <v>69</v>
      </c>
      <c r="H429" s="22" t="s">
        <v>389</v>
      </c>
      <c r="I429" s="22" t="s">
        <v>390</v>
      </c>
      <c r="J429" s="22" t="s">
        <v>390</v>
      </c>
      <c r="K429" s="22" t="s">
        <v>55</v>
      </c>
      <c r="L429" s="22" t="s">
        <v>56</v>
      </c>
      <c r="M429" s="22" t="s">
        <v>57</v>
      </c>
      <c r="N429" s="22" t="s">
        <v>58</v>
      </c>
      <c r="O429" s="22">
        <v>200.0</v>
      </c>
      <c r="P429" s="22">
        <v>300.0</v>
      </c>
      <c r="Q429" s="22" t="s">
        <v>59</v>
      </c>
      <c r="R429" s="22" t="s">
        <v>58</v>
      </c>
      <c r="S429" s="22" t="s">
        <v>58</v>
      </c>
      <c r="T429" s="22"/>
      <c r="U429" s="22"/>
      <c r="V429" s="22" t="s">
        <v>61</v>
      </c>
      <c r="W429" s="22" t="s">
        <v>58</v>
      </c>
      <c r="X429" s="22" t="s">
        <v>58</v>
      </c>
      <c r="Y429" s="22" t="s">
        <v>58</v>
      </c>
      <c r="Z429" s="22" t="s">
        <v>58</v>
      </c>
      <c r="AA429" s="22" t="s">
        <v>58</v>
      </c>
      <c r="AB429" s="22" t="s">
        <v>58</v>
      </c>
      <c r="AC429" s="22" t="s">
        <v>58</v>
      </c>
      <c r="AD429" s="22" t="s">
        <v>58</v>
      </c>
      <c r="AE429" s="22" t="s">
        <v>61</v>
      </c>
      <c r="AF429" s="22" t="s">
        <v>61</v>
      </c>
      <c r="AG429" s="22" t="s">
        <v>58</v>
      </c>
      <c r="AH429" s="22">
        <v>100.0</v>
      </c>
      <c r="AI429" s="22">
        <v>1000.0</v>
      </c>
      <c r="AJ429" s="22">
        <v>100.0</v>
      </c>
      <c r="AK429" s="22">
        <v>0.0</v>
      </c>
      <c r="AL429" s="22"/>
      <c r="AM429" s="22"/>
      <c r="AN429" s="22"/>
      <c r="AO429" s="22"/>
    </row>
    <row r="430" ht="15.75" customHeight="1">
      <c r="A430" s="22">
        <v>421.0</v>
      </c>
      <c r="B430" s="22" t="s">
        <v>1809</v>
      </c>
      <c r="C430" s="22" t="s">
        <v>1810</v>
      </c>
      <c r="D430" s="66" t="s">
        <v>1811</v>
      </c>
      <c r="E430" s="22" t="s">
        <v>49</v>
      </c>
      <c r="F430" s="24" t="s">
        <v>69</v>
      </c>
      <c r="G430" s="24" t="s">
        <v>69</v>
      </c>
      <c r="H430" s="22" t="s">
        <v>389</v>
      </c>
      <c r="I430" s="22" t="s">
        <v>390</v>
      </c>
      <c r="J430" s="22" t="s">
        <v>390</v>
      </c>
      <c r="K430" s="22" t="s">
        <v>55</v>
      </c>
      <c r="L430" s="22" t="s">
        <v>56</v>
      </c>
      <c r="M430" s="22" t="s">
        <v>57</v>
      </c>
      <c r="N430" s="22" t="s">
        <v>58</v>
      </c>
      <c r="O430" s="22">
        <v>800.0</v>
      </c>
      <c r="P430" s="22">
        <v>1000.0</v>
      </c>
      <c r="Q430" s="22" t="s">
        <v>59</v>
      </c>
      <c r="R430" s="22" t="s">
        <v>58</v>
      </c>
      <c r="S430" s="22" t="s">
        <v>58</v>
      </c>
      <c r="T430" s="22"/>
      <c r="U430" s="22"/>
      <c r="V430" s="22" t="s">
        <v>61</v>
      </c>
      <c r="W430" s="22" t="s">
        <v>58</v>
      </c>
      <c r="X430" s="22" t="s">
        <v>58</v>
      </c>
      <c r="Y430" s="22" t="s">
        <v>58</v>
      </c>
      <c r="Z430" s="22" t="s">
        <v>58</v>
      </c>
      <c r="AA430" s="22" t="s">
        <v>58</v>
      </c>
      <c r="AB430" s="22" t="s">
        <v>58</v>
      </c>
      <c r="AC430" s="22" t="s">
        <v>58</v>
      </c>
      <c r="AD430" s="22" t="s">
        <v>58</v>
      </c>
      <c r="AE430" s="22" t="s">
        <v>61</v>
      </c>
      <c r="AF430" s="22" t="s">
        <v>61</v>
      </c>
      <c r="AG430" s="22" t="s">
        <v>58</v>
      </c>
      <c r="AH430" s="22">
        <v>250.0</v>
      </c>
      <c r="AI430" s="22">
        <v>2500.0</v>
      </c>
      <c r="AJ430" s="22">
        <v>250.0</v>
      </c>
      <c r="AK430" s="22">
        <v>0.0</v>
      </c>
      <c r="AL430" s="22"/>
      <c r="AM430" s="22"/>
      <c r="AN430" s="22"/>
      <c r="AO430" s="22"/>
    </row>
    <row r="431" ht="15.75" customHeight="1">
      <c r="A431" s="22">
        <v>422.0</v>
      </c>
      <c r="B431" s="22" t="s">
        <v>3424</v>
      </c>
      <c r="C431" s="22" t="s">
        <v>3425</v>
      </c>
      <c r="D431" s="22" t="s">
        <v>3426</v>
      </c>
      <c r="E431" s="22" t="s">
        <v>49</v>
      </c>
      <c r="F431" s="42" t="s">
        <v>3427</v>
      </c>
      <c r="G431" s="82">
        <v>9.911142429E9</v>
      </c>
      <c r="H431" s="22" t="s">
        <v>727</v>
      </c>
      <c r="I431" s="22" t="s">
        <v>729</v>
      </c>
      <c r="J431" s="22" t="s">
        <v>74</v>
      </c>
      <c r="K431" s="22" t="s">
        <v>55</v>
      </c>
      <c r="L431" s="22" t="s">
        <v>56</v>
      </c>
      <c r="M431" s="22" t="s">
        <v>57</v>
      </c>
      <c r="N431" s="22" t="s">
        <v>58</v>
      </c>
      <c r="O431" s="22">
        <v>699.0</v>
      </c>
      <c r="P431" s="22">
        <v>899.0</v>
      </c>
      <c r="Q431" s="22" t="s">
        <v>59</v>
      </c>
      <c r="R431" s="22" t="s">
        <v>58</v>
      </c>
      <c r="S431" s="22" t="s">
        <v>58</v>
      </c>
      <c r="T431" s="22" t="s">
        <v>275</v>
      </c>
      <c r="U431" s="22"/>
      <c r="V431" s="22" t="s">
        <v>61</v>
      </c>
      <c r="W431" s="22" t="s">
        <v>58</v>
      </c>
      <c r="X431" s="22" t="s">
        <v>58</v>
      </c>
      <c r="Y431" s="22" t="s">
        <v>58</v>
      </c>
      <c r="Z431" s="22" t="s">
        <v>58</v>
      </c>
      <c r="AA431" s="22" t="s">
        <v>58</v>
      </c>
      <c r="AB431" s="22" t="s">
        <v>58</v>
      </c>
      <c r="AC431" s="22" t="s">
        <v>58</v>
      </c>
      <c r="AD431" s="22" t="s">
        <v>58</v>
      </c>
      <c r="AE431" s="22" t="s">
        <v>61</v>
      </c>
      <c r="AF431" s="22" t="s">
        <v>61</v>
      </c>
      <c r="AG431" s="22" t="s">
        <v>58</v>
      </c>
      <c r="AH431" s="22">
        <v>100.0</v>
      </c>
      <c r="AI431" s="22">
        <v>10000.0</v>
      </c>
      <c r="AJ431" s="22">
        <v>100.0</v>
      </c>
      <c r="AK431" s="22">
        <v>0.0</v>
      </c>
      <c r="AL431" s="22"/>
      <c r="AM431" s="22"/>
      <c r="AN431" s="22"/>
      <c r="AO431" s="22"/>
    </row>
    <row r="432" ht="15.75" customHeight="1">
      <c r="A432" s="15">
        <v>423.0</v>
      </c>
      <c r="B432" s="15" t="s">
        <v>1400</v>
      </c>
      <c r="C432" s="15" t="s">
        <v>1401</v>
      </c>
      <c r="D432" s="48" t="s">
        <v>1402</v>
      </c>
      <c r="E432" s="15" t="s">
        <v>49</v>
      </c>
      <c r="F432" s="49" t="s">
        <v>1845</v>
      </c>
      <c r="G432" s="15" t="s">
        <v>3432</v>
      </c>
      <c r="H432" s="15" t="s">
        <v>389</v>
      </c>
      <c r="I432" s="15" t="s">
        <v>390</v>
      </c>
      <c r="J432" s="15" t="s">
        <v>390</v>
      </c>
      <c r="K432" s="15" t="s">
        <v>55</v>
      </c>
      <c r="L432" s="15" t="s">
        <v>56</v>
      </c>
      <c r="M432" s="15" t="s">
        <v>57</v>
      </c>
      <c r="N432" s="15" t="s">
        <v>58</v>
      </c>
      <c r="O432" s="15">
        <v>180.0</v>
      </c>
      <c r="P432" s="15">
        <v>240.0</v>
      </c>
      <c r="Q432" s="15" t="s">
        <v>59</v>
      </c>
      <c r="R432" s="15" t="s">
        <v>58</v>
      </c>
      <c r="S432" s="15" t="s">
        <v>58</v>
      </c>
      <c r="T432" s="15"/>
      <c r="U432" s="15"/>
      <c r="V432" s="15" t="s">
        <v>61</v>
      </c>
      <c r="W432" s="15" t="s">
        <v>58</v>
      </c>
      <c r="X432" s="15" t="s">
        <v>58</v>
      </c>
      <c r="Y432" s="15" t="s">
        <v>58</v>
      </c>
      <c r="Z432" s="15" t="s">
        <v>58</v>
      </c>
      <c r="AA432" s="15" t="s">
        <v>58</v>
      </c>
      <c r="AB432" s="15" t="s">
        <v>58</v>
      </c>
      <c r="AC432" s="15" t="s">
        <v>58</v>
      </c>
      <c r="AD432" s="15" t="s">
        <v>58</v>
      </c>
      <c r="AE432" s="15" t="s">
        <v>61</v>
      </c>
      <c r="AF432" s="15" t="s">
        <v>61</v>
      </c>
      <c r="AG432" s="15" t="s">
        <v>58</v>
      </c>
      <c r="AH432" s="15">
        <v>200.0</v>
      </c>
      <c r="AI432" s="15">
        <v>500.0</v>
      </c>
      <c r="AJ432" s="15">
        <v>200.0</v>
      </c>
      <c r="AK432" s="15">
        <v>0.0</v>
      </c>
      <c r="AL432" s="15"/>
      <c r="AM432" s="15"/>
      <c r="AN432" s="16" t="s">
        <v>757</v>
      </c>
      <c r="AO432" s="21">
        <v>2.0</v>
      </c>
    </row>
    <row r="433" ht="15.75" customHeight="1">
      <c r="A433" s="22">
        <v>424.0</v>
      </c>
      <c r="B433" s="22" t="s">
        <v>3225</v>
      </c>
      <c r="C433" s="22" t="s">
        <v>3226</v>
      </c>
      <c r="D433" s="66" t="s">
        <v>3433</v>
      </c>
      <c r="E433" s="22" t="s">
        <v>49</v>
      </c>
      <c r="F433" s="42" t="s">
        <v>3227</v>
      </c>
      <c r="G433" s="81" t="s">
        <v>3228</v>
      </c>
      <c r="H433" s="22" t="s">
        <v>3229</v>
      </c>
      <c r="I433" s="22" t="s">
        <v>3230</v>
      </c>
      <c r="J433" s="22" t="s">
        <v>74</v>
      </c>
      <c r="K433" s="22" t="s">
        <v>55</v>
      </c>
      <c r="L433" s="22" t="s">
        <v>56</v>
      </c>
      <c r="M433" s="22" t="s">
        <v>57</v>
      </c>
      <c r="N433" s="22" t="s">
        <v>58</v>
      </c>
      <c r="O433" s="22">
        <v>950.0</v>
      </c>
      <c r="P433" s="22">
        <v>1050.0</v>
      </c>
      <c r="Q433" s="22" t="s">
        <v>59</v>
      </c>
      <c r="R433" s="22" t="s">
        <v>58</v>
      </c>
      <c r="S433" s="22" t="s">
        <v>58</v>
      </c>
      <c r="T433" s="22"/>
      <c r="U433" s="22"/>
      <c r="V433" s="22" t="s">
        <v>61</v>
      </c>
      <c r="W433" s="22" t="s">
        <v>58</v>
      </c>
      <c r="X433" s="22" t="s">
        <v>58</v>
      </c>
      <c r="Y433" s="22" t="s">
        <v>58</v>
      </c>
      <c r="Z433" s="22" t="s">
        <v>58</v>
      </c>
      <c r="AA433" s="22" t="s">
        <v>58</v>
      </c>
      <c r="AB433" s="22" t="s">
        <v>58</v>
      </c>
      <c r="AC433" s="22" t="s">
        <v>58</v>
      </c>
      <c r="AD433" s="22" t="s">
        <v>58</v>
      </c>
      <c r="AE433" s="22" t="s">
        <v>61</v>
      </c>
      <c r="AF433" s="22" t="s">
        <v>61</v>
      </c>
      <c r="AG433" s="22" t="s">
        <v>58</v>
      </c>
      <c r="AH433" s="22">
        <v>100.0</v>
      </c>
      <c r="AI433" s="22">
        <v>4000.0</v>
      </c>
      <c r="AJ433" s="22">
        <v>100.0</v>
      </c>
      <c r="AK433" s="22">
        <v>0.0</v>
      </c>
      <c r="AL433" s="22"/>
      <c r="AM433" s="22"/>
      <c r="AN433" s="22"/>
      <c r="AO433" s="22"/>
    </row>
    <row r="434" ht="15.75" customHeight="1">
      <c r="A434" s="22">
        <v>425.0</v>
      </c>
      <c r="B434" s="22" t="s">
        <v>3435</v>
      </c>
      <c r="C434" s="22" t="s">
        <v>3436</v>
      </c>
      <c r="D434" s="24" t="s">
        <v>69</v>
      </c>
      <c r="E434" s="22" t="s">
        <v>49</v>
      </c>
      <c r="F434" s="42" t="s">
        <v>3437</v>
      </c>
      <c r="G434" s="81" t="s">
        <v>3438</v>
      </c>
      <c r="H434" s="22" t="s">
        <v>586</v>
      </c>
      <c r="I434" s="22" t="s">
        <v>587</v>
      </c>
      <c r="J434" s="22" t="s">
        <v>74</v>
      </c>
      <c r="K434" s="22" t="s">
        <v>55</v>
      </c>
      <c r="L434" s="22" t="s">
        <v>56</v>
      </c>
      <c r="M434" s="22" t="s">
        <v>57</v>
      </c>
      <c r="N434" s="22" t="s">
        <v>58</v>
      </c>
      <c r="O434" s="22">
        <v>400.0</v>
      </c>
      <c r="P434" s="22">
        <v>400.0</v>
      </c>
      <c r="Q434" s="22" t="s">
        <v>59</v>
      </c>
      <c r="R434" s="22" t="s">
        <v>58</v>
      </c>
      <c r="S434" s="22" t="s">
        <v>58</v>
      </c>
      <c r="T434" s="22"/>
      <c r="U434" s="22"/>
      <c r="V434" s="22" t="s">
        <v>61</v>
      </c>
      <c r="W434" s="22" t="s">
        <v>58</v>
      </c>
      <c r="X434" s="22" t="s">
        <v>58</v>
      </c>
      <c r="Y434" s="22" t="s">
        <v>58</v>
      </c>
      <c r="Z434" s="22" t="s">
        <v>58</v>
      </c>
      <c r="AA434" s="22" t="s">
        <v>58</v>
      </c>
      <c r="AB434" s="22" t="s">
        <v>58</v>
      </c>
      <c r="AC434" s="22" t="s">
        <v>58</v>
      </c>
      <c r="AD434" s="22" t="s">
        <v>58</v>
      </c>
      <c r="AE434" s="22" t="s">
        <v>61</v>
      </c>
      <c r="AF434" s="22" t="s">
        <v>61</v>
      </c>
      <c r="AG434" s="22" t="s">
        <v>58</v>
      </c>
      <c r="AH434" s="22">
        <v>30.0</v>
      </c>
      <c r="AI434" s="22">
        <v>100.0</v>
      </c>
      <c r="AJ434" s="22">
        <v>30.0</v>
      </c>
      <c r="AK434" s="22">
        <v>0.0</v>
      </c>
      <c r="AL434" s="22"/>
      <c r="AM434" s="22"/>
      <c r="AN434" s="22"/>
      <c r="AO434" s="22"/>
    </row>
    <row r="435" ht="15.75" customHeight="1">
      <c r="A435" s="22">
        <v>426.0</v>
      </c>
      <c r="B435" s="22" t="s">
        <v>3440</v>
      </c>
      <c r="C435" s="22" t="s">
        <v>3441</v>
      </c>
      <c r="D435" s="22" t="s">
        <v>3443</v>
      </c>
      <c r="E435" s="22" t="s">
        <v>49</v>
      </c>
      <c r="F435" s="42" t="s">
        <v>3445</v>
      </c>
      <c r="G435" s="81" t="s">
        <v>3446</v>
      </c>
      <c r="H435" s="22" t="s">
        <v>303</v>
      </c>
      <c r="I435" s="22" t="s">
        <v>303</v>
      </c>
      <c r="J435" s="22" t="s">
        <v>74</v>
      </c>
      <c r="K435" s="22" t="s">
        <v>55</v>
      </c>
      <c r="L435" s="22" t="s">
        <v>56</v>
      </c>
      <c r="M435" s="22" t="s">
        <v>57</v>
      </c>
      <c r="N435" s="22" t="s">
        <v>58</v>
      </c>
      <c r="O435" s="22">
        <v>1500.0</v>
      </c>
      <c r="P435" s="22">
        <v>1800.0</v>
      </c>
      <c r="Q435" s="22" t="s">
        <v>59</v>
      </c>
      <c r="R435" s="22" t="s">
        <v>58</v>
      </c>
      <c r="S435" s="22" t="s">
        <v>58</v>
      </c>
      <c r="T435" s="22" t="s">
        <v>948</v>
      </c>
      <c r="U435" s="22"/>
      <c r="V435" s="22" t="s">
        <v>61</v>
      </c>
      <c r="W435" s="22" t="s">
        <v>58</v>
      </c>
      <c r="X435" s="22" t="s">
        <v>58</v>
      </c>
      <c r="Y435" s="22" t="s">
        <v>58</v>
      </c>
      <c r="Z435" s="22" t="s">
        <v>58</v>
      </c>
      <c r="AA435" s="22" t="s">
        <v>58</v>
      </c>
      <c r="AB435" s="22" t="s">
        <v>58</v>
      </c>
      <c r="AC435" s="22" t="s">
        <v>58</v>
      </c>
      <c r="AD435" s="22" t="s">
        <v>58</v>
      </c>
      <c r="AE435" s="22" t="s">
        <v>61</v>
      </c>
      <c r="AF435" s="22" t="s">
        <v>61</v>
      </c>
      <c r="AG435" s="22" t="s">
        <v>58</v>
      </c>
      <c r="AH435" s="22">
        <v>0.0</v>
      </c>
      <c r="AI435" s="22">
        <v>0.0</v>
      </c>
      <c r="AJ435" s="22">
        <v>0.0</v>
      </c>
      <c r="AK435" s="22">
        <v>0.0</v>
      </c>
      <c r="AL435" s="22"/>
      <c r="AM435" s="22"/>
      <c r="AN435" s="22"/>
      <c r="AO435" s="22"/>
    </row>
    <row r="436" ht="15.75" customHeight="1">
      <c r="A436" s="22">
        <v>427.0</v>
      </c>
      <c r="B436" s="22" t="s">
        <v>3300</v>
      </c>
      <c r="C436" s="22" t="s">
        <v>3301</v>
      </c>
      <c r="D436" s="66" t="s">
        <v>3447</v>
      </c>
      <c r="E436" s="22" t="s">
        <v>49</v>
      </c>
      <c r="F436" s="24" t="s">
        <v>69</v>
      </c>
      <c r="G436" s="24" t="s">
        <v>69</v>
      </c>
      <c r="H436" s="22" t="s">
        <v>123</v>
      </c>
      <c r="I436" s="22" t="s">
        <v>124</v>
      </c>
      <c r="J436" s="22" t="s">
        <v>74</v>
      </c>
      <c r="K436" s="22" t="s">
        <v>55</v>
      </c>
      <c r="L436" s="22" t="s">
        <v>56</v>
      </c>
      <c r="M436" s="22" t="s">
        <v>57</v>
      </c>
      <c r="N436" s="22" t="s">
        <v>58</v>
      </c>
      <c r="O436" s="22">
        <v>400.0</v>
      </c>
      <c r="P436" s="22">
        <v>500.0</v>
      </c>
      <c r="Q436" s="22" t="s">
        <v>59</v>
      </c>
      <c r="R436" s="22" t="s">
        <v>58</v>
      </c>
      <c r="S436" s="22" t="s">
        <v>58</v>
      </c>
      <c r="T436" s="22"/>
      <c r="U436" s="22"/>
      <c r="V436" s="22" t="s">
        <v>61</v>
      </c>
      <c r="W436" s="22" t="s">
        <v>58</v>
      </c>
      <c r="X436" s="22" t="s">
        <v>58</v>
      </c>
      <c r="Y436" s="22" t="s">
        <v>58</v>
      </c>
      <c r="Z436" s="22" t="s">
        <v>58</v>
      </c>
      <c r="AA436" s="22" t="s">
        <v>58</v>
      </c>
      <c r="AB436" s="22" t="s">
        <v>58</v>
      </c>
      <c r="AC436" s="22" t="s">
        <v>58</v>
      </c>
      <c r="AD436" s="22" t="s">
        <v>58</v>
      </c>
      <c r="AE436" s="22" t="s">
        <v>61</v>
      </c>
      <c r="AF436" s="22" t="s">
        <v>61</v>
      </c>
      <c r="AG436" s="22" t="s">
        <v>58</v>
      </c>
      <c r="AH436" s="22">
        <v>100.0</v>
      </c>
      <c r="AI436" s="22">
        <v>2000.0</v>
      </c>
      <c r="AJ436" s="22">
        <v>100.0</v>
      </c>
      <c r="AK436" s="22">
        <v>0.0</v>
      </c>
      <c r="AL436" s="22"/>
      <c r="AM436" s="22"/>
      <c r="AN436" s="22"/>
      <c r="AO436" s="22"/>
    </row>
    <row r="437" ht="15.75" customHeight="1">
      <c r="A437" s="22">
        <v>428.0</v>
      </c>
      <c r="B437" s="22" t="s">
        <v>3146</v>
      </c>
      <c r="C437" s="22" t="s">
        <v>3147</v>
      </c>
      <c r="D437" s="66" t="s">
        <v>3450</v>
      </c>
      <c r="E437" s="22" t="s">
        <v>49</v>
      </c>
      <c r="F437" s="42" t="s">
        <v>3451</v>
      </c>
      <c r="G437" s="24" t="s">
        <v>3452</v>
      </c>
      <c r="H437" s="22" t="s">
        <v>123</v>
      </c>
      <c r="I437" s="22" t="s">
        <v>124</v>
      </c>
      <c r="J437" s="22" t="s">
        <v>74</v>
      </c>
      <c r="K437" s="22" t="s">
        <v>55</v>
      </c>
      <c r="L437" s="22" t="s">
        <v>56</v>
      </c>
      <c r="M437" s="22" t="s">
        <v>57</v>
      </c>
      <c r="N437" s="22" t="s">
        <v>58</v>
      </c>
      <c r="O437" s="22">
        <v>750.0</v>
      </c>
      <c r="P437" s="22">
        <v>1000.0</v>
      </c>
      <c r="Q437" s="22" t="s">
        <v>59</v>
      </c>
      <c r="R437" s="22" t="s">
        <v>58</v>
      </c>
      <c r="S437" s="22" t="s">
        <v>58</v>
      </c>
      <c r="T437" s="22"/>
      <c r="U437" s="22"/>
      <c r="V437" s="22" t="s">
        <v>61</v>
      </c>
      <c r="W437" s="22" t="s">
        <v>58</v>
      </c>
      <c r="X437" s="22" t="s">
        <v>58</v>
      </c>
      <c r="Y437" s="22" t="s">
        <v>58</v>
      </c>
      <c r="Z437" s="22" t="s">
        <v>58</v>
      </c>
      <c r="AA437" s="22" t="s">
        <v>58</v>
      </c>
      <c r="AB437" s="22" t="s">
        <v>58</v>
      </c>
      <c r="AC437" s="22" t="s">
        <v>58</v>
      </c>
      <c r="AD437" s="22" t="s">
        <v>58</v>
      </c>
      <c r="AE437" s="22" t="s">
        <v>61</v>
      </c>
      <c r="AF437" s="22" t="s">
        <v>61</v>
      </c>
      <c r="AG437" s="22" t="s">
        <v>58</v>
      </c>
      <c r="AH437" s="22">
        <v>50.0</v>
      </c>
      <c r="AI437" s="22">
        <v>3000.0</v>
      </c>
      <c r="AJ437" s="22">
        <v>50.0</v>
      </c>
      <c r="AK437" s="22">
        <v>0.0</v>
      </c>
      <c r="AL437" s="22"/>
      <c r="AM437" s="22"/>
      <c r="AN437" s="22"/>
      <c r="AO437" s="22"/>
    </row>
    <row r="438" ht="15.75" customHeight="1">
      <c r="A438" s="22">
        <v>429.0</v>
      </c>
      <c r="B438" s="22" t="s">
        <v>3455</v>
      </c>
      <c r="C438" s="22" t="s">
        <v>3456</v>
      </c>
      <c r="D438" s="66" t="s">
        <v>3457</v>
      </c>
      <c r="E438" s="22" t="s">
        <v>49</v>
      </c>
      <c r="F438" s="42" t="s">
        <v>3458</v>
      </c>
      <c r="G438" s="81" t="s">
        <v>3460</v>
      </c>
      <c r="H438" s="22" t="s">
        <v>142</v>
      </c>
      <c r="I438" s="22" t="s">
        <v>144</v>
      </c>
      <c r="J438" s="22" t="s">
        <v>74</v>
      </c>
      <c r="K438" s="22" t="s">
        <v>55</v>
      </c>
      <c r="L438" s="22" t="s">
        <v>56</v>
      </c>
      <c r="M438" s="22" t="s">
        <v>57</v>
      </c>
      <c r="N438" s="22" t="s">
        <v>58</v>
      </c>
      <c r="O438" s="22">
        <v>1300.0</v>
      </c>
      <c r="P438" s="22">
        <v>1500.0</v>
      </c>
      <c r="Q438" s="22" t="s">
        <v>59</v>
      </c>
      <c r="R438" s="22" t="s">
        <v>58</v>
      </c>
      <c r="S438" s="22" t="s">
        <v>58</v>
      </c>
      <c r="T438" s="22"/>
      <c r="U438" s="22"/>
      <c r="V438" s="22" t="s">
        <v>61</v>
      </c>
      <c r="W438" s="22" t="s">
        <v>58</v>
      </c>
      <c r="X438" s="22" t="s">
        <v>58</v>
      </c>
      <c r="Y438" s="22" t="s">
        <v>58</v>
      </c>
      <c r="Z438" s="22" t="s">
        <v>58</v>
      </c>
      <c r="AA438" s="22" t="s">
        <v>58</v>
      </c>
      <c r="AB438" s="22" t="s">
        <v>58</v>
      </c>
      <c r="AC438" s="22" t="s">
        <v>58</v>
      </c>
      <c r="AD438" s="22" t="s">
        <v>58</v>
      </c>
      <c r="AE438" s="22" t="s">
        <v>61</v>
      </c>
      <c r="AF438" s="22" t="s">
        <v>61</v>
      </c>
      <c r="AG438" s="22" t="s">
        <v>58</v>
      </c>
      <c r="AH438" s="22">
        <v>50.0</v>
      </c>
      <c r="AI438" s="22">
        <v>2000.0</v>
      </c>
      <c r="AJ438" s="22">
        <v>50.0</v>
      </c>
      <c r="AK438" s="22">
        <v>0.0</v>
      </c>
      <c r="AL438" s="22"/>
      <c r="AM438" s="22"/>
      <c r="AN438" s="22"/>
      <c r="AO438" s="22"/>
    </row>
    <row r="439" ht="15.75" customHeight="1">
      <c r="A439" s="22">
        <v>430.0</v>
      </c>
      <c r="B439" s="22" t="s">
        <v>3462</v>
      </c>
      <c r="C439" s="22" t="s">
        <v>3463</v>
      </c>
      <c r="D439" s="24" t="s">
        <v>69</v>
      </c>
      <c r="E439" s="22" t="s">
        <v>49</v>
      </c>
      <c r="F439" s="42" t="s">
        <v>3464</v>
      </c>
      <c r="G439" s="81" t="s">
        <v>3466</v>
      </c>
      <c r="H439" s="22" t="s">
        <v>1091</v>
      </c>
      <c r="I439" s="22" t="s">
        <v>1092</v>
      </c>
      <c r="J439" s="22" t="s">
        <v>74</v>
      </c>
      <c r="K439" s="22" t="s">
        <v>55</v>
      </c>
      <c r="L439" s="22" t="s">
        <v>56</v>
      </c>
      <c r="M439" s="22" t="s">
        <v>57</v>
      </c>
      <c r="N439" s="22" t="s">
        <v>58</v>
      </c>
      <c r="O439" s="22">
        <v>500.0</v>
      </c>
      <c r="P439" s="22"/>
      <c r="Q439" s="22" t="s">
        <v>59</v>
      </c>
      <c r="R439" s="22" t="s">
        <v>58</v>
      </c>
      <c r="S439" s="22" t="s">
        <v>58</v>
      </c>
      <c r="T439" s="22"/>
      <c r="U439" s="22"/>
      <c r="V439" s="22" t="s">
        <v>61</v>
      </c>
      <c r="W439" s="22" t="s">
        <v>58</v>
      </c>
      <c r="X439" s="22" t="s">
        <v>58</v>
      </c>
      <c r="Y439" s="22" t="s">
        <v>58</v>
      </c>
      <c r="Z439" s="22" t="s">
        <v>58</v>
      </c>
      <c r="AA439" s="22" t="s">
        <v>58</v>
      </c>
      <c r="AB439" s="22" t="s">
        <v>58</v>
      </c>
      <c r="AC439" s="22" t="s">
        <v>58</v>
      </c>
      <c r="AD439" s="22" t="s">
        <v>58</v>
      </c>
      <c r="AE439" s="22" t="s">
        <v>61</v>
      </c>
      <c r="AF439" s="22" t="s">
        <v>61</v>
      </c>
      <c r="AG439" s="22" t="s">
        <v>58</v>
      </c>
      <c r="AH439" s="22">
        <v>50.0</v>
      </c>
      <c r="AI439" s="22">
        <v>1000.0</v>
      </c>
      <c r="AJ439" s="22">
        <v>50.0</v>
      </c>
      <c r="AK439" s="22">
        <v>0.0</v>
      </c>
      <c r="AL439" s="22"/>
      <c r="AM439" s="22"/>
      <c r="AN439" s="22"/>
      <c r="AO439" s="22"/>
    </row>
    <row r="440" ht="15.75" customHeight="1">
      <c r="A440" s="22">
        <v>431.0</v>
      </c>
      <c r="B440" s="22" t="s">
        <v>3467</v>
      </c>
      <c r="C440" s="22" t="s">
        <v>3468</v>
      </c>
      <c r="D440" s="22" t="s">
        <v>3469</v>
      </c>
      <c r="E440" s="22" t="s">
        <v>49</v>
      </c>
      <c r="F440" s="42" t="s">
        <v>3470</v>
      </c>
      <c r="G440" s="24" t="s">
        <v>69</v>
      </c>
      <c r="H440" s="22" t="s">
        <v>303</v>
      </c>
      <c r="I440" s="22" t="s">
        <v>303</v>
      </c>
      <c r="J440" s="22" t="s">
        <v>74</v>
      </c>
      <c r="K440" s="22" t="s">
        <v>55</v>
      </c>
      <c r="L440" s="22" t="s">
        <v>56</v>
      </c>
      <c r="M440" s="22" t="s">
        <v>57</v>
      </c>
      <c r="N440" s="22" t="s">
        <v>58</v>
      </c>
      <c r="O440" s="22">
        <v>850.0</v>
      </c>
      <c r="P440" s="22">
        <v>1050.0</v>
      </c>
      <c r="Q440" s="22" t="s">
        <v>59</v>
      </c>
      <c r="R440" s="22" t="s">
        <v>58</v>
      </c>
      <c r="S440" s="22" t="s">
        <v>58</v>
      </c>
      <c r="T440" s="22"/>
      <c r="U440" s="22"/>
      <c r="V440" s="22" t="s">
        <v>61</v>
      </c>
      <c r="W440" s="22" t="s">
        <v>58</v>
      </c>
      <c r="X440" s="22" t="s">
        <v>58</v>
      </c>
      <c r="Y440" s="22" t="s">
        <v>58</v>
      </c>
      <c r="Z440" s="22" t="s">
        <v>58</v>
      </c>
      <c r="AA440" s="22" t="s">
        <v>58</v>
      </c>
      <c r="AB440" s="22" t="s">
        <v>58</v>
      </c>
      <c r="AC440" s="22" t="s">
        <v>58</v>
      </c>
      <c r="AD440" s="22" t="s">
        <v>58</v>
      </c>
      <c r="AE440" s="22" t="s">
        <v>61</v>
      </c>
      <c r="AF440" s="22" t="s">
        <v>61</v>
      </c>
      <c r="AG440" s="22" t="s">
        <v>58</v>
      </c>
      <c r="AH440" s="22">
        <v>50.0</v>
      </c>
      <c r="AI440" s="22">
        <v>3500.0</v>
      </c>
      <c r="AJ440" s="22">
        <v>50.0</v>
      </c>
      <c r="AK440" s="22">
        <v>0.0</v>
      </c>
      <c r="AL440" s="22"/>
      <c r="AM440" s="22"/>
      <c r="AN440" s="22"/>
      <c r="AO440" s="22"/>
    </row>
    <row r="441" ht="15.75" customHeight="1">
      <c r="A441" s="22">
        <v>432.0</v>
      </c>
      <c r="B441" s="22" t="s">
        <v>3473</v>
      </c>
      <c r="C441" s="22" t="s">
        <v>3474</v>
      </c>
      <c r="D441" s="66" t="s">
        <v>3475</v>
      </c>
      <c r="E441" s="22" t="s">
        <v>49</v>
      </c>
      <c r="F441" s="42" t="s">
        <v>3476</v>
      </c>
      <c r="G441" s="82">
        <v>9.810851731E9</v>
      </c>
      <c r="H441" s="22" t="s">
        <v>586</v>
      </c>
      <c r="I441" s="22" t="s">
        <v>587</v>
      </c>
      <c r="J441" s="22" t="s">
        <v>74</v>
      </c>
      <c r="K441" s="22" t="s">
        <v>55</v>
      </c>
      <c r="L441" s="22" t="s">
        <v>56</v>
      </c>
      <c r="M441" s="22" t="s">
        <v>57</v>
      </c>
      <c r="N441" s="22" t="s">
        <v>58</v>
      </c>
      <c r="O441" s="22">
        <v>1000.0</v>
      </c>
      <c r="P441" s="22"/>
      <c r="Q441" s="22" t="s">
        <v>59</v>
      </c>
      <c r="R441" s="22" t="s">
        <v>58</v>
      </c>
      <c r="S441" s="22" t="s">
        <v>58</v>
      </c>
      <c r="T441" s="22"/>
      <c r="U441" s="22"/>
      <c r="V441" s="22" t="s">
        <v>61</v>
      </c>
      <c r="W441" s="22" t="s">
        <v>58</v>
      </c>
      <c r="X441" s="22" t="s">
        <v>58</v>
      </c>
      <c r="Y441" s="22" t="s">
        <v>58</v>
      </c>
      <c r="Z441" s="22" t="s">
        <v>58</v>
      </c>
      <c r="AA441" s="22" t="s">
        <v>58</v>
      </c>
      <c r="AB441" s="22" t="s">
        <v>58</v>
      </c>
      <c r="AC441" s="22" t="s">
        <v>58</v>
      </c>
      <c r="AD441" s="22" t="s">
        <v>58</v>
      </c>
      <c r="AE441" s="22" t="s">
        <v>61</v>
      </c>
      <c r="AF441" s="22" t="s">
        <v>61</v>
      </c>
      <c r="AG441" s="22" t="s">
        <v>58</v>
      </c>
      <c r="AH441" s="22">
        <v>300.0</v>
      </c>
      <c r="AI441" s="22">
        <v>2000.0</v>
      </c>
      <c r="AJ441" s="22">
        <v>300.0</v>
      </c>
      <c r="AK441" s="22">
        <v>0.0</v>
      </c>
      <c r="AL441" s="22"/>
      <c r="AM441" s="22"/>
      <c r="AN441" s="22"/>
      <c r="AO441" s="22"/>
    </row>
    <row r="442" ht="15.75" customHeight="1">
      <c r="A442" s="15">
        <v>433.0</v>
      </c>
      <c r="B442" s="15" t="s">
        <v>1218</v>
      </c>
      <c r="C442" s="15" t="s">
        <v>1219</v>
      </c>
      <c r="D442" s="48" t="s">
        <v>1220</v>
      </c>
      <c r="E442" s="15" t="s">
        <v>49</v>
      </c>
      <c r="F442" s="49" t="s">
        <v>3044</v>
      </c>
      <c r="G442" s="15" t="s">
        <v>3045</v>
      </c>
      <c r="H442" s="15" t="s">
        <v>930</v>
      </c>
      <c r="I442" s="15" t="s">
        <v>931</v>
      </c>
      <c r="J442" s="15" t="s">
        <v>931</v>
      </c>
      <c r="K442" s="15" t="s">
        <v>55</v>
      </c>
      <c r="L442" s="15" t="s">
        <v>56</v>
      </c>
      <c r="M442" s="15" t="s">
        <v>57</v>
      </c>
      <c r="N442" s="15" t="s">
        <v>58</v>
      </c>
      <c r="O442" s="15">
        <v>350.0</v>
      </c>
      <c r="P442" s="15">
        <v>650.0</v>
      </c>
      <c r="Q442" s="15" t="s">
        <v>59</v>
      </c>
      <c r="R442" s="15" t="s">
        <v>58</v>
      </c>
      <c r="S442" s="15" t="s">
        <v>58</v>
      </c>
      <c r="T442" s="15"/>
      <c r="U442" s="15"/>
      <c r="V442" s="15" t="s">
        <v>61</v>
      </c>
      <c r="W442" s="15" t="s">
        <v>58</v>
      </c>
      <c r="X442" s="15" t="s">
        <v>58</v>
      </c>
      <c r="Y442" s="15" t="s">
        <v>58</v>
      </c>
      <c r="Z442" s="15" t="s">
        <v>58</v>
      </c>
      <c r="AA442" s="15" t="s">
        <v>58</v>
      </c>
      <c r="AB442" s="15" t="s">
        <v>58</v>
      </c>
      <c r="AC442" s="15" t="s">
        <v>58</v>
      </c>
      <c r="AD442" s="15" t="s">
        <v>58</v>
      </c>
      <c r="AE442" s="15" t="s">
        <v>61</v>
      </c>
      <c r="AF442" s="15" t="s">
        <v>61</v>
      </c>
      <c r="AG442" s="15" t="s">
        <v>58</v>
      </c>
      <c r="AH442" s="15">
        <v>150.0</v>
      </c>
      <c r="AI442" s="15">
        <v>1000.0</v>
      </c>
      <c r="AJ442" s="15">
        <v>150.0</v>
      </c>
      <c r="AK442" s="15">
        <v>0.0</v>
      </c>
      <c r="AL442" s="15"/>
      <c r="AM442" s="15"/>
      <c r="AN442" s="16" t="s">
        <v>757</v>
      </c>
      <c r="AO442" s="21">
        <v>2.0</v>
      </c>
    </row>
    <row r="443" ht="15.75" customHeight="1">
      <c r="A443" s="22">
        <v>434.0</v>
      </c>
      <c r="B443" s="22" t="s">
        <v>1148</v>
      </c>
      <c r="C443" s="22" t="s">
        <v>1149</v>
      </c>
      <c r="D443" s="22" t="s">
        <v>1150</v>
      </c>
      <c r="E443" s="22" t="s">
        <v>49</v>
      </c>
      <c r="F443" s="42" t="s">
        <v>3481</v>
      </c>
      <c r="G443" s="115">
        <v>9.1981067955E11</v>
      </c>
      <c r="H443" s="22" t="s">
        <v>967</v>
      </c>
      <c r="I443" s="22" t="s">
        <v>968</v>
      </c>
      <c r="J443" s="22" t="s">
        <v>968</v>
      </c>
      <c r="K443" s="22" t="s">
        <v>55</v>
      </c>
      <c r="L443" s="22" t="s">
        <v>56</v>
      </c>
      <c r="M443" s="22" t="s">
        <v>57</v>
      </c>
      <c r="N443" s="22" t="s">
        <v>58</v>
      </c>
      <c r="O443" s="22">
        <v>500.0</v>
      </c>
      <c r="P443" s="22">
        <v>650.0</v>
      </c>
      <c r="Q443" s="22" t="s">
        <v>59</v>
      </c>
      <c r="R443" s="22" t="s">
        <v>58</v>
      </c>
      <c r="S443" s="22" t="s">
        <v>58</v>
      </c>
      <c r="T443" s="24" t="s">
        <v>1151</v>
      </c>
      <c r="U443" s="22"/>
      <c r="V443" s="22" t="s">
        <v>61</v>
      </c>
      <c r="W443" s="22" t="s">
        <v>58</v>
      </c>
      <c r="X443" s="22" t="s">
        <v>58</v>
      </c>
      <c r="Y443" s="22" t="s">
        <v>58</v>
      </c>
      <c r="Z443" s="22" t="s">
        <v>58</v>
      </c>
      <c r="AA443" s="22" t="s">
        <v>58</v>
      </c>
      <c r="AB443" s="22" t="s">
        <v>58</v>
      </c>
      <c r="AC443" s="22" t="s">
        <v>58</v>
      </c>
      <c r="AD443" s="22" t="s">
        <v>58</v>
      </c>
      <c r="AE443" s="22" t="s">
        <v>61</v>
      </c>
      <c r="AF443" s="22" t="s">
        <v>61</v>
      </c>
      <c r="AG443" s="22" t="s">
        <v>58</v>
      </c>
      <c r="AH443" s="22">
        <v>50.0</v>
      </c>
      <c r="AI443" s="22">
        <v>5000.0</v>
      </c>
      <c r="AJ443" s="22">
        <v>50.0</v>
      </c>
      <c r="AK443" s="22">
        <v>0.0</v>
      </c>
      <c r="AL443" s="22"/>
      <c r="AM443" s="22"/>
      <c r="AN443" s="22"/>
      <c r="AO443" s="22"/>
    </row>
    <row r="444" ht="15.75" customHeight="1">
      <c r="A444" s="22">
        <v>435.0</v>
      </c>
      <c r="B444" s="22" t="s">
        <v>3488</v>
      </c>
      <c r="C444" s="22" t="s">
        <v>3489</v>
      </c>
      <c r="D444" s="22" t="s">
        <v>3490</v>
      </c>
      <c r="E444" s="22" t="s">
        <v>49</v>
      </c>
      <c r="F444" s="42" t="s">
        <v>3491</v>
      </c>
      <c r="G444" s="116" t="s">
        <v>3492</v>
      </c>
      <c r="H444" s="22" t="s">
        <v>303</v>
      </c>
      <c r="I444" s="22" t="s">
        <v>303</v>
      </c>
      <c r="J444" s="22" t="s">
        <v>74</v>
      </c>
      <c r="K444" s="22" t="s">
        <v>55</v>
      </c>
      <c r="L444" s="22" t="s">
        <v>56</v>
      </c>
      <c r="M444" s="22" t="s">
        <v>57</v>
      </c>
      <c r="N444" s="22" t="s">
        <v>58</v>
      </c>
      <c r="O444" s="22">
        <v>900.0</v>
      </c>
      <c r="P444" s="22">
        <v>1100.0</v>
      </c>
      <c r="Q444" s="22" t="s">
        <v>59</v>
      </c>
      <c r="R444" s="22" t="s">
        <v>58</v>
      </c>
      <c r="S444" s="22" t="s">
        <v>58</v>
      </c>
      <c r="T444" s="22" t="s">
        <v>948</v>
      </c>
      <c r="U444" s="22"/>
      <c r="V444" s="22" t="s">
        <v>61</v>
      </c>
      <c r="W444" s="22" t="s">
        <v>58</v>
      </c>
      <c r="X444" s="22" t="s">
        <v>58</v>
      </c>
      <c r="Y444" s="22" t="s">
        <v>58</v>
      </c>
      <c r="Z444" s="22" t="s">
        <v>58</v>
      </c>
      <c r="AA444" s="22" t="s">
        <v>58</v>
      </c>
      <c r="AB444" s="22" t="s">
        <v>58</v>
      </c>
      <c r="AC444" s="22" t="s">
        <v>58</v>
      </c>
      <c r="AD444" s="22" t="s">
        <v>58</v>
      </c>
      <c r="AE444" s="22" t="s">
        <v>61</v>
      </c>
      <c r="AF444" s="22" t="s">
        <v>61</v>
      </c>
      <c r="AG444" s="22" t="s">
        <v>58</v>
      </c>
      <c r="AH444" s="22">
        <v>0.0</v>
      </c>
      <c r="AI444" s="22">
        <v>0.0</v>
      </c>
      <c r="AJ444" s="22">
        <v>0.0</v>
      </c>
      <c r="AK444" s="22">
        <v>0.0</v>
      </c>
      <c r="AL444" s="22"/>
      <c r="AM444" s="22"/>
      <c r="AN444" s="22"/>
      <c r="AO444" s="22"/>
    </row>
    <row r="445" ht="15.75" customHeight="1">
      <c r="A445" s="15">
        <v>436.0</v>
      </c>
      <c r="B445" s="15" t="s">
        <v>3494</v>
      </c>
      <c r="C445" s="15" t="s">
        <v>3495</v>
      </c>
      <c r="D445" s="15" t="s">
        <v>3496</v>
      </c>
      <c r="E445" s="15" t="s">
        <v>49</v>
      </c>
      <c r="F445" s="49" t="s">
        <v>3497</v>
      </c>
      <c r="G445" s="15" t="s">
        <v>3498</v>
      </c>
      <c r="H445" s="15" t="s">
        <v>513</v>
      </c>
      <c r="I445" s="15" t="s">
        <v>514</v>
      </c>
      <c r="J445" s="15" t="s">
        <v>74</v>
      </c>
      <c r="K445" s="15" t="s">
        <v>55</v>
      </c>
      <c r="L445" s="15" t="s">
        <v>56</v>
      </c>
      <c r="M445" s="15" t="s">
        <v>57</v>
      </c>
      <c r="N445" s="15" t="s">
        <v>58</v>
      </c>
      <c r="O445" s="15">
        <v>350.0</v>
      </c>
      <c r="P445" s="15">
        <v>450.0</v>
      </c>
      <c r="Q445" s="15" t="s">
        <v>59</v>
      </c>
      <c r="R445" s="15" t="s">
        <v>58</v>
      </c>
      <c r="S445" s="15" t="s">
        <v>58</v>
      </c>
      <c r="T445" s="16" t="s">
        <v>3499</v>
      </c>
      <c r="U445" s="15"/>
      <c r="V445" s="15" t="s">
        <v>61</v>
      </c>
      <c r="W445" s="15" t="s">
        <v>58</v>
      </c>
      <c r="X445" s="15" t="s">
        <v>58</v>
      </c>
      <c r="Y445" s="15" t="s">
        <v>58</v>
      </c>
      <c r="Z445" s="15" t="s">
        <v>58</v>
      </c>
      <c r="AA445" s="15" t="s">
        <v>58</v>
      </c>
      <c r="AB445" s="15" t="s">
        <v>58</v>
      </c>
      <c r="AC445" s="15" t="s">
        <v>58</v>
      </c>
      <c r="AD445" s="15" t="s">
        <v>58</v>
      </c>
      <c r="AE445" s="15" t="s">
        <v>61</v>
      </c>
      <c r="AF445" s="15" t="s">
        <v>61</v>
      </c>
      <c r="AG445" s="15" t="s">
        <v>58</v>
      </c>
      <c r="AH445" s="15">
        <v>50.0</v>
      </c>
      <c r="AI445" s="15">
        <v>5000.0</v>
      </c>
      <c r="AJ445" s="15">
        <v>50.0</v>
      </c>
      <c r="AK445" s="15">
        <v>0.0</v>
      </c>
      <c r="AL445" s="15"/>
      <c r="AM445" s="15"/>
      <c r="AN445" s="16"/>
      <c r="AO445" s="21">
        <v>2.0</v>
      </c>
    </row>
    <row r="446" ht="15.75" customHeight="1">
      <c r="A446" s="22">
        <v>437.0</v>
      </c>
      <c r="B446" s="22" t="s">
        <v>3506</v>
      </c>
      <c r="C446" s="22" t="s">
        <v>3507</v>
      </c>
      <c r="D446" s="22" t="s">
        <v>736</v>
      </c>
      <c r="E446" s="22" t="s">
        <v>49</v>
      </c>
      <c r="F446" s="42" t="s">
        <v>2142</v>
      </c>
      <c r="G446" s="117">
        <v>9.97100453E9</v>
      </c>
      <c r="H446" s="22" t="s">
        <v>123</v>
      </c>
      <c r="I446" s="22" t="s">
        <v>124</v>
      </c>
      <c r="J446" s="22" t="s">
        <v>74</v>
      </c>
      <c r="K446" s="22" t="s">
        <v>55</v>
      </c>
      <c r="L446" s="22" t="s">
        <v>56</v>
      </c>
      <c r="M446" s="22" t="s">
        <v>57</v>
      </c>
      <c r="N446" s="22" t="s">
        <v>58</v>
      </c>
      <c r="O446" s="22">
        <v>2850.0</v>
      </c>
      <c r="P446" s="22">
        <v>3250.0</v>
      </c>
      <c r="Q446" s="22" t="s">
        <v>59</v>
      </c>
      <c r="R446" s="22" t="s">
        <v>58</v>
      </c>
      <c r="S446" s="22" t="s">
        <v>58</v>
      </c>
      <c r="T446" s="24" t="s">
        <v>3508</v>
      </c>
      <c r="U446" s="22"/>
      <c r="V446" s="22" t="s">
        <v>61</v>
      </c>
      <c r="W446" s="22" t="s">
        <v>58</v>
      </c>
      <c r="X446" s="22" t="s">
        <v>58</v>
      </c>
      <c r="Y446" s="22" t="s">
        <v>58</v>
      </c>
      <c r="Z446" s="22" t="s">
        <v>58</v>
      </c>
      <c r="AA446" s="22" t="s">
        <v>58</v>
      </c>
      <c r="AB446" s="22" t="s">
        <v>58</v>
      </c>
      <c r="AC446" s="22" t="s">
        <v>58</v>
      </c>
      <c r="AD446" s="22" t="s">
        <v>58</v>
      </c>
      <c r="AE446" s="22" t="s">
        <v>61</v>
      </c>
      <c r="AF446" s="22" t="s">
        <v>61</v>
      </c>
      <c r="AG446" s="22" t="s">
        <v>58</v>
      </c>
      <c r="AH446" s="22">
        <v>100.0</v>
      </c>
      <c r="AI446" s="22">
        <v>2000.0</v>
      </c>
      <c r="AJ446" s="22">
        <v>100.0</v>
      </c>
      <c r="AK446" s="22">
        <v>0.0</v>
      </c>
      <c r="AL446" s="22"/>
      <c r="AM446" s="22"/>
      <c r="AN446" s="22"/>
      <c r="AO446" s="22"/>
    </row>
    <row r="447" ht="15.75" customHeight="1">
      <c r="A447" s="22">
        <v>438.0</v>
      </c>
      <c r="B447" s="22" t="s">
        <v>3510</v>
      </c>
      <c r="C447" s="22" t="s">
        <v>3511</v>
      </c>
      <c r="D447" s="66" t="s">
        <v>3512</v>
      </c>
      <c r="E447" s="22" t="s">
        <v>49</v>
      </c>
      <c r="F447" s="24" t="s">
        <v>69</v>
      </c>
      <c r="G447" s="24" t="s">
        <v>69</v>
      </c>
      <c r="H447" s="22" t="s">
        <v>586</v>
      </c>
      <c r="I447" s="22" t="s">
        <v>587</v>
      </c>
      <c r="J447" s="22" t="s">
        <v>74</v>
      </c>
      <c r="K447" s="22" t="s">
        <v>55</v>
      </c>
      <c r="L447" s="22" t="s">
        <v>56</v>
      </c>
      <c r="M447" s="22" t="s">
        <v>57</v>
      </c>
      <c r="N447" s="22" t="s">
        <v>58</v>
      </c>
      <c r="O447" s="22">
        <v>500.0</v>
      </c>
      <c r="P447" s="22">
        <v>800.0</v>
      </c>
      <c r="Q447" s="22" t="s">
        <v>59</v>
      </c>
      <c r="R447" s="22" t="s">
        <v>58</v>
      </c>
      <c r="S447" s="22" t="s">
        <v>58</v>
      </c>
      <c r="T447" s="22"/>
      <c r="U447" s="22"/>
      <c r="V447" s="22" t="s">
        <v>61</v>
      </c>
      <c r="W447" s="22" t="s">
        <v>58</v>
      </c>
      <c r="X447" s="22" t="s">
        <v>58</v>
      </c>
      <c r="Y447" s="22" t="s">
        <v>58</v>
      </c>
      <c r="Z447" s="22" t="s">
        <v>58</v>
      </c>
      <c r="AA447" s="22" t="s">
        <v>58</v>
      </c>
      <c r="AB447" s="22" t="s">
        <v>58</v>
      </c>
      <c r="AC447" s="22" t="s">
        <v>58</v>
      </c>
      <c r="AD447" s="22" t="s">
        <v>58</v>
      </c>
      <c r="AE447" s="22" t="s">
        <v>61</v>
      </c>
      <c r="AF447" s="22" t="s">
        <v>61</v>
      </c>
      <c r="AG447" s="22" t="s">
        <v>58</v>
      </c>
      <c r="AH447" s="22">
        <v>30.0</v>
      </c>
      <c r="AI447" s="22">
        <v>1000.0</v>
      </c>
      <c r="AJ447" s="22">
        <v>30.0</v>
      </c>
      <c r="AK447" s="22">
        <v>0.0</v>
      </c>
      <c r="AL447" s="22"/>
      <c r="AM447" s="22"/>
      <c r="AN447" s="22"/>
      <c r="AO447" s="22"/>
    </row>
    <row r="448" ht="15.75" customHeight="1">
      <c r="A448" s="22">
        <v>439.0</v>
      </c>
      <c r="B448" s="22" t="s">
        <v>714</v>
      </c>
      <c r="C448" s="22" t="s">
        <v>715</v>
      </c>
      <c r="D448" s="66" t="s">
        <v>3513</v>
      </c>
      <c r="E448" s="22" t="s">
        <v>49</v>
      </c>
      <c r="F448" s="42" t="s">
        <v>3514</v>
      </c>
      <c r="G448" s="24">
        <v>7.838375644E9</v>
      </c>
      <c r="H448" s="22" t="s">
        <v>245</v>
      </c>
      <c r="I448" s="22" t="s">
        <v>246</v>
      </c>
      <c r="J448" s="22" t="s">
        <v>246</v>
      </c>
      <c r="K448" s="22" t="s">
        <v>55</v>
      </c>
      <c r="L448" s="22" t="s">
        <v>56</v>
      </c>
      <c r="M448" s="22" t="s">
        <v>57</v>
      </c>
      <c r="N448" s="22" t="s">
        <v>58</v>
      </c>
      <c r="O448" s="22">
        <v>1500.0</v>
      </c>
      <c r="P448" s="22">
        <v>2000.0</v>
      </c>
      <c r="Q448" s="22" t="s">
        <v>59</v>
      </c>
      <c r="R448" s="22" t="s">
        <v>58</v>
      </c>
      <c r="S448" s="22" t="s">
        <v>58</v>
      </c>
      <c r="T448" s="22"/>
      <c r="U448" s="22"/>
      <c r="V448" s="22" t="s">
        <v>61</v>
      </c>
      <c r="W448" s="22" t="s">
        <v>58</v>
      </c>
      <c r="X448" s="22" t="s">
        <v>58</v>
      </c>
      <c r="Y448" s="22" t="s">
        <v>58</v>
      </c>
      <c r="Z448" s="22" t="s">
        <v>58</v>
      </c>
      <c r="AA448" s="22" t="s">
        <v>58</v>
      </c>
      <c r="AB448" s="22" t="s">
        <v>58</v>
      </c>
      <c r="AC448" s="22" t="s">
        <v>58</v>
      </c>
      <c r="AD448" s="22" t="s">
        <v>58</v>
      </c>
      <c r="AE448" s="22" t="s">
        <v>61</v>
      </c>
      <c r="AF448" s="22" t="s">
        <v>61</v>
      </c>
      <c r="AG448" s="22" t="s">
        <v>58</v>
      </c>
      <c r="AH448" s="22">
        <v>50.0</v>
      </c>
      <c r="AI448" s="22">
        <v>500.0</v>
      </c>
      <c r="AJ448" s="22">
        <v>50.0</v>
      </c>
      <c r="AK448" s="22">
        <v>0.0</v>
      </c>
      <c r="AL448" s="22"/>
      <c r="AM448" s="22"/>
      <c r="AN448" s="22"/>
      <c r="AO448" s="22"/>
    </row>
    <row r="449" ht="15.75" customHeight="1">
      <c r="A449" s="22">
        <v>440.0</v>
      </c>
      <c r="B449" s="22" t="s">
        <v>3352</v>
      </c>
      <c r="C449" s="22" t="s">
        <v>3353</v>
      </c>
      <c r="D449" s="66" t="s">
        <v>3518</v>
      </c>
      <c r="E449" s="22" t="s">
        <v>49</v>
      </c>
      <c r="F449" s="24" t="s">
        <v>69</v>
      </c>
      <c r="G449" s="24" t="s">
        <v>69</v>
      </c>
      <c r="H449" s="22" t="s">
        <v>72</v>
      </c>
      <c r="I449" s="22" t="s">
        <v>73</v>
      </c>
      <c r="J449" s="22" t="s">
        <v>74</v>
      </c>
      <c r="K449" s="22" t="s">
        <v>55</v>
      </c>
      <c r="L449" s="22" t="s">
        <v>56</v>
      </c>
      <c r="M449" s="22" t="s">
        <v>57</v>
      </c>
      <c r="N449" s="22" t="s">
        <v>58</v>
      </c>
      <c r="O449" s="22">
        <v>350.0</v>
      </c>
      <c r="P449" s="22">
        <v>500.0</v>
      </c>
      <c r="Q449" s="22" t="s">
        <v>59</v>
      </c>
      <c r="R449" s="22" t="s">
        <v>58</v>
      </c>
      <c r="S449" s="22" t="s">
        <v>58</v>
      </c>
      <c r="T449" s="22"/>
      <c r="U449" s="22"/>
      <c r="V449" s="22" t="s">
        <v>61</v>
      </c>
      <c r="W449" s="22" t="s">
        <v>58</v>
      </c>
      <c r="X449" s="22" t="s">
        <v>58</v>
      </c>
      <c r="Y449" s="22" t="s">
        <v>58</v>
      </c>
      <c r="Z449" s="22" t="s">
        <v>58</v>
      </c>
      <c r="AA449" s="22" t="s">
        <v>58</v>
      </c>
      <c r="AB449" s="22" t="s">
        <v>58</v>
      </c>
      <c r="AC449" s="22" t="s">
        <v>58</v>
      </c>
      <c r="AD449" s="22" t="s">
        <v>58</v>
      </c>
      <c r="AE449" s="22" t="s">
        <v>61</v>
      </c>
      <c r="AF449" s="22" t="s">
        <v>61</v>
      </c>
      <c r="AG449" s="22" t="s">
        <v>58</v>
      </c>
      <c r="AH449" s="22">
        <v>50.0</v>
      </c>
      <c r="AI449" s="22">
        <v>5000.0</v>
      </c>
      <c r="AJ449" s="22">
        <v>50.0</v>
      </c>
      <c r="AK449" s="22">
        <v>0.0</v>
      </c>
      <c r="AL449" s="22"/>
      <c r="AM449" s="22"/>
      <c r="AN449" s="22"/>
      <c r="AO449" s="22"/>
    </row>
    <row r="450" ht="15.75" customHeight="1">
      <c r="A450" s="22">
        <v>441.0</v>
      </c>
      <c r="B450" s="22" t="s">
        <v>1818</v>
      </c>
      <c r="C450" s="22" t="s">
        <v>1819</v>
      </c>
      <c r="D450" s="66" t="s">
        <v>1820</v>
      </c>
      <c r="E450" s="22" t="s">
        <v>49</v>
      </c>
      <c r="F450" s="42" t="s">
        <v>3519</v>
      </c>
      <c r="G450" s="82">
        <v>5.95042147E8</v>
      </c>
      <c r="H450" s="22" t="s">
        <v>1823</v>
      </c>
      <c r="I450" s="22" t="s">
        <v>1824</v>
      </c>
      <c r="J450" s="22" t="s">
        <v>1824</v>
      </c>
      <c r="K450" s="22" t="s">
        <v>55</v>
      </c>
      <c r="L450" s="22" t="s">
        <v>56</v>
      </c>
      <c r="M450" s="22" t="s">
        <v>57</v>
      </c>
      <c r="N450" s="22" t="s">
        <v>58</v>
      </c>
      <c r="O450" s="22">
        <v>1000.0</v>
      </c>
      <c r="P450" s="22">
        <v>1200.0</v>
      </c>
      <c r="Q450" s="22" t="s">
        <v>59</v>
      </c>
      <c r="R450" s="22" t="s">
        <v>58</v>
      </c>
      <c r="S450" s="22" t="s">
        <v>58</v>
      </c>
      <c r="T450" s="22"/>
      <c r="U450" s="22"/>
      <c r="V450" s="22" t="s">
        <v>61</v>
      </c>
      <c r="W450" s="22" t="s">
        <v>58</v>
      </c>
      <c r="X450" s="22" t="s">
        <v>58</v>
      </c>
      <c r="Y450" s="22" t="s">
        <v>58</v>
      </c>
      <c r="Z450" s="22" t="s">
        <v>58</v>
      </c>
      <c r="AA450" s="22" t="s">
        <v>58</v>
      </c>
      <c r="AB450" s="22" t="s">
        <v>58</v>
      </c>
      <c r="AC450" s="22" t="s">
        <v>58</v>
      </c>
      <c r="AD450" s="22" t="s">
        <v>58</v>
      </c>
      <c r="AE450" s="22" t="s">
        <v>61</v>
      </c>
      <c r="AF450" s="22" t="s">
        <v>61</v>
      </c>
      <c r="AG450" s="22" t="s">
        <v>58</v>
      </c>
      <c r="AH450" s="22">
        <v>20.0</v>
      </c>
      <c r="AI450" s="22">
        <v>500.0</v>
      </c>
      <c r="AJ450" s="22">
        <v>20.0</v>
      </c>
      <c r="AK450" s="22">
        <v>0.0</v>
      </c>
      <c r="AL450" s="22"/>
      <c r="AM450" s="22"/>
      <c r="AN450" s="22"/>
      <c r="AO450" s="22"/>
    </row>
    <row r="451" ht="15.75" customHeight="1">
      <c r="A451" s="15">
        <v>442.0</v>
      </c>
      <c r="B451" s="15" t="s">
        <v>693</v>
      </c>
      <c r="C451" s="15" t="s">
        <v>694</v>
      </c>
      <c r="D451" s="48" t="s">
        <v>695</v>
      </c>
      <c r="E451" s="15" t="s">
        <v>49</v>
      </c>
      <c r="F451" s="49" t="s">
        <v>3523</v>
      </c>
      <c r="G451" s="15" t="s">
        <v>3524</v>
      </c>
      <c r="H451" s="15" t="s">
        <v>147</v>
      </c>
      <c r="I451" s="15" t="s">
        <v>148</v>
      </c>
      <c r="J451" s="15" t="s">
        <v>148</v>
      </c>
      <c r="K451" s="15" t="s">
        <v>55</v>
      </c>
      <c r="L451" s="15" t="s">
        <v>56</v>
      </c>
      <c r="M451" s="15" t="s">
        <v>57</v>
      </c>
      <c r="N451" s="15" t="s">
        <v>58</v>
      </c>
      <c r="O451" s="15">
        <v>120.0</v>
      </c>
      <c r="P451" s="15">
        <v>250.0</v>
      </c>
      <c r="Q451" s="15" t="s">
        <v>59</v>
      </c>
      <c r="R451" s="15" t="s">
        <v>58</v>
      </c>
      <c r="S451" s="15" t="s">
        <v>58</v>
      </c>
      <c r="T451" s="15"/>
      <c r="U451" s="15"/>
      <c r="V451" s="15" t="s">
        <v>61</v>
      </c>
      <c r="W451" s="15" t="s">
        <v>58</v>
      </c>
      <c r="X451" s="15" t="s">
        <v>58</v>
      </c>
      <c r="Y451" s="15" t="s">
        <v>58</v>
      </c>
      <c r="Z451" s="15" t="s">
        <v>58</v>
      </c>
      <c r="AA451" s="15" t="s">
        <v>58</v>
      </c>
      <c r="AB451" s="15" t="s">
        <v>58</v>
      </c>
      <c r="AC451" s="15" t="s">
        <v>58</v>
      </c>
      <c r="AD451" s="15" t="s">
        <v>58</v>
      </c>
      <c r="AE451" s="15" t="s">
        <v>61</v>
      </c>
      <c r="AF451" s="15" t="s">
        <v>61</v>
      </c>
      <c r="AG451" s="15" t="s">
        <v>58</v>
      </c>
      <c r="AH451" s="15">
        <v>20.0</v>
      </c>
      <c r="AI451" s="15">
        <v>2000.0</v>
      </c>
      <c r="AJ451" s="15">
        <v>20.0</v>
      </c>
      <c r="AK451" s="15">
        <v>0.0</v>
      </c>
      <c r="AL451" s="15"/>
      <c r="AM451" s="15"/>
      <c r="AN451" s="16" t="s">
        <v>757</v>
      </c>
      <c r="AO451" s="21">
        <v>2.0</v>
      </c>
    </row>
    <row r="452" ht="15.75" customHeight="1">
      <c r="A452" s="22">
        <v>443.0</v>
      </c>
      <c r="B452" s="22" t="s">
        <v>986</v>
      </c>
      <c r="C452" s="22" t="s">
        <v>987</v>
      </c>
      <c r="D452" s="66" t="s">
        <v>988</v>
      </c>
      <c r="E452" s="22" t="s">
        <v>49</v>
      </c>
      <c r="F452" s="42" t="s">
        <v>3526</v>
      </c>
      <c r="G452" s="118">
        <f>+91-9810735112</f>
        <v>-9810735021</v>
      </c>
      <c r="H452" s="22" t="s">
        <v>989</v>
      </c>
      <c r="I452" s="22" t="s">
        <v>362</v>
      </c>
      <c r="J452" s="22" t="s">
        <v>362</v>
      </c>
      <c r="K452" s="22" t="s">
        <v>55</v>
      </c>
      <c r="L452" s="22" t="s">
        <v>56</v>
      </c>
      <c r="M452" s="22" t="s">
        <v>57</v>
      </c>
      <c r="N452" s="22" t="s">
        <v>58</v>
      </c>
      <c r="O452" s="22">
        <v>500.0</v>
      </c>
      <c r="P452" s="22">
        <v>750.0</v>
      </c>
      <c r="Q452" s="22" t="s">
        <v>59</v>
      </c>
      <c r="R452" s="22" t="s">
        <v>58</v>
      </c>
      <c r="S452" s="22" t="s">
        <v>58</v>
      </c>
      <c r="T452" s="22"/>
      <c r="U452" s="22"/>
      <c r="V452" s="22" t="s">
        <v>61</v>
      </c>
      <c r="W452" s="22" t="s">
        <v>58</v>
      </c>
      <c r="X452" s="22" t="s">
        <v>58</v>
      </c>
      <c r="Y452" s="22" t="s">
        <v>58</v>
      </c>
      <c r="Z452" s="22" t="s">
        <v>58</v>
      </c>
      <c r="AA452" s="22" t="s">
        <v>58</v>
      </c>
      <c r="AB452" s="22" t="s">
        <v>58</v>
      </c>
      <c r="AC452" s="22" t="s">
        <v>58</v>
      </c>
      <c r="AD452" s="22" t="s">
        <v>58</v>
      </c>
      <c r="AE452" s="22" t="s">
        <v>61</v>
      </c>
      <c r="AF452" s="22" t="s">
        <v>61</v>
      </c>
      <c r="AG452" s="22" t="s">
        <v>58</v>
      </c>
      <c r="AH452" s="22">
        <v>20.0</v>
      </c>
      <c r="AI452" s="22">
        <v>10000.0</v>
      </c>
      <c r="AJ452" s="22">
        <v>20.0</v>
      </c>
      <c r="AK452" s="22">
        <v>0.0</v>
      </c>
      <c r="AL452" s="22"/>
      <c r="AM452" s="22"/>
      <c r="AN452" s="22"/>
      <c r="AO452" s="22"/>
    </row>
    <row r="453" ht="15.75" customHeight="1">
      <c r="A453" s="22">
        <v>444.0</v>
      </c>
      <c r="B453" s="66" t="s">
        <v>988</v>
      </c>
      <c r="C453" s="22" t="s">
        <v>3528</v>
      </c>
      <c r="D453" s="66" t="s">
        <v>3529</v>
      </c>
      <c r="E453" s="22" t="s">
        <v>49</v>
      </c>
      <c r="F453" s="42" t="s">
        <v>3530</v>
      </c>
      <c r="G453" s="24" t="s">
        <v>69</v>
      </c>
      <c r="H453" s="22" t="s">
        <v>3532</v>
      </c>
      <c r="I453" s="22" t="s">
        <v>377</v>
      </c>
      <c r="J453" s="22" t="s">
        <v>74</v>
      </c>
      <c r="K453" s="22" t="s">
        <v>55</v>
      </c>
      <c r="L453" s="22" t="s">
        <v>56</v>
      </c>
      <c r="M453" s="22" t="s">
        <v>57</v>
      </c>
      <c r="N453" s="22" t="s">
        <v>58</v>
      </c>
      <c r="O453" s="22">
        <v>2500.0</v>
      </c>
      <c r="P453" s="22">
        <v>3000.0</v>
      </c>
      <c r="Q453" s="22" t="s">
        <v>59</v>
      </c>
      <c r="R453" s="22" t="s">
        <v>58</v>
      </c>
      <c r="S453" s="22" t="s">
        <v>58</v>
      </c>
      <c r="T453" s="22"/>
      <c r="U453" s="22"/>
      <c r="V453" s="22" t="s">
        <v>61</v>
      </c>
      <c r="W453" s="22" t="s">
        <v>58</v>
      </c>
      <c r="X453" s="22" t="s">
        <v>58</v>
      </c>
      <c r="Y453" s="22" t="s">
        <v>58</v>
      </c>
      <c r="Z453" s="22" t="s">
        <v>58</v>
      </c>
      <c r="AA453" s="22" t="s">
        <v>58</v>
      </c>
      <c r="AB453" s="22" t="s">
        <v>58</v>
      </c>
      <c r="AC453" s="22" t="s">
        <v>58</v>
      </c>
      <c r="AD453" s="22" t="s">
        <v>58</v>
      </c>
      <c r="AE453" s="22" t="s">
        <v>61</v>
      </c>
      <c r="AF453" s="22" t="s">
        <v>61</v>
      </c>
      <c r="AG453" s="22" t="s">
        <v>58</v>
      </c>
      <c r="AH453" s="22">
        <v>80.0</v>
      </c>
      <c r="AI453" s="22">
        <v>2000.0</v>
      </c>
      <c r="AJ453" s="22">
        <v>80.0</v>
      </c>
      <c r="AK453" s="22">
        <v>0.0</v>
      </c>
      <c r="AL453" s="22"/>
      <c r="AM453" s="22"/>
      <c r="AN453" s="22"/>
      <c r="AO453" s="22"/>
    </row>
    <row r="454" ht="15.75" customHeight="1">
      <c r="A454" s="22">
        <v>445.0</v>
      </c>
      <c r="B454" s="22" t="s">
        <v>3533</v>
      </c>
      <c r="C454" s="22" t="s">
        <v>3534</v>
      </c>
      <c r="D454" s="66" t="s">
        <v>3535</v>
      </c>
      <c r="E454" s="22" t="s">
        <v>49</v>
      </c>
      <c r="F454" s="42" t="s">
        <v>3537</v>
      </c>
      <c r="G454" s="81" t="s">
        <v>3539</v>
      </c>
      <c r="H454" s="22" t="s">
        <v>586</v>
      </c>
      <c r="I454" s="22" t="s">
        <v>587</v>
      </c>
      <c r="J454" s="22" t="s">
        <v>74</v>
      </c>
      <c r="K454" s="22" t="s">
        <v>55</v>
      </c>
      <c r="L454" s="22" t="s">
        <v>56</v>
      </c>
      <c r="M454" s="22" t="s">
        <v>57</v>
      </c>
      <c r="N454" s="22" t="s">
        <v>58</v>
      </c>
      <c r="O454" s="22">
        <v>850.0</v>
      </c>
      <c r="P454" s="22">
        <v>950.0</v>
      </c>
      <c r="Q454" s="22" t="s">
        <v>59</v>
      </c>
      <c r="R454" s="22" t="s">
        <v>58</v>
      </c>
      <c r="S454" s="22" t="s">
        <v>58</v>
      </c>
      <c r="T454" s="22"/>
      <c r="U454" s="22"/>
      <c r="V454" s="22" t="s">
        <v>61</v>
      </c>
      <c r="W454" s="22" t="s">
        <v>58</v>
      </c>
      <c r="X454" s="22" t="s">
        <v>58</v>
      </c>
      <c r="Y454" s="22" t="s">
        <v>58</v>
      </c>
      <c r="Z454" s="22" t="s">
        <v>58</v>
      </c>
      <c r="AA454" s="22" t="s">
        <v>58</v>
      </c>
      <c r="AB454" s="22" t="s">
        <v>58</v>
      </c>
      <c r="AC454" s="22" t="s">
        <v>58</v>
      </c>
      <c r="AD454" s="22" t="s">
        <v>58</v>
      </c>
      <c r="AE454" s="22" t="s">
        <v>61</v>
      </c>
      <c r="AF454" s="22" t="s">
        <v>61</v>
      </c>
      <c r="AG454" s="22" t="s">
        <v>58</v>
      </c>
      <c r="AH454" s="22">
        <v>250.0</v>
      </c>
      <c r="AI454" s="22">
        <v>2500.0</v>
      </c>
      <c r="AJ454" s="22">
        <v>250.0</v>
      </c>
      <c r="AK454" s="22">
        <v>0.0</v>
      </c>
      <c r="AL454" s="22"/>
      <c r="AM454" s="22"/>
      <c r="AN454" s="22"/>
      <c r="AO454" s="22"/>
    </row>
    <row r="455" ht="15.75" customHeight="1">
      <c r="A455" s="22">
        <v>446.0</v>
      </c>
      <c r="B455" s="22" t="s">
        <v>1454</v>
      </c>
      <c r="C455" s="22" t="s">
        <v>1455</v>
      </c>
      <c r="D455" s="66" t="s">
        <v>1456</v>
      </c>
      <c r="E455" s="22" t="s">
        <v>49</v>
      </c>
      <c r="F455" s="42" t="s">
        <v>1783</v>
      </c>
      <c r="G455" s="81" t="s">
        <v>3541</v>
      </c>
      <c r="H455" s="22" t="s">
        <v>1409</v>
      </c>
      <c r="I455" s="22" t="s">
        <v>1411</v>
      </c>
      <c r="J455" s="22" t="s">
        <v>1411</v>
      </c>
      <c r="K455" s="22" t="s">
        <v>55</v>
      </c>
      <c r="L455" s="22" t="s">
        <v>56</v>
      </c>
      <c r="M455" s="22" t="s">
        <v>57</v>
      </c>
      <c r="N455" s="22" t="s">
        <v>58</v>
      </c>
      <c r="O455" s="22">
        <v>700.0</v>
      </c>
      <c r="P455" s="22">
        <v>1200.0</v>
      </c>
      <c r="Q455" s="22" t="s">
        <v>59</v>
      </c>
      <c r="R455" s="22" t="s">
        <v>58</v>
      </c>
      <c r="S455" s="22" t="s">
        <v>58</v>
      </c>
      <c r="T455" s="22"/>
      <c r="U455" s="22"/>
      <c r="V455" s="22" t="s">
        <v>61</v>
      </c>
      <c r="W455" s="22" t="s">
        <v>58</v>
      </c>
      <c r="X455" s="22" t="s">
        <v>58</v>
      </c>
      <c r="Y455" s="22" t="s">
        <v>58</v>
      </c>
      <c r="Z455" s="22" t="s">
        <v>58</v>
      </c>
      <c r="AA455" s="22" t="s">
        <v>58</v>
      </c>
      <c r="AB455" s="22" t="s">
        <v>58</v>
      </c>
      <c r="AC455" s="22" t="s">
        <v>58</v>
      </c>
      <c r="AD455" s="22" t="s">
        <v>58</v>
      </c>
      <c r="AE455" s="22" t="s">
        <v>61</v>
      </c>
      <c r="AF455" s="22" t="s">
        <v>61</v>
      </c>
      <c r="AG455" s="22" t="s">
        <v>58</v>
      </c>
      <c r="AH455" s="22">
        <v>25.0</v>
      </c>
      <c r="AI455" s="22">
        <v>8000.0</v>
      </c>
      <c r="AJ455" s="22">
        <v>25.0</v>
      </c>
      <c r="AK455" s="22">
        <v>0.0</v>
      </c>
      <c r="AL455" s="22"/>
      <c r="AM455" s="22"/>
      <c r="AN455" s="22"/>
      <c r="AO455" s="22"/>
    </row>
    <row r="456" ht="15.75" customHeight="1">
      <c r="A456" s="22">
        <v>447.0</v>
      </c>
      <c r="B456" s="22" t="s">
        <v>3544</v>
      </c>
      <c r="C456" s="22" t="s">
        <v>3545</v>
      </c>
      <c r="D456" s="24" t="s">
        <v>69</v>
      </c>
      <c r="E456" s="22" t="s">
        <v>49</v>
      </c>
      <c r="F456" s="42" t="s">
        <v>3546</v>
      </c>
      <c r="G456" s="24" t="s">
        <v>69</v>
      </c>
      <c r="H456" s="22" t="s">
        <v>285</v>
      </c>
      <c r="I456" s="22" t="s">
        <v>286</v>
      </c>
      <c r="J456" s="22" t="s">
        <v>74</v>
      </c>
      <c r="K456" s="22" t="s">
        <v>55</v>
      </c>
      <c r="L456" s="22" t="s">
        <v>56</v>
      </c>
      <c r="M456" s="22" t="s">
        <v>57</v>
      </c>
      <c r="N456" s="22" t="s">
        <v>58</v>
      </c>
      <c r="O456" s="22">
        <v>600.0</v>
      </c>
      <c r="P456" s="22">
        <v>600.0</v>
      </c>
      <c r="Q456" s="22" t="s">
        <v>59</v>
      </c>
      <c r="R456" s="22" t="s">
        <v>58</v>
      </c>
      <c r="S456" s="22" t="s">
        <v>58</v>
      </c>
      <c r="T456" s="22"/>
      <c r="U456" s="22"/>
      <c r="V456" s="22" t="s">
        <v>61</v>
      </c>
      <c r="W456" s="22" t="s">
        <v>58</v>
      </c>
      <c r="X456" s="22" t="s">
        <v>58</v>
      </c>
      <c r="Y456" s="22" t="s">
        <v>58</v>
      </c>
      <c r="Z456" s="22" t="s">
        <v>58</v>
      </c>
      <c r="AA456" s="22" t="s">
        <v>58</v>
      </c>
      <c r="AB456" s="22" t="s">
        <v>58</v>
      </c>
      <c r="AC456" s="22" t="s">
        <v>58</v>
      </c>
      <c r="AD456" s="22" t="s">
        <v>58</v>
      </c>
      <c r="AE456" s="22" t="s">
        <v>61</v>
      </c>
      <c r="AF456" s="22" t="s">
        <v>61</v>
      </c>
      <c r="AG456" s="22" t="s">
        <v>58</v>
      </c>
      <c r="AH456" s="22">
        <v>50.0</v>
      </c>
      <c r="AI456" s="22">
        <v>2000.0</v>
      </c>
      <c r="AJ456" s="22">
        <v>50.0</v>
      </c>
      <c r="AK456" s="22">
        <v>0.0</v>
      </c>
      <c r="AL456" s="22"/>
      <c r="AM456" s="22"/>
      <c r="AN456" s="22"/>
      <c r="AO456" s="22"/>
    </row>
    <row r="457" ht="15.75" customHeight="1">
      <c r="A457" s="22">
        <v>448.0</v>
      </c>
      <c r="B457" s="22" t="s">
        <v>1118</v>
      </c>
      <c r="C457" s="22" t="s">
        <v>1119</v>
      </c>
      <c r="D457" s="22" t="s">
        <v>1120</v>
      </c>
      <c r="E457" s="22" t="s">
        <v>49</v>
      </c>
      <c r="F457" s="42" t="s">
        <v>3552</v>
      </c>
      <c r="G457" s="24">
        <v>9.899841401E9</v>
      </c>
      <c r="H457" s="22" t="s">
        <v>967</v>
      </c>
      <c r="I457" s="22" t="s">
        <v>968</v>
      </c>
      <c r="J457" s="22" t="s">
        <v>968</v>
      </c>
      <c r="K457" s="22" t="s">
        <v>55</v>
      </c>
      <c r="L457" s="22" t="s">
        <v>56</v>
      </c>
      <c r="M457" s="22" t="s">
        <v>57</v>
      </c>
      <c r="N457" s="22" t="s">
        <v>58</v>
      </c>
      <c r="O457" s="22">
        <v>1000.0</v>
      </c>
      <c r="P457" s="22">
        <v>1500.0</v>
      </c>
      <c r="Q457" s="22" t="s">
        <v>59</v>
      </c>
      <c r="R457" s="22" t="s">
        <v>58</v>
      </c>
      <c r="S457" s="22" t="s">
        <v>58</v>
      </c>
      <c r="T457" s="22" t="s">
        <v>275</v>
      </c>
      <c r="U457" s="22"/>
      <c r="V457" s="22" t="s">
        <v>61</v>
      </c>
      <c r="W457" s="22" t="s">
        <v>58</v>
      </c>
      <c r="X457" s="22" t="s">
        <v>58</v>
      </c>
      <c r="Y457" s="22" t="s">
        <v>58</v>
      </c>
      <c r="Z457" s="22" t="s">
        <v>58</v>
      </c>
      <c r="AA457" s="22" t="s">
        <v>58</v>
      </c>
      <c r="AB457" s="22" t="s">
        <v>58</v>
      </c>
      <c r="AC457" s="22" t="s">
        <v>58</v>
      </c>
      <c r="AD457" s="22" t="s">
        <v>58</v>
      </c>
      <c r="AE457" s="22" t="s">
        <v>61</v>
      </c>
      <c r="AF457" s="22" t="s">
        <v>61</v>
      </c>
      <c r="AG457" s="22" t="s">
        <v>58</v>
      </c>
      <c r="AH457" s="22">
        <v>30.0</v>
      </c>
      <c r="AI457" s="22">
        <v>700.0</v>
      </c>
      <c r="AJ457" s="22">
        <v>30.0</v>
      </c>
      <c r="AK457" s="22">
        <v>0.0</v>
      </c>
      <c r="AL457" s="22"/>
      <c r="AM457" s="22"/>
      <c r="AN457" s="22"/>
      <c r="AO457" s="22"/>
    </row>
    <row r="458" ht="15.75" customHeight="1">
      <c r="A458" s="22">
        <v>449.0</v>
      </c>
      <c r="B458" s="22" t="s">
        <v>3554</v>
      </c>
      <c r="C458" s="22" t="s">
        <v>3555</v>
      </c>
      <c r="D458" s="66" t="s">
        <v>3556</v>
      </c>
      <c r="E458" s="22" t="s">
        <v>49</v>
      </c>
      <c r="F458" s="42" t="s">
        <v>3557</v>
      </c>
      <c r="G458" s="24" t="s">
        <v>3559</v>
      </c>
      <c r="H458" s="22" t="s">
        <v>3560</v>
      </c>
      <c r="I458" s="22" t="s">
        <v>3561</v>
      </c>
      <c r="J458" s="22" t="s">
        <v>74</v>
      </c>
      <c r="K458" s="22" t="s">
        <v>55</v>
      </c>
      <c r="L458" s="22" t="s">
        <v>56</v>
      </c>
      <c r="M458" s="22" t="s">
        <v>57</v>
      </c>
      <c r="N458" s="22" t="s">
        <v>58</v>
      </c>
      <c r="O458" s="22">
        <v>600.0</v>
      </c>
      <c r="P458" s="22">
        <v>850.0</v>
      </c>
      <c r="Q458" s="22" t="s">
        <v>59</v>
      </c>
      <c r="R458" s="22" t="s">
        <v>58</v>
      </c>
      <c r="S458" s="22" t="s">
        <v>58</v>
      </c>
      <c r="T458" s="22"/>
      <c r="U458" s="22"/>
      <c r="V458" s="22" t="s">
        <v>61</v>
      </c>
      <c r="W458" s="22" t="s">
        <v>58</v>
      </c>
      <c r="X458" s="22" t="s">
        <v>58</v>
      </c>
      <c r="Y458" s="22" t="s">
        <v>58</v>
      </c>
      <c r="Z458" s="22" t="s">
        <v>58</v>
      </c>
      <c r="AA458" s="22" t="s">
        <v>58</v>
      </c>
      <c r="AB458" s="22" t="s">
        <v>58</v>
      </c>
      <c r="AC458" s="22" t="s">
        <v>58</v>
      </c>
      <c r="AD458" s="22" t="s">
        <v>58</v>
      </c>
      <c r="AE458" s="22" t="s">
        <v>61</v>
      </c>
      <c r="AF458" s="22" t="s">
        <v>61</v>
      </c>
      <c r="AG458" s="22" t="s">
        <v>58</v>
      </c>
      <c r="AH458" s="22">
        <v>100.0</v>
      </c>
      <c r="AI458" s="22">
        <v>3000.0</v>
      </c>
      <c r="AJ458" s="22">
        <v>100.0</v>
      </c>
      <c r="AK458" s="22">
        <v>0.0</v>
      </c>
      <c r="AL458" s="22"/>
      <c r="AM458" s="22"/>
      <c r="AN458" s="22"/>
      <c r="AO458" s="22"/>
    </row>
    <row r="459" ht="15.75" customHeight="1">
      <c r="A459" s="22">
        <v>450.0</v>
      </c>
      <c r="B459" s="22" t="s">
        <v>1085</v>
      </c>
      <c r="C459" s="22" t="s">
        <v>1086</v>
      </c>
      <c r="D459" s="66" t="s">
        <v>3563</v>
      </c>
      <c r="E459" s="22" t="s">
        <v>49</v>
      </c>
      <c r="F459" s="42" t="s">
        <v>3564</v>
      </c>
      <c r="G459" s="81" t="s">
        <v>3565</v>
      </c>
      <c r="H459" s="22" t="s">
        <v>989</v>
      </c>
      <c r="I459" s="22" t="s">
        <v>362</v>
      </c>
      <c r="J459" s="22" t="s">
        <v>362</v>
      </c>
      <c r="K459" s="22" t="s">
        <v>55</v>
      </c>
      <c r="L459" s="22" t="s">
        <v>56</v>
      </c>
      <c r="M459" s="22" t="s">
        <v>57</v>
      </c>
      <c r="N459" s="22" t="s">
        <v>58</v>
      </c>
      <c r="O459" s="22">
        <v>200.0</v>
      </c>
      <c r="P459" s="22">
        <v>420.0</v>
      </c>
      <c r="Q459" s="22" t="s">
        <v>59</v>
      </c>
      <c r="R459" s="22" t="s">
        <v>58</v>
      </c>
      <c r="S459" s="22" t="s">
        <v>58</v>
      </c>
      <c r="T459" s="22"/>
      <c r="U459" s="22"/>
      <c r="V459" s="22" t="s">
        <v>61</v>
      </c>
      <c r="W459" s="22" t="s">
        <v>58</v>
      </c>
      <c r="X459" s="22" t="s">
        <v>58</v>
      </c>
      <c r="Y459" s="22" t="s">
        <v>58</v>
      </c>
      <c r="Z459" s="22" t="s">
        <v>58</v>
      </c>
      <c r="AA459" s="22" t="s">
        <v>58</v>
      </c>
      <c r="AB459" s="22" t="s">
        <v>58</v>
      </c>
      <c r="AC459" s="22" t="s">
        <v>58</v>
      </c>
      <c r="AD459" s="22" t="s">
        <v>58</v>
      </c>
      <c r="AE459" s="22" t="s">
        <v>61</v>
      </c>
      <c r="AF459" s="22" t="s">
        <v>61</v>
      </c>
      <c r="AG459" s="22" t="s">
        <v>58</v>
      </c>
      <c r="AH459" s="22">
        <v>10.0</v>
      </c>
      <c r="AI459" s="22">
        <v>20000.0</v>
      </c>
      <c r="AJ459" s="22">
        <v>10.0</v>
      </c>
      <c r="AK459" s="22">
        <v>0.0</v>
      </c>
      <c r="AL459" s="22"/>
      <c r="AM459" s="22"/>
      <c r="AN459" s="22"/>
      <c r="AO459" s="22"/>
    </row>
    <row r="460" ht="15.75" customHeight="1">
      <c r="A460" s="22">
        <v>451.0</v>
      </c>
      <c r="B460" s="22" t="s">
        <v>3570</v>
      </c>
      <c r="C460" s="22" t="s">
        <v>3571</v>
      </c>
      <c r="D460" s="66" t="s">
        <v>3572</v>
      </c>
      <c r="E460" s="22" t="s">
        <v>49</v>
      </c>
      <c r="F460" s="42" t="s">
        <v>3573</v>
      </c>
      <c r="G460" s="81" t="s">
        <v>3575</v>
      </c>
      <c r="H460" s="22" t="s">
        <v>1475</v>
      </c>
      <c r="I460" s="22" t="s">
        <v>1476</v>
      </c>
      <c r="J460" s="22" t="s">
        <v>74</v>
      </c>
      <c r="K460" s="22" t="s">
        <v>55</v>
      </c>
      <c r="L460" s="22" t="s">
        <v>56</v>
      </c>
      <c r="M460" s="22" t="s">
        <v>57</v>
      </c>
      <c r="N460" s="22" t="s">
        <v>58</v>
      </c>
      <c r="O460" s="22">
        <v>600.0</v>
      </c>
      <c r="P460" s="22"/>
      <c r="Q460" s="22" t="s">
        <v>59</v>
      </c>
      <c r="R460" s="22" t="s">
        <v>58</v>
      </c>
      <c r="S460" s="22" t="s">
        <v>58</v>
      </c>
      <c r="T460" s="22"/>
      <c r="U460" s="22"/>
      <c r="V460" s="22" t="s">
        <v>61</v>
      </c>
      <c r="W460" s="22" t="s">
        <v>58</v>
      </c>
      <c r="X460" s="22" t="s">
        <v>58</v>
      </c>
      <c r="Y460" s="22" t="s">
        <v>58</v>
      </c>
      <c r="Z460" s="22" t="s">
        <v>58</v>
      </c>
      <c r="AA460" s="22" t="s">
        <v>58</v>
      </c>
      <c r="AB460" s="22" t="s">
        <v>58</v>
      </c>
      <c r="AC460" s="22" t="s">
        <v>58</v>
      </c>
      <c r="AD460" s="22" t="s">
        <v>58</v>
      </c>
      <c r="AE460" s="22" t="s">
        <v>61</v>
      </c>
      <c r="AF460" s="22" t="s">
        <v>61</v>
      </c>
      <c r="AG460" s="22" t="s">
        <v>58</v>
      </c>
      <c r="AH460" s="22">
        <v>100.0</v>
      </c>
      <c r="AI460" s="22">
        <v>10000.0</v>
      </c>
      <c r="AJ460" s="22">
        <v>100.0</v>
      </c>
      <c r="AK460" s="22">
        <v>0.0</v>
      </c>
      <c r="AL460" s="22"/>
      <c r="AM460" s="22"/>
      <c r="AN460" s="22"/>
      <c r="AO460" s="22"/>
    </row>
    <row r="461" ht="21.75" customHeight="1">
      <c r="A461" s="22">
        <v>452.0</v>
      </c>
      <c r="B461" s="22" t="s">
        <v>793</v>
      </c>
      <c r="C461" s="22" t="s">
        <v>795</v>
      </c>
      <c r="D461" s="66" t="s">
        <v>1125</v>
      </c>
      <c r="E461" s="22" t="s">
        <v>49</v>
      </c>
      <c r="F461" s="42" t="s">
        <v>3576</v>
      </c>
      <c r="G461" s="81" t="s">
        <v>3581</v>
      </c>
      <c r="H461" s="22" t="s">
        <v>799</v>
      </c>
      <c r="I461" s="22" t="s">
        <v>800</v>
      </c>
      <c r="J461" s="22" t="s">
        <v>800</v>
      </c>
      <c r="K461" s="22" t="s">
        <v>55</v>
      </c>
      <c r="L461" s="22" t="s">
        <v>56</v>
      </c>
      <c r="M461" s="22" t="s">
        <v>57</v>
      </c>
      <c r="N461" s="22" t="s">
        <v>58</v>
      </c>
      <c r="O461" s="22">
        <v>2500.0</v>
      </c>
      <c r="P461" s="22">
        <v>3500.0</v>
      </c>
      <c r="Q461" s="22" t="s">
        <v>59</v>
      </c>
      <c r="R461" s="22" t="s">
        <v>58</v>
      </c>
      <c r="S461" s="22" t="s">
        <v>58</v>
      </c>
      <c r="T461" s="22"/>
      <c r="U461" s="22"/>
      <c r="V461" s="22" t="s">
        <v>61</v>
      </c>
      <c r="W461" s="22" t="s">
        <v>58</v>
      </c>
      <c r="X461" s="22" t="s">
        <v>58</v>
      </c>
      <c r="Y461" s="22" t="s">
        <v>58</v>
      </c>
      <c r="Z461" s="22" t="s">
        <v>58</v>
      </c>
      <c r="AA461" s="22" t="s">
        <v>58</v>
      </c>
      <c r="AB461" s="22" t="s">
        <v>58</v>
      </c>
      <c r="AC461" s="22" t="s">
        <v>58</v>
      </c>
      <c r="AD461" s="22" t="s">
        <v>58</v>
      </c>
      <c r="AE461" s="22" t="s">
        <v>61</v>
      </c>
      <c r="AF461" s="22" t="s">
        <v>61</v>
      </c>
      <c r="AG461" s="22" t="s">
        <v>58</v>
      </c>
      <c r="AH461" s="22">
        <v>20.0</v>
      </c>
      <c r="AI461" s="22">
        <v>300.0</v>
      </c>
      <c r="AJ461" s="22">
        <v>20.0</v>
      </c>
      <c r="AK461" s="22">
        <v>0.0</v>
      </c>
      <c r="AL461" s="22"/>
      <c r="AM461" s="22"/>
      <c r="AN461" s="22"/>
      <c r="AO461" s="22"/>
    </row>
    <row r="462" ht="15.75" customHeight="1">
      <c r="A462" s="22">
        <v>453.0</v>
      </c>
      <c r="B462" s="22" t="s">
        <v>3584</v>
      </c>
      <c r="C462" s="22" t="s">
        <v>3585</v>
      </c>
      <c r="D462" s="66" t="s">
        <v>3586</v>
      </c>
      <c r="E462" s="22" t="s">
        <v>49</v>
      </c>
      <c r="F462" s="42" t="s">
        <v>3587</v>
      </c>
      <c r="G462" s="81" t="s">
        <v>3588</v>
      </c>
      <c r="H462" s="22" t="s">
        <v>586</v>
      </c>
      <c r="I462" s="22" t="s">
        <v>587</v>
      </c>
      <c r="J462" s="22" t="s">
        <v>74</v>
      </c>
      <c r="K462" s="22" t="s">
        <v>55</v>
      </c>
      <c r="L462" s="22" t="s">
        <v>56</v>
      </c>
      <c r="M462" s="22" t="s">
        <v>57</v>
      </c>
      <c r="N462" s="22" t="s">
        <v>58</v>
      </c>
      <c r="O462" s="22">
        <v>1700.0</v>
      </c>
      <c r="P462" s="22">
        <v>2000.0</v>
      </c>
      <c r="Q462" s="22" t="s">
        <v>59</v>
      </c>
      <c r="R462" s="22" t="s">
        <v>58</v>
      </c>
      <c r="S462" s="22" t="s">
        <v>58</v>
      </c>
      <c r="T462" s="22"/>
      <c r="U462" s="22"/>
      <c r="V462" s="22" t="s">
        <v>61</v>
      </c>
      <c r="W462" s="22" t="s">
        <v>58</v>
      </c>
      <c r="X462" s="22" t="s">
        <v>58</v>
      </c>
      <c r="Y462" s="22" t="s">
        <v>58</v>
      </c>
      <c r="Z462" s="22" t="s">
        <v>58</v>
      </c>
      <c r="AA462" s="22" t="s">
        <v>58</v>
      </c>
      <c r="AB462" s="22" t="s">
        <v>58</v>
      </c>
      <c r="AC462" s="22" t="s">
        <v>58</v>
      </c>
      <c r="AD462" s="22" t="s">
        <v>58</v>
      </c>
      <c r="AE462" s="22" t="s">
        <v>61</v>
      </c>
      <c r="AF462" s="22" t="s">
        <v>61</v>
      </c>
      <c r="AG462" s="22" t="s">
        <v>58</v>
      </c>
      <c r="AH462" s="22">
        <v>200.0</v>
      </c>
      <c r="AI462" s="22">
        <v>10000.0</v>
      </c>
      <c r="AJ462" s="22">
        <v>200.0</v>
      </c>
      <c r="AK462" s="22">
        <v>0.0</v>
      </c>
      <c r="AL462" s="22"/>
      <c r="AM462" s="22"/>
      <c r="AN462" s="22"/>
      <c r="AO462" s="22"/>
    </row>
    <row r="463" ht="15.75" customHeight="1">
      <c r="A463" s="22">
        <v>454.0</v>
      </c>
      <c r="B463" s="22" t="s">
        <v>3591</v>
      </c>
      <c r="C463" s="22" t="s">
        <v>3592</v>
      </c>
      <c r="D463" s="66" t="s">
        <v>3593</v>
      </c>
      <c r="E463" s="22" t="s">
        <v>49</v>
      </c>
      <c r="F463" s="42" t="s">
        <v>3594</v>
      </c>
      <c r="G463" s="24" t="s">
        <v>69</v>
      </c>
      <c r="H463" s="22" t="s">
        <v>285</v>
      </c>
      <c r="I463" s="22" t="s">
        <v>286</v>
      </c>
      <c r="J463" s="22" t="s">
        <v>74</v>
      </c>
      <c r="K463" s="22" t="s">
        <v>55</v>
      </c>
      <c r="L463" s="22" t="s">
        <v>56</v>
      </c>
      <c r="M463" s="22" t="s">
        <v>57</v>
      </c>
      <c r="N463" s="22" t="s">
        <v>58</v>
      </c>
      <c r="O463" s="22">
        <v>700.0</v>
      </c>
      <c r="P463" s="22">
        <v>800.0</v>
      </c>
      <c r="Q463" s="22" t="s">
        <v>59</v>
      </c>
      <c r="R463" s="22" t="s">
        <v>58</v>
      </c>
      <c r="S463" s="22" t="s">
        <v>58</v>
      </c>
      <c r="T463" s="22"/>
      <c r="U463" s="22"/>
      <c r="V463" s="22" t="s">
        <v>61</v>
      </c>
      <c r="W463" s="22" t="s">
        <v>58</v>
      </c>
      <c r="X463" s="22" t="s">
        <v>58</v>
      </c>
      <c r="Y463" s="22" t="s">
        <v>58</v>
      </c>
      <c r="Z463" s="22" t="s">
        <v>58</v>
      </c>
      <c r="AA463" s="22" t="s">
        <v>58</v>
      </c>
      <c r="AB463" s="22" t="s">
        <v>58</v>
      </c>
      <c r="AC463" s="22" t="s">
        <v>58</v>
      </c>
      <c r="AD463" s="22" t="s">
        <v>58</v>
      </c>
      <c r="AE463" s="22" t="s">
        <v>61</v>
      </c>
      <c r="AF463" s="22" t="s">
        <v>61</v>
      </c>
      <c r="AG463" s="22" t="s">
        <v>58</v>
      </c>
      <c r="AH463" s="22">
        <v>100.0</v>
      </c>
      <c r="AI463" s="22">
        <v>1500.0</v>
      </c>
      <c r="AJ463" s="22">
        <v>100.0</v>
      </c>
      <c r="AK463" s="22">
        <v>0.0</v>
      </c>
      <c r="AL463" s="22"/>
      <c r="AM463" s="22"/>
      <c r="AN463" s="22"/>
      <c r="AO463" s="22"/>
    </row>
    <row r="464" ht="15.75" customHeight="1">
      <c r="A464" s="22">
        <v>455.0</v>
      </c>
      <c r="B464" s="22" t="s">
        <v>3578</v>
      </c>
      <c r="C464" s="22" t="s">
        <v>3579</v>
      </c>
      <c r="D464" s="66" t="s">
        <v>3580</v>
      </c>
      <c r="E464" s="22" t="s">
        <v>49</v>
      </c>
      <c r="F464" s="42" t="s">
        <v>3597</v>
      </c>
      <c r="G464" s="81" t="s">
        <v>3583</v>
      </c>
      <c r="H464" s="22" t="s">
        <v>123</v>
      </c>
      <c r="I464" s="22" t="s">
        <v>124</v>
      </c>
      <c r="J464" s="22" t="s">
        <v>74</v>
      </c>
      <c r="K464" s="22" t="s">
        <v>55</v>
      </c>
      <c r="L464" s="22" t="s">
        <v>56</v>
      </c>
      <c r="M464" s="22" t="s">
        <v>57</v>
      </c>
      <c r="N464" s="22" t="s">
        <v>58</v>
      </c>
      <c r="O464" s="22">
        <v>1200.0</v>
      </c>
      <c r="P464" s="22">
        <v>1800.0</v>
      </c>
      <c r="Q464" s="22" t="s">
        <v>59</v>
      </c>
      <c r="R464" s="22" t="s">
        <v>58</v>
      </c>
      <c r="S464" s="22" t="s">
        <v>58</v>
      </c>
      <c r="T464" s="22"/>
      <c r="U464" s="22"/>
      <c r="V464" s="22" t="s">
        <v>61</v>
      </c>
      <c r="W464" s="22" t="s">
        <v>58</v>
      </c>
      <c r="X464" s="22" t="s">
        <v>58</v>
      </c>
      <c r="Y464" s="22" t="s">
        <v>58</v>
      </c>
      <c r="Z464" s="22" t="s">
        <v>58</v>
      </c>
      <c r="AA464" s="22" t="s">
        <v>58</v>
      </c>
      <c r="AB464" s="22" t="s">
        <v>58</v>
      </c>
      <c r="AC464" s="22" t="s">
        <v>58</v>
      </c>
      <c r="AD464" s="22" t="s">
        <v>58</v>
      </c>
      <c r="AE464" s="22" t="s">
        <v>61</v>
      </c>
      <c r="AF464" s="22" t="s">
        <v>61</v>
      </c>
      <c r="AG464" s="22" t="s">
        <v>58</v>
      </c>
      <c r="AH464" s="22">
        <v>50.0</v>
      </c>
      <c r="AI464" s="22">
        <v>1000.0</v>
      </c>
      <c r="AJ464" s="22">
        <v>50.0</v>
      </c>
      <c r="AK464" s="22">
        <v>0.0</v>
      </c>
      <c r="AL464" s="22"/>
      <c r="AM464" s="22"/>
      <c r="AN464" s="22"/>
      <c r="AO464" s="22"/>
    </row>
    <row r="465" ht="15.75" customHeight="1">
      <c r="A465" s="22">
        <v>456.0</v>
      </c>
      <c r="B465" s="22" t="s">
        <v>644</v>
      </c>
      <c r="C465" s="22" t="s">
        <v>645</v>
      </c>
      <c r="D465" s="66" t="s">
        <v>3603</v>
      </c>
      <c r="E465" s="22" t="s">
        <v>49</v>
      </c>
      <c r="F465" s="42" t="s">
        <v>3604</v>
      </c>
      <c r="G465" s="54" t="s">
        <v>69</v>
      </c>
      <c r="H465" s="22" t="s">
        <v>651</v>
      </c>
      <c r="I465" s="22" t="s">
        <v>652</v>
      </c>
      <c r="J465" s="22" t="s">
        <v>652</v>
      </c>
      <c r="K465" s="22" t="s">
        <v>55</v>
      </c>
      <c r="L465" s="22" t="s">
        <v>56</v>
      </c>
      <c r="M465" s="22" t="s">
        <v>57</v>
      </c>
      <c r="N465" s="22" t="s">
        <v>58</v>
      </c>
      <c r="O465" s="22">
        <v>1200.0</v>
      </c>
      <c r="P465" s="22">
        <v>1500.0</v>
      </c>
      <c r="Q465" s="22" t="s">
        <v>59</v>
      </c>
      <c r="R465" s="22" t="s">
        <v>58</v>
      </c>
      <c r="S465" s="22" t="s">
        <v>58</v>
      </c>
      <c r="T465" s="22"/>
      <c r="U465" s="22"/>
      <c r="V465" s="22" t="s">
        <v>61</v>
      </c>
      <c r="W465" s="22" t="s">
        <v>58</v>
      </c>
      <c r="X465" s="22" t="s">
        <v>58</v>
      </c>
      <c r="Y465" s="22" t="s">
        <v>58</v>
      </c>
      <c r="Z465" s="22" t="s">
        <v>58</v>
      </c>
      <c r="AA465" s="22" t="s">
        <v>58</v>
      </c>
      <c r="AB465" s="22" t="s">
        <v>58</v>
      </c>
      <c r="AC465" s="22" t="s">
        <v>58</v>
      </c>
      <c r="AD465" s="22" t="s">
        <v>58</v>
      </c>
      <c r="AE465" s="22" t="s">
        <v>61</v>
      </c>
      <c r="AF465" s="22" t="s">
        <v>61</v>
      </c>
      <c r="AG465" s="22" t="s">
        <v>58</v>
      </c>
      <c r="AH465" s="22">
        <v>100.0</v>
      </c>
      <c r="AI465" s="22">
        <v>5000.0</v>
      </c>
      <c r="AJ465" s="22">
        <v>100.0</v>
      </c>
      <c r="AK465" s="22">
        <v>0.0</v>
      </c>
      <c r="AL465" s="22"/>
      <c r="AM465" s="22"/>
      <c r="AN465" s="22"/>
      <c r="AO465" s="22"/>
    </row>
    <row r="466" ht="15.75" customHeight="1">
      <c r="A466" s="22">
        <v>457.0</v>
      </c>
      <c r="B466" s="22" t="s">
        <v>3606</v>
      </c>
      <c r="C466" s="22" t="s">
        <v>3607</v>
      </c>
      <c r="D466" s="66" t="s">
        <v>3608</v>
      </c>
      <c r="E466" s="22" t="s">
        <v>49</v>
      </c>
      <c r="F466" s="24" t="s">
        <v>69</v>
      </c>
      <c r="G466" s="24" t="s">
        <v>69</v>
      </c>
      <c r="H466" s="22" t="s">
        <v>2150</v>
      </c>
      <c r="I466" s="22" t="s">
        <v>2151</v>
      </c>
      <c r="J466" s="22" t="s">
        <v>74</v>
      </c>
      <c r="K466" s="22" t="s">
        <v>55</v>
      </c>
      <c r="L466" s="22" t="s">
        <v>56</v>
      </c>
      <c r="M466" s="22" t="s">
        <v>57</v>
      </c>
      <c r="N466" s="22" t="s">
        <v>58</v>
      </c>
      <c r="O466" s="22">
        <v>1200.0</v>
      </c>
      <c r="P466" s="22">
        <v>1400.0</v>
      </c>
      <c r="Q466" s="22" t="s">
        <v>59</v>
      </c>
      <c r="R466" s="22" t="s">
        <v>58</v>
      </c>
      <c r="S466" s="22" t="s">
        <v>58</v>
      </c>
      <c r="T466" s="22"/>
      <c r="U466" s="22"/>
      <c r="V466" s="22" t="s">
        <v>61</v>
      </c>
      <c r="W466" s="22" t="s">
        <v>58</v>
      </c>
      <c r="X466" s="22" t="s">
        <v>58</v>
      </c>
      <c r="Y466" s="22" t="s">
        <v>58</v>
      </c>
      <c r="Z466" s="22" t="s">
        <v>58</v>
      </c>
      <c r="AA466" s="22" t="s">
        <v>58</v>
      </c>
      <c r="AB466" s="22" t="s">
        <v>58</v>
      </c>
      <c r="AC466" s="22" t="s">
        <v>58</v>
      </c>
      <c r="AD466" s="22" t="s">
        <v>58</v>
      </c>
      <c r="AE466" s="22" t="s">
        <v>61</v>
      </c>
      <c r="AF466" s="22" t="s">
        <v>61</v>
      </c>
      <c r="AG466" s="22" t="s">
        <v>58</v>
      </c>
      <c r="AH466" s="22">
        <v>50.0</v>
      </c>
      <c r="AI466" s="22">
        <v>4000.0</v>
      </c>
      <c r="AJ466" s="22">
        <v>50.0</v>
      </c>
      <c r="AK466" s="22">
        <v>0.0</v>
      </c>
      <c r="AL466" s="22"/>
      <c r="AM466" s="22"/>
      <c r="AN466" s="22"/>
      <c r="AO466" s="22"/>
    </row>
    <row r="467" ht="15.75" customHeight="1">
      <c r="A467" s="22">
        <v>458.0</v>
      </c>
      <c r="B467" s="22" t="s">
        <v>3409</v>
      </c>
      <c r="C467" s="22" t="s">
        <v>3410</v>
      </c>
      <c r="D467" s="22" t="s">
        <v>3411</v>
      </c>
      <c r="E467" s="22" t="s">
        <v>49</v>
      </c>
      <c r="F467" s="42" t="s">
        <v>3611</v>
      </c>
      <c r="G467" s="24" t="s">
        <v>69</v>
      </c>
      <c r="H467" s="22" t="s">
        <v>303</v>
      </c>
      <c r="I467" s="22" t="s">
        <v>303</v>
      </c>
      <c r="J467" s="22" t="s">
        <v>74</v>
      </c>
      <c r="K467" s="22" t="s">
        <v>55</v>
      </c>
      <c r="L467" s="22" t="s">
        <v>56</v>
      </c>
      <c r="M467" s="22" t="s">
        <v>57</v>
      </c>
      <c r="N467" s="22" t="s">
        <v>58</v>
      </c>
      <c r="O467" s="22">
        <v>700.0</v>
      </c>
      <c r="P467" s="22">
        <v>850.0</v>
      </c>
      <c r="Q467" s="22" t="s">
        <v>59</v>
      </c>
      <c r="R467" s="22" t="s">
        <v>58</v>
      </c>
      <c r="S467" s="22" t="s">
        <v>58</v>
      </c>
      <c r="T467" s="22" t="s">
        <v>3413</v>
      </c>
      <c r="U467" s="22"/>
      <c r="V467" s="22" t="s">
        <v>61</v>
      </c>
      <c r="W467" s="22" t="s">
        <v>58</v>
      </c>
      <c r="X467" s="22" t="s">
        <v>58</v>
      </c>
      <c r="Y467" s="22" t="s">
        <v>58</v>
      </c>
      <c r="Z467" s="22" t="s">
        <v>58</v>
      </c>
      <c r="AA467" s="22" t="s">
        <v>58</v>
      </c>
      <c r="AB467" s="22" t="s">
        <v>58</v>
      </c>
      <c r="AC467" s="22" t="s">
        <v>58</v>
      </c>
      <c r="AD467" s="22" t="s">
        <v>58</v>
      </c>
      <c r="AE467" s="22" t="s">
        <v>61</v>
      </c>
      <c r="AF467" s="22" t="s">
        <v>61</v>
      </c>
      <c r="AG467" s="22" t="s">
        <v>58</v>
      </c>
      <c r="AH467" s="22">
        <v>200.0</v>
      </c>
      <c r="AI467" s="22">
        <v>0.0</v>
      </c>
      <c r="AJ467" s="22">
        <v>200.0</v>
      </c>
      <c r="AK467" s="22">
        <v>0.0</v>
      </c>
      <c r="AL467" s="22"/>
      <c r="AM467" s="22"/>
      <c r="AN467" s="22"/>
      <c r="AO467" s="22"/>
    </row>
    <row r="468" ht="15.75" customHeight="1">
      <c r="A468" s="22">
        <v>459.0</v>
      </c>
      <c r="B468" s="22" t="s">
        <v>716</v>
      </c>
      <c r="C468" s="22" t="s">
        <v>717</v>
      </c>
      <c r="D468" s="66" t="s">
        <v>3614</v>
      </c>
      <c r="E468" s="22" t="s">
        <v>49</v>
      </c>
      <c r="F468" s="24" t="s">
        <v>69</v>
      </c>
      <c r="G468" s="24" t="s">
        <v>69</v>
      </c>
      <c r="H468" s="22" t="s">
        <v>723</v>
      </c>
      <c r="I468" s="22" t="s">
        <v>587</v>
      </c>
      <c r="J468" s="22" t="s">
        <v>74</v>
      </c>
      <c r="K468" s="22" t="s">
        <v>55</v>
      </c>
      <c r="L468" s="22" t="s">
        <v>56</v>
      </c>
      <c r="M468" s="22" t="s">
        <v>57</v>
      </c>
      <c r="N468" s="22" t="s">
        <v>58</v>
      </c>
      <c r="O468" s="22">
        <v>1199.0</v>
      </c>
      <c r="P468" s="22">
        <v>1799.0</v>
      </c>
      <c r="Q468" s="22" t="s">
        <v>59</v>
      </c>
      <c r="R468" s="22" t="s">
        <v>58</v>
      </c>
      <c r="S468" s="22" t="s">
        <v>58</v>
      </c>
      <c r="T468" s="22"/>
      <c r="U468" s="22"/>
      <c r="V468" s="22" t="s">
        <v>61</v>
      </c>
      <c r="W468" s="22" t="s">
        <v>58</v>
      </c>
      <c r="X468" s="22" t="s">
        <v>58</v>
      </c>
      <c r="Y468" s="22" t="s">
        <v>58</v>
      </c>
      <c r="Z468" s="22" t="s">
        <v>58</v>
      </c>
      <c r="AA468" s="22" t="s">
        <v>58</v>
      </c>
      <c r="AB468" s="22" t="s">
        <v>58</v>
      </c>
      <c r="AC468" s="22" t="s">
        <v>58</v>
      </c>
      <c r="AD468" s="22" t="s">
        <v>58</v>
      </c>
      <c r="AE468" s="22" t="s">
        <v>61</v>
      </c>
      <c r="AF468" s="22" t="s">
        <v>61</v>
      </c>
      <c r="AG468" s="22" t="s">
        <v>58</v>
      </c>
      <c r="AH468" s="22">
        <v>10.0</v>
      </c>
      <c r="AI468" s="22">
        <v>500.0</v>
      </c>
      <c r="AJ468" s="22">
        <v>10.0</v>
      </c>
      <c r="AK468" s="22">
        <v>0.0</v>
      </c>
      <c r="AL468" s="22"/>
      <c r="AM468" s="22"/>
      <c r="AN468" s="22"/>
      <c r="AO468" s="22"/>
    </row>
    <row r="469" ht="15.75" customHeight="1">
      <c r="A469" s="22">
        <v>460.0</v>
      </c>
      <c r="B469" s="22" t="s">
        <v>3615</v>
      </c>
      <c r="C469" s="22" t="s">
        <v>3616</v>
      </c>
      <c r="D469" s="22" t="s">
        <v>3618</v>
      </c>
      <c r="E469" s="22" t="s">
        <v>49</v>
      </c>
      <c r="F469" s="24" t="s">
        <v>69</v>
      </c>
      <c r="G469" s="24" t="s">
        <v>69</v>
      </c>
      <c r="H469" s="22" t="s">
        <v>303</v>
      </c>
      <c r="I469" s="22" t="s">
        <v>303</v>
      </c>
      <c r="J469" s="22" t="s">
        <v>74</v>
      </c>
      <c r="K469" s="22" t="s">
        <v>55</v>
      </c>
      <c r="L469" s="22" t="s">
        <v>56</v>
      </c>
      <c r="M469" s="22" t="s">
        <v>57</v>
      </c>
      <c r="N469" s="22" t="s">
        <v>58</v>
      </c>
      <c r="O469" s="22">
        <v>1000.0</v>
      </c>
      <c r="P469" s="22">
        <v>1200.0</v>
      </c>
      <c r="Q469" s="22" t="s">
        <v>59</v>
      </c>
      <c r="R469" s="22" t="s">
        <v>58</v>
      </c>
      <c r="S469" s="22" t="s">
        <v>58</v>
      </c>
      <c r="T469" s="22" t="s">
        <v>948</v>
      </c>
      <c r="U469" s="22"/>
      <c r="V469" s="22" t="s">
        <v>61</v>
      </c>
      <c r="W469" s="22" t="s">
        <v>58</v>
      </c>
      <c r="X469" s="22" t="s">
        <v>58</v>
      </c>
      <c r="Y469" s="22" t="s">
        <v>58</v>
      </c>
      <c r="Z469" s="22" t="s">
        <v>58</v>
      </c>
      <c r="AA469" s="22" t="s">
        <v>58</v>
      </c>
      <c r="AB469" s="22" t="s">
        <v>58</v>
      </c>
      <c r="AC469" s="22" t="s">
        <v>58</v>
      </c>
      <c r="AD469" s="22" t="s">
        <v>58</v>
      </c>
      <c r="AE469" s="22" t="s">
        <v>61</v>
      </c>
      <c r="AF469" s="22" t="s">
        <v>61</v>
      </c>
      <c r="AG469" s="22" t="s">
        <v>58</v>
      </c>
      <c r="AH469" s="22">
        <v>0.0</v>
      </c>
      <c r="AI469" s="22">
        <v>0.0</v>
      </c>
      <c r="AJ469" s="22">
        <v>0.0</v>
      </c>
      <c r="AK469" s="22">
        <v>0.0</v>
      </c>
      <c r="AL469" s="22"/>
      <c r="AM469" s="22"/>
      <c r="AN469" s="22"/>
      <c r="AO469" s="22"/>
    </row>
    <row r="470" ht="15.75" customHeight="1">
      <c r="A470" s="22">
        <v>461.0</v>
      </c>
      <c r="B470" s="22" t="s">
        <v>3619</v>
      </c>
      <c r="C470" s="22" t="s">
        <v>3620</v>
      </c>
      <c r="D470" s="66" t="s">
        <v>3621</v>
      </c>
      <c r="E470" s="22" t="s">
        <v>49</v>
      </c>
      <c r="F470" s="42" t="s">
        <v>3622</v>
      </c>
      <c r="G470" s="71" t="s">
        <v>3623</v>
      </c>
      <c r="H470" s="22" t="s">
        <v>570</v>
      </c>
      <c r="I470" s="22" t="s">
        <v>571</v>
      </c>
      <c r="J470" s="22" t="s">
        <v>571</v>
      </c>
      <c r="K470" s="22" t="s">
        <v>55</v>
      </c>
      <c r="L470" s="22" t="s">
        <v>56</v>
      </c>
      <c r="M470" s="22" t="s">
        <v>57</v>
      </c>
      <c r="N470" s="22" t="s">
        <v>58</v>
      </c>
      <c r="O470" s="22">
        <v>250.0</v>
      </c>
      <c r="P470" s="22">
        <v>500.0</v>
      </c>
      <c r="Q470" s="22" t="s">
        <v>59</v>
      </c>
      <c r="R470" s="22" t="s">
        <v>58</v>
      </c>
      <c r="S470" s="22" t="s">
        <v>58</v>
      </c>
      <c r="T470" s="22"/>
      <c r="U470" s="22"/>
      <c r="V470" s="22" t="s">
        <v>61</v>
      </c>
      <c r="W470" s="22" t="s">
        <v>58</v>
      </c>
      <c r="X470" s="22" t="s">
        <v>58</v>
      </c>
      <c r="Y470" s="22" t="s">
        <v>58</v>
      </c>
      <c r="Z470" s="22" t="s">
        <v>58</v>
      </c>
      <c r="AA470" s="22" t="s">
        <v>58</v>
      </c>
      <c r="AB470" s="22" t="s">
        <v>58</v>
      </c>
      <c r="AC470" s="22" t="s">
        <v>58</v>
      </c>
      <c r="AD470" s="22" t="s">
        <v>58</v>
      </c>
      <c r="AE470" s="22" t="s">
        <v>61</v>
      </c>
      <c r="AF470" s="22" t="s">
        <v>61</v>
      </c>
      <c r="AG470" s="22" t="s">
        <v>58</v>
      </c>
      <c r="AH470" s="22">
        <v>50.0</v>
      </c>
      <c r="AI470" s="22">
        <v>1000.0</v>
      </c>
      <c r="AJ470" s="22">
        <v>50.0</v>
      </c>
      <c r="AK470" s="22">
        <v>0.0</v>
      </c>
      <c r="AL470" s="22"/>
      <c r="AM470" s="22"/>
      <c r="AN470" s="22"/>
      <c r="AO470" s="22"/>
    </row>
    <row r="471" ht="15.75" customHeight="1">
      <c r="A471" s="22">
        <v>462.0</v>
      </c>
      <c r="B471" s="22" t="s">
        <v>1128</v>
      </c>
      <c r="C471" s="22" t="s">
        <v>1129</v>
      </c>
      <c r="D471" s="22" t="s">
        <v>1130</v>
      </c>
      <c r="E471" s="22" t="s">
        <v>49</v>
      </c>
      <c r="F471" s="42" t="s">
        <v>3624</v>
      </c>
      <c r="G471" s="71" t="s">
        <v>3629</v>
      </c>
      <c r="H471" s="22" t="s">
        <v>784</v>
      </c>
      <c r="I471" s="22" t="s">
        <v>785</v>
      </c>
      <c r="J471" s="22" t="s">
        <v>785</v>
      </c>
      <c r="K471" s="22" t="s">
        <v>55</v>
      </c>
      <c r="L471" s="22" t="s">
        <v>56</v>
      </c>
      <c r="M471" s="22" t="s">
        <v>57</v>
      </c>
      <c r="N471" s="22" t="s">
        <v>58</v>
      </c>
      <c r="O471" s="22">
        <v>900.0</v>
      </c>
      <c r="P471" s="22">
        <v>1100.0</v>
      </c>
      <c r="Q471" s="22" t="s">
        <v>59</v>
      </c>
      <c r="R471" s="22" t="s">
        <v>58</v>
      </c>
      <c r="S471" s="22" t="s">
        <v>58</v>
      </c>
      <c r="T471" s="22" t="s">
        <v>275</v>
      </c>
      <c r="U471" s="22"/>
      <c r="V471" s="22" t="s">
        <v>61</v>
      </c>
      <c r="W471" s="22" t="s">
        <v>58</v>
      </c>
      <c r="X471" s="22" t="s">
        <v>58</v>
      </c>
      <c r="Y471" s="22" t="s">
        <v>58</v>
      </c>
      <c r="Z471" s="22" t="s">
        <v>58</v>
      </c>
      <c r="AA471" s="22" t="s">
        <v>58</v>
      </c>
      <c r="AB471" s="22" t="s">
        <v>58</v>
      </c>
      <c r="AC471" s="22" t="s">
        <v>58</v>
      </c>
      <c r="AD471" s="22" t="s">
        <v>58</v>
      </c>
      <c r="AE471" s="22" t="s">
        <v>61</v>
      </c>
      <c r="AF471" s="22" t="s">
        <v>61</v>
      </c>
      <c r="AG471" s="22" t="s">
        <v>58</v>
      </c>
      <c r="AH471" s="22">
        <v>20.0</v>
      </c>
      <c r="AI471" s="22">
        <v>3000.0</v>
      </c>
      <c r="AJ471" s="22">
        <v>20.0</v>
      </c>
      <c r="AK471" s="22">
        <v>0.0</v>
      </c>
      <c r="AL471" s="22"/>
      <c r="AM471" s="22"/>
      <c r="AN471" s="22"/>
      <c r="AO471" s="22"/>
    </row>
    <row r="472" ht="15.75" customHeight="1">
      <c r="A472" s="22">
        <v>463.0</v>
      </c>
      <c r="B472" s="22" t="s">
        <v>3632</v>
      </c>
      <c r="C472" s="22" t="s">
        <v>3633</v>
      </c>
      <c r="D472" s="64" t="s">
        <v>2576</v>
      </c>
      <c r="E472" s="22" t="s">
        <v>49</v>
      </c>
      <c r="F472" s="42" t="s">
        <v>3634</v>
      </c>
      <c r="G472" s="82">
        <v>9.893355062E9</v>
      </c>
      <c r="H472" s="22" t="s">
        <v>123</v>
      </c>
      <c r="I472" s="22" t="s">
        <v>124</v>
      </c>
      <c r="J472" s="22" t="s">
        <v>74</v>
      </c>
      <c r="K472" s="22" t="s">
        <v>55</v>
      </c>
      <c r="L472" s="22" t="s">
        <v>56</v>
      </c>
      <c r="M472" s="22" t="s">
        <v>57</v>
      </c>
      <c r="N472" s="22" t="s">
        <v>58</v>
      </c>
      <c r="O472" s="22">
        <v>1250.0</v>
      </c>
      <c r="P472" s="22">
        <v>1500.0</v>
      </c>
      <c r="Q472" s="22" t="s">
        <v>59</v>
      </c>
      <c r="R472" s="22" t="s">
        <v>58</v>
      </c>
      <c r="S472" s="22" t="s">
        <v>58</v>
      </c>
      <c r="T472" s="22"/>
      <c r="U472" s="22"/>
      <c r="V472" s="22" t="s">
        <v>61</v>
      </c>
      <c r="W472" s="22" t="s">
        <v>58</v>
      </c>
      <c r="X472" s="22" t="s">
        <v>58</v>
      </c>
      <c r="Y472" s="22" t="s">
        <v>58</v>
      </c>
      <c r="Z472" s="22" t="s">
        <v>58</v>
      </c>
      <c r="AA472" s="22" t="s">
        <v>58</v>
      </c>
      <c r="AB472" s="22" t="s">
        <v>58</v>
      </c>
      <c r="AC472" s="22" t="s">
        <v>58</v>
      </c>
      <c r="AD472" s="22" t="s">
        <v>58</v>
      </c>
      <c r="AE472" s="22" t="s">
        <v>61</v>
      </c>
      <c r="AF472" s="22" t="s">
        <v>61</v>
      </c>
      <c r="AG472" s="22" t="s">
        <v>58</v>
      </c>
      <c r="AH472" s="22">
        <v>555.0</v>
      </c>
      <c r="AI472" s="22">
        <v>1500.0</v>
      </c>
      <c r="AJ472" s="22">
        <v>555.0</v>
      </c>
      <c r="AK472" s="22">
        <v>0.0</v>
      </c>
      <c r="AL472" s="22"/>
      <c r="AM472" s="22"/>
      <c r="AN472" s="22"/>
      <c r="AO472" s="22"/>
    </row>
    <row r="473" ht="15.75" customHeight="1">
      <c r="A473" s="22">
        <v>464.0</v>
      </c>
      <c r="B473" s="22" t="s">
        <v>3598</v>
      </c>
      <c r="C473" s="22" t="s">
        <v>3599</v>
      </c>
      <c r="D473" s="22" t="s">
        <v>3598</v>
      </c>
      <c r="E473" s="22" t="s">
        <v>49</v>
      </c>
      <c r="F473" s="24" t="s">
        <v>69</v>
      </c>
      <c r="G473" s="24" t="s">
        <v>69</v>
      </c>
      <c r="H473" s="22" t="s">
        <v>1440</v>
      </c>
      <c r="I473" s="22" t="s">
        <v>1441</v>
      </c>
      <c r="J473" s="22" t="s">
        <v>74</v>
      </c>
      <c r="K473" s="22" t="s">
        <v>55</v>
      </c>
      <c r="L473" s="22" t="s">
        <v>56</v>
      </c>
      <c r="M473" s="22" t="s">
        <v>57</v>
      </c>
      <c r="N473" s="22" t="s">
        <v>58</v>
      </c>
      <c r="O473" s="22">
        <v>1779.0</v>
      </c>
      <c r="P473" s="22">
        <v>1779.0</v>
      </c>
      <c r="Q473" s="22" t="s">
        <v>59</v>
      </c>
      <c r="R473" s="22" t="s">
        <v>58</v>
      </c>
      <c r="S473" s="22" t="s">
        <v>58</v>
      </c>
      <c r="T473" s="22"/>
      <c r="U473" s="22"/>
      <c r="V473" s="22" t="s">
        <v>61</v>
      </c>
      <c r="W473" s="22" t="s">
        <v>58</v>
      </c>
      <c r="X473" s="22" t="s">
        <v>58</v>
      </c>
      <c r="Y473" s="22" t="s">
        <v>58</v>
      </c>
      <c r="Z473" s="22" t="s">
        <v>58</v>
      </c>
      <c r="AA473" s="22" t="s">
        <v>58</v>
      </c>
      <c r="AB473" s="22" t="s">
        <v>58</v>
      </c>
      <c r="AC473" s="22" t="s">
        <v>58</v>
      </c>
      <c r="AD473" s="22" t="s">
        <v>58</v>
      </c>
      <c r="AE473" s="22" t="s">
        <v>61</v>
      </c>
      <c r="AF473" s="22" t="s">
        <v>61</v>
      </c>
      <c r="AG473" s="22" t="s">
        <v>58</v>
      </c>
      <c r="AH473" s="22">
        <v>100.0</v>
      </c>
      <c r="AI473" s="22">
        <v>1500.0</v>
      </c>
      <c r="AJ473" s="22">
        <v>100.0</v>
      </c>
      <c r="AK473" s="22">
        <v>0.0</v>
      </c>
      <c r="AL473" s="22"/>
      <c r="AM473" s="22"/>
      <c r="AN473" s="22"/>
      <c r="AO473" s="22"/>
    </row>
    <row r="474" ht="42.0" customHeight="1">
      <c r="A474" s="22">
        <v>465.0</v>
      </c>
      <c r="B474" s="22" t="s">
        <v>596</v>
      </c>
      <c r="C474" s="22" t="s">
        <v>598</v>
      </c>
      <c r="D474" s="22" t="s">
        <v>600</v>
      </c>
      <c r="E474" s="22" t="s">
        <v>49</v>
      </c>
      <c r="F474" s="42" t="s">
        <v>3640</v>
      </c>
      <c r="G474" s="82">
        <v>7.011269537E9</v>
      </c>
      <c r="H474" s="22" t="s">
        <v>602</v>
      </c>
      <c r="I474" s="22" t="s">
        <v>274</v>
      </c>
      <c r="J474" s="22" t="s">
        <v>274</v>
      </c>
      <c r="K474" s="22" t="s">
        <v>55</v>
      </c>
      <c r="L474" s="22" t="s">
        <v>56</v>
      </c>
      <c r="M474" s="22" t="s">
        <v>57</v>
      </c>
      <c r="N474" s="22" t="s">
        <v>58</v>
      </c>
      <c r="O474" s="22">
        <v>500.0</v>
      </c>
      <c r="P474" s="22">
        <v>800.0</v>
      </c>
      <c r="Q474" s="22" t="s">
        <v>59</v>
      </c>
      <c r="R474" s="22" t="s">
        <v>58</v>
      </c>
      <c r="S474" s="22" t="s">
        <v>58</v>
      </c>
      <c r="T474" s="24" t="s">
        <v>3641</v>
      </c>
      <c r="U474" s="22"/>
      <c r="V474" s="22" t="s">
        <v>61</v>
      </c>
      <c r="W474" s="22" t="s">
        <v>58</v>
      </c>
      <c r="X474" s="22" t="s">
        <v>58</v>
      </c>
      <c r="Y474" s="22" t="s">
        <v>58</v>
      </c>
      <c r="Z474" s="22" t="s">
        <v>58</v>
      </c>
      <c r="AA474" s="22" t="s">
        <v>58</v>
      </c>
      <c r="AB474" s="22" t="s">
        <v>58</v>
      </c>
      <c r="AC474" s="22" t="s">
        <v>58</v>
      </c>
      <c r="AD474" s="22" t="s">
        <v>58</v>
      </c>
      <c r="AE474" s="22" t="s">
        <v>61</v>
      </c>
      <c r="AF474" s="22" t="s">
        <v>61</v>
      </c>
      <c r="AG474" s="22" t="s">
        <v>58</v>
      </c>
      <c r="AH474" s="22">
        <v>100.0</v>
      </c>
      <c r="AI474" s="22">
        <v>1000.0</v>
      </c>
      <c r="AJ474" s="22">
        <v>100.0</v>
      </c>
      <c r="AK474" s="22">
        <v>0.0</v>
      </c>
      <c r="AL474" s="22"/>
      <c r="AM474" s="22"/>
      <c r="AN474" s="22"/>
      <c r="AO474" s="22"/>
    </row>
    <row r="475" ht="15.75" customHeight="1">
      <c r="A475" s="22">
        <v>466.0</v>
      </c>
      <c r="B475" s="22" t="s">
        <v>706</v>
      </c>
      <c r="C475" s="22" t="s">
        <v>708</v>
      </c>
      <c r="D475" s="24" t="s">
        <v>69</v>
      </c>
      <c r="E475" s="22" t="s">
        <v>49</v>
      </c>
      <c r="F475" s="42" t="s">
        <v>3644</v>
      </c>
      <c r="G475" s="82">
        <v>9.871564963E9</v>
      </c>
      <c r="H475" s="22" t="s">
        <v>397</v>
      </c>
      <c r="I475" s="22" t="s">
        <v>398</v>
      </c>
      <c r="J475" s="22" t="s">
        <v>398</v>
      </c>
      <c r="K475" s="22" t="s">
        <v>55</v>
      </c>
      <c r="L475" s="22" t="s">
        <v>56</v>
      </c>
      <c r="M475" s="22" t="s">
        <v>57</v>
      </c>
      <c r="N475" s="22" t="s">
        <v>58</v>
      </c>
      <c r="O475" s="22">
        <v>349.0</v>
      </c>
      <c r="P475" s="22">
        <v>449.0</v>
      </c>
      <c r="Q475" s="22" t="s">
        <v>59</v>
      </c>
      <c r="R475" s="22" t="s">
        <v>58</v>
      </c>
      <c r="S475" s="22" t="s">
        <v>58</v>
      </c>
      <c r="T475" s="22"/>
      <c r="U475" s="22"/>
      <c r="V475" s="22" t="s">
        <v>61</v>
      </c>
      <c r="W475" s="22" t="s">
        <v>58</v>
      </c>
      <c r="X475" s="22" t="s">
        <v>58</v>
      </c>
      <c r="Y475" s="22" t="s">
        <v>58</v>
      </c>
      <c r="Z475" s="22" t="s">
        <v>58</v>
      </c>
      <c r="AA475" s="22" t="s">
        <v>58</v>
      </c>
      <c r="AB475" s="22" t="s">
        <v>58</v>
      </c>
      <c r="AC475" s="22" t="s">
        <v>58</v>
      </c>
      <c r="AD475" s="22" t="s">
        <v>58</v>
      </c>
      <c r="AE475" s="22" t="s">
        <v>61</v>
      </c>
      <c r="AF475" s="22" t="s">
        <v>61</v>
      </c>
      <c r="AG475" s="22" t="s">
        <v>58</v>
      </c>
      <c r="AH475" s="22">
        <v>50.0</v>
      </c>
      <c r="AI475" s="22">
        <v>10000.0</v>
      </c>
      <c r="AJ475" s="22">
        <v>50.0</v>
      </c>
      <c r="AK475" s="22">
        <v>0.0</v>
      </c>
      <c r="AL475" s="22"/>
      <c r="AM475" s="22"/>
      <c r="AN475" s="22"/>
      <c r="AO475" s="22"/>
    </row>
    <row r="476" ht="15.75" customHeight="1">
      <c r="A476" s="22">
        <v>467.0</v>
      </c>
      <c r="B476" s="22" t="s">
        <v>3646</v>
      </c>
      <c r="C476" s="22" t="s">
        <v>3647</v>
      </c>
      <c r="D476" s="22" t="s">
        <v>3648</v>
      </c>
      <c r="E476" s="22" t="s">
        <v>49</v>
      </c>
      <c r="F476" s="42" t="s">
        <v>3649</v>
      </c>
      <c r="G476" s="71" t="s">
        <v>3654</v>
      </c>
      <c r="H476" s="22" t="s">
        <v>2953</v>
      </c>
      <c r="I476" s="22" t="s">
        <v>116</v>
      </c>
      <c r="J476" s="22" t="s">
        <v>74</v>
      </c>
      <c r="K476" s="22" t="s">
        <v>55</v>
      </c>
      <c r="L476" s="22" t="s">
        <v>56</v>
      </c>
      <c r="M476" s="22" t="s">
        <v>57</v>
      </c>
      <c r="N476" s="22" t="s">
        <v>58</v>
      </c>
      <c r="O476" s="22">
        <v>500.0</v>
      </c>
      <c r="P476" s="22"/>
      <c r="Q476" s="22" t="s">
        <v>59</v>
      </c>
      <c r="R476" s="22" t="s">
        <v>58</v>
      </c>
      <c r="S476" s="22" t="s">
        <v>58</v>
      </c>
      <c r="T476" s="22" t="s">
        <v>275</v>
      </c>
      <c r="U476" s="22"/>
      <c r="V476" s="22" t="s">
        <v>61</v>
      </c>
      <c r="W476" s="22" t="s">
        <v>58</v>
      </c>
      <c r="X476" s="22" t="s">
        <v>58</v>
      </c>
      <c r="Y476" s="22" t="s">
        <v>58</v>
      </c>
      <c r="Z476" s="22" t="s">
        <v>58</v>
      </c>
      <c r="AA476" s="22" t="s">
        <v>58</v>
      </c>
      <c r="AB476" s="22" t="s">
        <v>58</v>
      </c>
      <c r="AC476" s="22" t="s">
        <v>58</v>
      </c>
      <c r="AD476" s="22" t="s">
        <v>58</v>
      </c>
      <c r="AE476" s="22" t="s">
        <v>61</v>
      </c>
      <c r="AF476" s="22" t="s">
        <v>61</v>
      </c>
      <c r="AG476" s="22" t="s">
        <v>58</v>
      </c>
      <c r="AH476" s="22">
        <v>100.0</v>
      </c>
      <c r="AI476" s="22">
        <v>5000.0</v>
      </c>
      <c r="AJ476" s="22">
        <v>100.0</v>
      </c>
      <c r="AK476" s="22">
        <v>0.0</v>
      </c>
      <c r="AL476" s="22"/>
      <c r="AM476" s="22"/>
      <c r="AN476" s="22"/>
      <c r="AO476" s="22"/>
    </row>
    <row r="477" ht="15.75" customHeight="1">
      <c r="A477" s="22">
        <v>468.0</v>
      </c>
      <c r="B477" s="22" t="s">
        <v>3656</v>
      </c>
      <c r="C477" s="22" t="s">
        <v>3657</v>
      </c>
      <c r="D477" s="66" t="s">
        <v>3658</v>
      </c>
      <c r="E477" s="22" t="s">
        <v>49</v>
      </c>
      <c r="F477" s="24" t="s">
        <v>69</v>
      </c>
      <c r="G477" s="24" t="s">
        <v>69</v>
      </c>
      <c r="H477" s="22" t="s">
        <v>361</v>
      </c>
      <c r="I477" s="22" t="s">
        <v>362</v>
      </c>
      <c r="J477" s="22" t="s">
        <v>74</v>
      </c>
      <c r="K477" s="22" t="s">
        <v>55</v>
      </c>
      <c r="L477" s="22" t="s">
        <v>56</v>
      </c>
      <c r="M477" s="22" t="s">
        <v>57</v>
      </c>
      <c r="N477" s="22" t="s">
        <v>58</v>
      </c>
      <c r="O477" s="22">
        <v>600.0</v>
      </c>
      <c r="P477" s="22">
        <v>1000.0</v>
      </c>
      <c r="Q477" s="22" t="s">
        <v>59</v>
      </c>
      <c r="R477" s="22" t="s">
        <v>58</v>
      </c>
      <c r="S477" s="22" t="s">
        <v>58</v>
      </c>
      <c r="T477" s="22"/>
      <c r="U477" s="22"/>
      <c r="V477" s="22" t="s">
        <v>61</v>
      </c>
      <c r="W477" s="22" t="s">
        <v>58</v>
      </c>
      <c r="X477" s="22" t="s">
        <v>58</v>
      </c>
      <c r="Y477" s="22" t="s">
        <v>58</v>
      </c>
      <c r="Z477" s="22" t="s">
        <v>58</v>
      </c>
      <c r="AA477" s="22" t="s">
        <v>58</v>
      </c>
      <c r="AB477" s="22" t="s">
        <v>58</v>
      </c>
      <c r="AC477" s="22" t="s">
        <v>58</v>
      </c>
      <c r="AD477" s="22" t="s">
        <v>58</v>
      </c>
      <c r="AE477" s="22" t="s">
        <v>61</v>
      </c>
      <c r="AF477" s="22" t="s">
        <v>61</v>
      </c>
      <c r="AG477" s="22" t="s">
        <v>58</v>
      </c>
      <c r="AH477" s="22">
        <v>50.0</v>
      </c>
      <c r="AI477" s="22">
        <v>2000.0</v>
      </c>
      <c r="AJ477" s="22">
        <v>50.0</v>
      </c>
      <c r="AK477" s="22">
        <v>0.0</v>
      </c>
      <c r="AL477" s="22"/>
      <c r="AM477" s="22"/>
      <c r="AN477" s="22"/>
      <c r="AO477" s="22"/>
    </row>
    <row r="478" ht="15.75" customHeight="1">
      <c r="A478" s="22">
        <v>469.0</v>
      </c>
      <c r="B478" s="22" t="s">
        <v>3662</v>
      </c>
      <c r="C478" s="22" t="s">
        <v>3663</v>
      </c>
      <c r="D478" s="66" t="s">
        <v>1480</v>
      </c>
      <c r="E478" s="22" t="s">
        <v>49</v>
      </c>
      <c r="F478" s="42" t="s">
        <v>3664</v>
      </c>
      <c r="G478" s="81" t="s">
        <v>3665</v>
      </c>
      <c r="H478" s="22" t="s">
        <v>3666</v>
      </c>
      <c r="I478" s="22" t="s">
        <v>3667</v>
      </c>
      <c r="J478" s="22" t="s">
        <v>74</v>
      </c>
      <c r="K478" s="22" t="s">
        <v>55</v>
      </c>
      <c r="L478" s="22" t="s">
        <v>56</v>
      </c>
      <c r="M478" s="22" t="s">
        <v>57</v>
      </c>
      <c r="N478" s="22" t="s">
        <v>58</v>
      </c>
      <c r="O478" s="22">
        <v>400.0</v>
      </c>
      <c r="P478" s="22">
        <v>400.0</v>
      </c>
      <c r="Q478" s="22" t="s">
        <v>59</v>
      </c>
      <c r="R478" s="22" t="s">
        <v>58</v>
      </c>
      <c r="S478" s="22" t="s">
        <v>58</v>
      </c>
      <c r="T478" s="22"/>
      <c r="U478" s="22"/>
      <c r="V478" s="22" t="s">
        <v>61</v>
      </c>
      <c r="W478" s="22" t="s">
        <v>58</v>
      </c>
      <c r="X478" s="22" t="s">
        <v>58</v>
      </c>
      <c r="Y478" s="22" t="s">
        <v>58</v>
      </c>
      <c r="Z478" s="22" t="s">
        <v>58</v>
      </c>
      <c r="AA478" s="22" t="s">
        <v>58</v>
      </c>
      <c r="AB478" s="22" t="s">
        <v>58</v>
      </c>
      <c r="AC478" s="22" t="s">
        <v>58</v>
      </c>
      <c r="AD478" s="22" t="s">
        <v>58</v>
      </c>
      <c r="AE478" s="22" t="s">
        <v>61</v>
      </c>
      <c r="AF478" s="22" t="s">
        <v>61</v>
      </c>
      <c r="AG478" s="22" t="s">
        <v>58</v>
      </c>
      <c r="AH478" s="22">
        <v>100.0</v>
      </c>
      <c r="AI478" s="22">
        <v>2500.0</v>
      </c>
      <c r="AJ478" s="22">
        <v>100.0</v>
      </c>
      <c r="AK478" s="22">
        <v>0.0</v>
      </c>
      <c r="AL478" s="22"/>
      <c r="AM478" s="22"/>
      <c r="AN478" s="22"/>
      <c r="AO478" s="22"/>
    </row>
    <row r="479" ht="15.75" customHeight="1">
      <c r="A479" s="22">
        <v>470.0</v>
      </c>
      <c r="B479" s="22" t="s">
        <v>3669</v>
      </c>
      <c r="C479" s="22" t="s">
        <v>3670</v>
      </c>
      <c r="D479" s="24" t="s">
        <v>69</v>
      </c>
      <c r="E479" s="22" t="s">
        <v>49</v>
      </c>
      <c r="F479" s="42" t="s">
        <v>3671</v>
      </c>
      <c r="G479" s="81" t="s">
        <v>3673</v>
      </c>
      <c r="H479" s="22" t="s">
        <v>860</v>
      </c>
      <c r="I479" s="22" t="s">
        <v>861</v>
      </c>
      <c r="J479" s="22" t="s">
        <v>74</v>
      </c>
      <c r="K479" s="22" t="s">
        <v>55</v>
      </c>
      <c r="L479" s="22" t="s">
        <v>56</v>
      </c>
      <c r="M479" s="22" t="s">
        <v>57</v>
      </c>
      <c r="N479" s="22" t="s">
        <v>58</v>
      </c>
      <c r="O479" s="22">
        <v>600.0</v>
      </c>
      <c r="P479" s="22">
        <v>750.0</v>
      </c>
      <c r="Q479" s="22" t="s">
        <v>59</v>
      </c>
      <c r="R479" s="22" t="s">
        <v>58</v>
      </c>
      <c r="S479" s="22" t="s">
        <v>58</v>
      </c>
      <c r="T479" s="22"/>
      <c r="U479" s="22"/>
      <c r="V479" s="22" t="s">
        <v>61</v>
      </c>
      <c r="W479" s="22" t="s">
        <v>58</v>
      </c>
      <c r="X479" s="22" t="s">
        <v>58</v>
      </c>
      <c r="Y479" s="22" t="s">
        <v>58</v>
      </c>
      <c r="Z479" s="22" t="s">
        <v>58</v>
      </c>
      <c r="AA479" s="22" t="s">
        <v>58</v>
      </c>
      <c r="AB479" s="22" t="s">
        <v>58</v>
      </c>
      <c r="AC479" s="22" t="s">
        <v>58</v>
      </c>
      <c r="AD479" s="22" t="s">
        <v>58</v>
      </c>
      <c r="AE479" s="22" t="s">
        <v>61</v>
      </c>
      <c r="AF479" s="22" t="s">
        <v>61</v>
      </c>
      <c r="AG479" s="22" t="s">
        <v>58</v>
      </c>
      <c r="AH479" s="22">
        <v>70.0</v>
      </c>
      <c r="AI479" s="22">
        <v>1000.0</v>
      </c>
      <c r="AJ479" s="22">
        <v>70.0</v>
      </c>
      <c r="AK479" s="22">
        <v>0.0</v>
      </c>
      <c r="AL479" s="22"/>
      <c r="AM479" s="22"/>
      <c r="AN479" s="22"/>
      <c r="AO479" s="22"/>
    </row>
    <row r="480" ht="15.75" customHeight="1">
      <c r="A480" s="22">
        <v>471.0</v>
      </c>
      <c r="B480" s="22" t="s">
        <v>3675</v>
      </c>
      <c r="C480" s="22" t="s">
        <v>3676</v>
      </c>
      <c r="D480" s="24" t="s">
        <v>69</v>
      </c>
      <c r="E480" s="22" t="s">
        <v>49</v>
      </c>
      <c r="F480" s="42" t="s">
        <v>3677</v>
      </c>
      <c r="G480" s="81" t="s">
        <v>3678</v>
      </c>
      <c r="H480" s="22" t="s">
        <v>513</v>
      </c>
      <c r="I480" s="22" t="s">
        <v>514</v>
      </c>
      <c r="J480" s="22" t="s">
        <v>74</v>
      </c>
      <c r="K480" s="22" t="s">
        <v>55</v>
      </c>
      <c r="L480" s="22" t="s">
        <v>56</v>
      </c>
      <c r="M480" s="22" t="s">
        <v>57</v>
      </c>
      <c r="N480" s="22" t="s">
        <v>58</v>
      </c>
      <c r="O480" s="22">
        <v>800.0</v>
      </c>
      <c r="P480" s="22">
        <v>1000.0</v>
      </c>
      <c r="Q480" s="22" t="s">
        <v>59</v>
      </c>
      <c r="R480" s="22" t="s">
        <v>58</v>
      </c>
      <c r="S480" s="22" t="s">
        <v>58</v>
      </c>
      <c r="T480" s="22"/>
      <c r="U480" s="22"/>
      <c r="V480" s="22" t="s">
        <v>61</v>
      </c>
      <c r="W480" s="22" t="s">
        <v>58</v>
      </c>
      <c r="X480" s="22" t="s">
        <v>58</v>
      </c>
      <c r="Y480" s="22" t="s">
        <v>58</v>
      </c>
      <c r="Z480" s="22" t="s">
        <v>58</v>
      </c>
      <c r="AA480" s="22" t="s">
        <v>58</v>
      </c>
      <c r="AB480" s="22" t="s">
        <v>58</v>
      </c>
      <c r="AC480" s="22" t="s">
        <v>58</v>
      </c>
      <c r="AD480" s="22" t="s">
        <v>58</v>
      </c>
      <c r="AE480" s="22" t="s">
        <v>61</v>
      </c>
      <c r="AF480" s="22" t="s">
        <v>61</v>
      </c>
      <c r="AG480" s="22" t="s">
        <v>58</v>
      </c>
      <c r="AH480" s="22">
        <v>250.0</v>
      </c>
      <c r="AI480" s="22">
        <v>5000.0</v>
      </c>
      <c r="AJ480" s="22">
        <v>250.0</v>
      </c>
      <c r="AK480" s="22">
        <v>0.0</v>
      </c>
      <c r="AL480" s="22"/>
      <c r="AM480" s="22"/>
      <c r="AN480" s="22"/>
      <c r="AO480" s="22"/>
    </row>
    <row r="481" ht="15.75" customHeight="1">
      <c r="A481" s="22">
        <v>472.0</v>
      </c>
      <c r="B481" s="22" t="s">
        <v>3124</v>
      </c>
      <c r="C481" s="22" t="s">
        <v>3125</v>
      </c>
      <c r="D481" s="22" t="s">
        <v>3126</v>
      </c>
      <c r="E481" s="22" t="s">
        <v>49</v>
      </c>
      <c r="F481" s="24" t="s">
        <v>69</v>
      </c>
      <c r="G481" s="24" t="s">
        <v>69</v>
      </c>
      <c r="H481" s="22" t="s">
        <v>303</v>
      </c>
      <c r="I481" s="22" t="s">
        <v>303</v>
      </c>
      <c r="J481" s="22" t="s">
        <v>74</v>
      </c>
      <c r="K481" s="22" t="s">
        <v>55</v>
      </c>
      <c r="L481" s="22" t="s">
        <v>56</v>
      </c>
      <c r="M481" s="22" t="s">
        <v>57</v>
      </c>
      <c r="N481" s="22" t="s">
        <v>58</v>
      </c>
      <c r="O481" s="22">
        <v>700.0</v>
      </c>
      <c r="P481" s="22">
        <v>1000.0</v>
      </c>
      <c r="Q481" s="22" t="s">
        <v>59</v>
      </c>
      <c r="R481" s="22" t="s">
        <v>58</v>
      </c>
      <c r="S481" s="22" t="s">
        <v>58</v>
      </c>
      <c r="T481" s="22" t="s">
        <v>948</v>
      </c>
      <c r="U481" s="22"/>
      <c r="V481" s="22" t="s">
        <v>61</v>
      </c>
      <c r="W481" s="22" t="s">
        <v>58</v>
      </c>
      <c r="X481" s="22" t="s">
        <v>58</v>
      </c>
      <c r="Y481" s="22" t="s">
        <v>58</v>
      </c>
      <c r="Z481" s="22" t="s">
        <v>58</v>
      </c>
      <c r="AA481" s="22" t="s">
        <v>58</v>
      </c>
      <c r="AB481" s="22" t="s">
        <v>58</v>
      </c>
      <c r="AC481" s="22" t="s">
        <v>58</v>
      </c>
      <c r="AD481" s="22" t="s">
        <v>58</v>
      </c>
      <c r="AE481" s="22" t="s">
        <v>61</v>
      </c>
      <c r="AF481" s="22" t="s">
        <v>61</v>
      </c>
      <c r="AG481" s="22" t="s">
        <v>58</v>
      </c>
      <c r="AH481" s="22">
        <v>0.0</v>
      </c>
      <c r="AI481" s="22">
        <v>0.0</v>
      </c>
      <c r="AJ481" s="22">
        <v>0.0</v>
      </c>
      <c r="AK481" s="22">
        <v>0.0</v>
      </c>
      <c r="AL481" s="22"/>
      <c r="AM481" s="22"/>
      <c r="AN481" s="22"/>
      <c r="AO481" s="22"/>
    </row>
    <row r="482" ht="15.75" customHeight="1">
      <c r="A482" s="22">
        <v>473.0</v>
      </c>
      <c r="B482" s="22" t="s">
        <v>3684</v>
      </c>
      <c r="C482" s="22" t="s">
        <v>3685</v>
      </c>
      <c r="D482" s="22" t="s">
        <v>3686</v>
      </c>
      <c r="E482" s="22" t="s">
        <v>49</v>
      </c>
      <c r="F482" s="42" t="s">
        <v>3687</v>
      </c>
      <c r="G482" s="82">
        <v>9.118111124E9</v>
      </c>
      <c r="H482" s="22" t="s">
        <v>2659</v>
      </c>
      <c r="I482" s="22" t="s">
        <v>2660</v>
      </c>
      <c r="J482" s="22" t="s">
        <v>74</v>
      </c>
      <c r="K482" s="22" t="s">
        <v>55</v>
      </c>
      <c r="L482" s="22" t="s">
        <v>56</v>
      </c>
      <c r="M482" s="22" t="s">
        <v>57</v>
      </c>
      <c r="N482" s="22" t="s">
        <v>58</v>
      </c>
      <c r="O482" s="22">
        <v>1100.0</v>
      </c>
      <c r="P482" s="22"/>
      <c r="Q482" s="22" t="s">
        <v>59</v>
      </c>
      <c r="R482" s="22" t="s">
        <v>58</v>
      </c>
      <c r="S482" s="22" t="s">
        <v>58</v>
      </c>
      <c r="T482" s="22"/>
      <c r="U482" s="22"/>
      <c r="V482" s="22" t="s">
        <v>61</v>
      </c>
      <c r="W482" s="22" t="s">
        <v>58</v>
      </c>
      <c r="X482" s="22" t="s">
        <v>58</v>
      </c>
      <c r="Y482" s="22" t="s">
        <v>58</v>
      </c>
      <c r="Z482" s="22" t="s">
        <v>58</v>
      </c>
      <c r="AA482" s="22" t="s">
        <v>58</v>
      </c>
      <c r="AB482" s="22" t="s">
        <v>58</v>
      </c>
      <c r="AC482" s="22" t="s">
        <v>58</v>
      </c>
      <c r="AD482" s="22" t="s">
        <v>58</v>
      </c>
      <c r="AE482" s="22" t="s">
        <v>61</v>
      </c>
      <c r="AF482" s="22" t="s">
        <v>61</v>
      </c>
      <c r="AG482" s="22" t="s">
        <v>58</v>
      </c>
      <c r="AH482" s="22">
        <v>200.0</v>
      </c>
      <c r="AI482" s="22">
        <v>2000.0</v>
      </c>
      <c r="AJ482" s="22">
        <v>200.0</v>
      </c>
      <c r="AK482" s="22">
        <v>0.0</v>
      </c>
      <c r="AL482" s="22"/>
      <c r="AM482" s="22"/>
      <c r="AN482" s="22"/>
      <c r="AO482" s="22"/>
    </row>
    <row r="483" ht="42.75" customHeight="1">
      <c r="A483" s="119">
        <v>474.0</v>
      </c>
      <c r="B483" s="119" t="s">
        <v>3692</v>
      </c>
      <c r="C483" s="119" t="s">
        <v>3693</v>
      </c>
      <c r="D483" s="119" t="s">
        <v>3694</v>
      </c>
      <c r="E483" s="119" t="s">
        <v>49</v>
      </c>
      <c r="F483" s="120" t="s">
        <v>3695</v>
      </c>
      <c r="G483" s="121" t="s">
        <v>3696</v>
      </c>
      <c r="H483" s="119" t="s">
        <v>586</v>
      </c>
      <c r="I483" s="119" t="s">
        <v>587</v>
      </c>
      <c r="J483" s="119" t="s">
        <v>74</v>
      </c>
      <c r="K483" s="119" t="s">
        <v>55</v>
      </c>
      <c r="L483" s="119" t="s">
        <v>56</v>
      </c>
      <c r="M483" s="119" t="s">
        <v>57</v>
      </c>
      <c r="N483" s="119" t="s">
        <v>58</v>
      </c>
      <c r="O483" s="119">
        <v>1500.0</v>
      </c>
      <c r="P483" s="119">
        <v>1600.0</v>
      </c>
      <c r="Q483" s="119" t="s">
        <v>59</v>
      </c>
      <c r="R483" s="119" t="s">
        <v>58</v>
      </c>
      <c r="S483" s="119" t="s">
        <v>58</v>
      </c>
      <c r="T483" s="61" t="s">
        <v>3697</v>
      </c>
      <c r="U483" s="119"/>
      <c r="V483" s="119" t="s">
        <v>61</v>
      </c>
      <c r="W483" s="119" t="s">
        <v>58</v>
      </c>
      <c r="X483" s="119" t="s">
        <v>58</v>
      </c>
      <c r="Y483" s="119" t="s">
        <v>58</v>
      </c>
      <c r="Z483" s="119" t="s">
        <v>58</v>
      </c>
      <c r="AA483" s="119" t="s">
        <v>58</v>
      </c>
      <c r="AB483" s="119" t="s">
        <v>58</v>
      </c>
      <c r="AC483" s="119" t="s">
        <v>58</v>
      </c>
      <c r="AD483" s="119" t="s">
        <v>58</v>
      </c>
      <c r="AE483" s="119" t="s">
        <v>61</v>
      </c>
      <c r="AF483" s="119" t="s">
        <v>61</v>
      </c>
      <c r="AG483" s="119" t="s">
        <v>58</v>
      </c>
      <c r="AH483" s="119">
        <v>100.0</v>
      </c>
      <c r="AI483" s="119">
        <v>0.0</v>
      </c>
      <c r="AJ483" s="119">
        <v>100.0</v>
      </c>
      <c r="AK483" s="119">
        <v>0.0</v>
      </c>
      <c r="AL483" s="119"/>
      <c r="AM483" s="119"/>
      <c r="AN483" s="119"/>
      <c r="AO483" s="119"/>
    </row>
    <row r="484" ht="15.75" customHeight="1">
      <c r="A484" s="22">
        <v>475.0</v>
      </c>
      <c r="B484" s="22" t="s">
        <v>3067</v>
      </c>
      <c r="C484" s="22" t="s">
        <v>3068</v>
      </c>
      <c r="D484" s="66" t="s">
        <v>3069</v>
      </c>
      <c r="E484" s="22" t="s">
        <v>49</v>
      </c>
      <c r="F484" s="24" t="s">
        <v>69</v>
      </c>
      <c r="G484" s="24" t="s">
        <v>69</v>
      </c>
      <c r="H484" s="22" t="s">
        <v>3072</v>
      </c>
      <c r="I484" s="22" t="s">
        <v>3073</v>
      </c>
      <c r="J484" s="22" t="s">
        <v>3073</v>
      </c>
      <c r="K484" s="22" t="s">
        <v>55</v>
      </c>
      <c r="L484" s="22" t="s">
        <v>56</v>
      </c>
      <c r="M484" s="22" t="s">
        <v>57</v>
      </c>
      <c r="N484" s="22" t="s">
        <v>58</v>
      </c>
      <c r="O484" s="22">
        <v>650.0</v>
      </c>
      <c r="P484" s="22">
        <v>950.0</v>
      </c>
      <c r="Q484" s="22" t="s">
        <v>59</v>
      </c>
      <c r="R484" s="22" t="s">
        <v>58</v>
      </c>
      <c r="S484" s="22" t="s">
        <v>58</v>
      </c>
      <c r="T484" s="22"/>
      <c r="U484" s="22"/>
      <c r="V484" s="22" t="s">
        <v>61</v>
      </c>
      <c r="W484" s="22" t="s">
        <v>58</v>
      </c>
      <c r="X484" s="22" t="s">
        <v>58</v>
      </c>
      <c r="Y484" s="22" t="s">
        <v>58</v>
      </c>
      <c r="Z484" s="22" t="s">
        <v>58</v>
      </c>
      <c r="AA484" s="22" t="s">
        <v>58</v>
      </c>
      <c r="AB484" s="22" t="s">
        <v>58</v>
      </c>
      <c r="AC484" s="22" t="s">
        <v>58</v>
      </c>
      <c r="AD484" s="22" t="s">
        <v>58</v>
      </c>
      <c r="AE484" s="22" t="s">
        <v>61</v>
      </c>
      <c r="AF484" s="22" t="s">
        <v>61</v>
      </c>
      <c r="AG484" s="22" t="s">
        <v>58</v>
      </c>
      <c r="AH484" s="22">
        <v>100.0</v>
      </c>
      <c r="AI484" s="22">
        <v>3000.0</v>
      </c>
      <c r="AJ484" s="22">
        <v>100.0</v>
      </c>
      <c r="AK484" s="22">
        <v>0.0</v>
      </c>
      <c r="AL484" s="22"/>
      <c r="AM484" s="22"/>
      <c r="AN484" s="22"/>
      <c r="AO484" s="22"/>
    </row>
    <row r="485" ht="15.75" customHeight="1">
      <c r="A485" s="22">
        <v>476.0</v>
      </c>
      <c r="B485" s="22" t="s">
        <v>3699</v>
      </c>
      <c r="C485" s="22" t="s">
        <v>3700</v>
      </c>
      <c r="D485" s="66" t="s">
        <v>3701</v>
      </c>
      <c r="E485" s="22" t="s">
        <v>49</v>
      </c>
      <c r="F485" s="42" t="s">
        <v>3702</v>
      </c>
      <c r="G485" s="71" t="s">
        <v>3705</v>
      </c>
      <c r="H485" s="22" t="s">
        <v>72</v>
      </c>
      <c r="I485" s="22" t="s">
        <v>73</v>
      </c>
      <c r="J485" s="22" t="s">
        <v>74</v>
      </c>
      <c r="K485" s="22" t="s">
        <v>55</v>
      </c>
      <c r="L485" s="22" t="s">
        <v>56</v>
      </c>
      <c r="M485" s="22" t="s">
        <v>57</v>
      </c>
      <c r="N485" s="22" t="s">
        <v>58</v>
      </c>
      <c r="O485" s="22">
        <v>2200.0</v>
      </c>
      <c r="P485" s="22">
        <v>2500.0</v>
      </c>
      <c r="Q485" s="22" t="s">
        <v>59</v>
      </c>
      <c r="R485" s="22" t="s">
        <v>58</v>
      </c>
      <c r="S485" s="22" t="s">
        <v>58</v>
      </c>
      <c r="T485" s="22"/>
      <c r="U485" s="22"/>
      <c r="V485" s="22" t="s">
        <v>61</v>
      </c>
      <c r="W485" s="22" t="s">
        <v>58</v>
      </c>
      <c r="X485" s="22" t="s">
        <v>58</v>
      </c>
      <c r="Y485" s="22" t="s">
        <v>58</v>
      </c>
      <c r="Z485" s="22" t="s">
        <v>58</v>
      </c>
      <c r="AA485" s="22" t="s">
        <v>58</v>
      </c>
      <c r="AB485" s="22" t="s">
        <v>58</v>
      </c>
      <c r="AC485" s="22" t="s">
        <v>58</v>
      </c>
      <c r="AD485" s="22" t="s">
        <v>58</v>
      </c>
      <c r="AE485" s="22" t="s">
        <v>61</v>
      </c>
      <c r="AF485" s="22" t="s">
        <v>61</v>
      </c>
      <c r="AG485" s="22" t="s">
        <v>58</v>
      </c>
      <c r="AH485" s="22">
        <v>50.0</v>
      </c>
      <c r="AI485" s="22">
        <v>1000.0</v>
      </c>
      <c r="AJ485" s="22">
        <v>50.0</v>
      </c>
      <c r="AK485" s="22">
        <v>0.0</v>
      </c>
      <c r="AL485" s="22"/>
      <c r="AM485" s="22"/>
      <c r="AN485" s="22"/>
      <c r="AO485" s="22"/>
    </row>
    <row r="486" ht="15.75" customHeight="1">
      <c r="A486" s="22">
        <v>477.0</v>
      </c>
      <c r="B486" s="22" t="s">
        <v>3709</v>
      </c>
      <c r="C486" s="22" t="s">
        <v>3710</v>
      </c>
      <c r="D486" s="22"/>
      <c r="E486" s="22" t="s">
        <v>49</v>
      </c>
      <c r="F486" s="88" t="s">
        <v>3711</v>
      </c>
      <c r="G486" s="22"/>
      <c r="H486" s="22" t="s">
        <v>361</v>
      </c>
      <c r="I486" s="22" t="s">
        <v>362</v>
      </c>
      <c r="J486" s="22" t="s">
        <v>74</v>
      </c>
      <c r="K486" s="22" t="s">
        <v>55</v>
      </c>
      <c r="L486" s="22" t="s">
        <v>56</v>
      </c>
      <c r="M486" s="22" t="s">
        <v>57</v>
      </c>
      <c r="N486" s="22" t="s">
        <v>58</v>
      </c>
      <c r="O486" s="22">
        <v>200.0</v>
      </c>
      <c r="P486" s="22">
        <v>200.0</v>
      </c>
      <c r="Q486" s="22" t="s">
        <v>59</v>
      </c>
      <c r="R486" s="22" t="s">
        <v>58</v>
      </c>
      <c r="S486" s="22" t="s">
        <v>58</v>
      </c>
      <c r="T486" s="22"/>
      <c r="U486" s="22"/>
      <c r="V486" s="22" t="s">
        <v>61</v>
      </c>
      <c r="W486" s="22" t="s">
        <v>58</v>
      </c>
      <c r="X486" s="22" t="s">
        <v>58</v>
      </c>
      <c r="Y486" s="22" t="s">
        <v>58</v>
      </c>
      <c r="Z486" s="22" t="s">
        <v>58</v>
      </c>
      <c r="AA486" s="22" t="s">
        <v>58</v>
      </c>
      <c r="AB486" s="22" t="s">
        <v>58</v>
      </c>
      <c r="AC486" s="22" t="s">
        <v>58</v>
      </c>
      <c r="AD486" s="22" t="s">
        <v>58</v>
      </c>
      <c r="AE486" s="22" t="s">
        <v>61</v>
      </c>
      <c r="AF486" s="22" t="s">
        <v>61</v>
      </c>
      <c r="AG486" s="22" t="s">
        <v>58</v>
      </c>
      <c r="AH486" s="22">
        <v>200.0</v>
      </c>
      <c r="AI486" s="22">
        <v>5000.0</v>
      </c>
      <c r="AJ486" s="22">
        <v>200.0</v>
      </c>
      <c r="AK486" s="22">
        <v>0.0</v>
      </c>
      <c r="AL486" s="22"/>
      <c r="AM486" s="22"/>
      <c r="AN486" s="24" t="s">
        <v>65</v>
      </c>
      <c r="AO486" s="22"/>
    </row>
    <row r="487" ht="15.75" customHeight="1">
      <c r="A487" s="22">
        <v>478.0</v>
      </c>
      <c r="B487" s="22" t="s">
        <v>1332</v>
      </c>
      <c r="C487" s="22" t="s">
        <v>1333</v>
      </c>
      <c r="D487" s="66" t="s">
        <v>1334</v>
      </c>
      <c r="E487" s="22" t="s">
        <v>49</v>
      </c>
      <c r="F487" s="24" t="s">
        <v>69</v>
      </c>
      <c r="G487" s="24" t="s">
        <v>69</v>
      </c>
      <c r="H487" s="22" t="s">
        <v>53</v>
      </c>
      <c r="I487" s="22" t="s">
        <v>54</v>
      </c>
      <c r="J487" s="22" t="s">
        <v>54</v>
      </c>
      <c r="K487" s="22" t="s">
        <v>55</v>
      </c>
      <c r="L487" s="22" t="s">
        <v>56</v>
      </c>
      <c r="M487" s="22" t="s">
        <v>57</v>
      </c>
      <c r="N487" s="22" t="s">
        <v>58</v>
      </c>
      <c r="O487" s="22">
        <v>450.0</v>
      </c>
      <c r="P487" s="22">
        <v>500.0</v>
      </c>
      <c r="Q487" s="22" t="s">
        <v>59</v>
      </c>
      <c r="R487" s="22" t="s">
        <v>58</v>
      </c>
      <c r="S487" s="22" t="s">
        <v>58</v>
      </c>
      <c r="T487" s="22"/>
      <c r="U487" s="22"/>
      <c r="V487" s="22" t="s">
        <v>61</v>
      </c>
      <c r="W487" s="22" t="s">
        <v>58</v>
      </c>
      <c r="X487" s="22" t="s">
        <v>58</v>
      </c>
      <c r="Y487" s="22" t="s">
        <v>58</v>
      </c>
      <c r="Z487" s="22" t="s">
        <v>58</v>
      </c>
      <c r="AA487" s="22" t="s">
        <v>58</v>
      </c>
      <c r="AB487" s="22" t="s">
        <v>58</v>
      </c>
      <c r="AC487" s="22" t="s">
        <v>58</v>
      </c>
      <c r="AD487" s="22" t="s">
        <v>58</v>
      </c>
      <c r="AE487" s="22" t="s">
        <v>61</v>
      </c>
      <c r="AF487" s="22" t="s">
        <v>61</v>
      </c>
      <c r="AG487" s="22" t="s">
        <v>58</v>
      </c>
      <c r="AH487" s="22">
        <v>50.0</v>
      </c>
      <c r="AI487" s="22">
        <v>700.0</v>
      </c>
      <c r="AJ487" s="22">
        <v>50.0</v>
      </c>
      <c r="AK487" s="22">
        <v>0.0</v>
      </c>
      <c r="AL487" s="22"/>
      <c r="AM487" s="22"/>
      <c r="AN487" s="22"/>
      <c r="AO487" s="22"/>
    </row>
    <row r="488" ht="15.75" customHeight="1">
      <c r="A488" s="22">
        <v>479.0</v>
      </c>
      <c r="B488" s="22" t="s">
        <v>137</v>
      </c>
      <c r="C488" s="22" t="s">
        <v>139</v>
      </c>
      <c r="D488" s="66" t="s">
        <v>141</v>
      </c>
      <c r="E488" s="22" t="s">
        <v>49</v>
      </c>
      <c r="F488" s="42" t="s">
        <v>3716</v>
      </c>
      <c r="G488" s="81" t="s">
        <v>146</v>
      </c>
      <c r="H488" s="22" t="s">
        <v>118</v>
      </c>
      <c r="I488" s="22" t="s">
        <v>92</v>
      </c>
      <c r="J488" s="22" t="s">
        <v>92</v>
      </c>
      <c r="K488" s="22" t="s">
        <v>55</v>
      </c>
      <c r="L488" s="22" t="s">
        <v>56</v>
      </c>
      <c r="M488" s="22" t="s">
        <v>57</v>
      </c>
      <c r="N488" s="22" t="s">
        <v>58</v>
      </c>
      <c r="O488" s="22">
        <v>500.0</v>
      </c>
      <c r="P488" s="22">
        <v>700.0</v>
      </c>
      <c r="Q488" s="22" t="s">
        <v>59</v>
      </c>
      <c r="R488" s="22" t="s">
        <v>58</v>
      </c>
      <c r="S488" s="22" t="s">
        <v>58</v>
      </c>
      <c r="T488" s="22"/>
      <c r="U488" s="22"/>
      <c r="V488" s="22" t="s">
        <v>61</v>
      </c>
      <c r="W488" s="22" t="s">
        <v>58</v>
      </c>
      <c r="X488" s="22" t="s">
        <v>58</v>
      </c>
      <c r="Y488" s="22" t="s">
        <v>58</v>
      </c>
      <c r="Z488" s="22" t="s">
        <v>58</v>
      </c>
      <c r="AA488" s="22" t="s">
        <v>58</v>
      </c>
      <c r="AB488" s="22" t="s">
        <v>58</v>
      </c>
      <c r="AC488" s="22" t="s">
        <v>58</v>
      </c>
      <c r="AD488" s="22" t="s">
        <v>58</v>
      </c>
      <c r="AE488" s="22" t="s">
        <v>61</v>
      </c>
      <c r="AF488" s="22" t="s">
        <v>61</v>
      </c>
      <c r="AG488" s="22" t="s">
        <v>58</v>
      </c>
      <c r="AH488" s="22">
        <v>250.0</v>
      </c>
      <c r="AI488" s="22">
        <v>5000.0</v>
      </c>
      <c r="AJ488" s="22">
        <v>250.0</v>
      </c>
      <c r="AK488" s="22">
        <v>0.0</v>
      </c>
      <c r="AL488" s="22"/>
      <c r="AM488" s="22"/>
      <c r="AN488" s="22"/>
      <c r="AO488" s="22"/>
    </row>
    <row r="489" ht="15.75" customHeight="1">
      <c r="A489" s="22">
        <v>480.0</v>
      </c>
      <c r="B489" s="22" t="s">
        <v>3718</v>
      </c>
      <c r="C489" s="22" t="s">
        <v>3719</v>
      </c>
      <c r="D489" s="66" t="s">
        <v>3720</v>
      </c>
      <c r="E489" s="22" t="s">
        <v>49</v>
      </c>
      <c r="F489" s="42" t="s">
        <v>3721</v>
      </c>
      <c r="G489" s="82">
        <v>9.899841401E9</v>
      </c>
      <c r="H489" s="22" t="s">
        <v>3722</v>
      </c>
      <c r="I489" s="22" t="s">
        <v>3723</v>
      </c>
      <c r="J489" s="22" t="s">
        <v>74</v>
      </c>
      <c r="K489" s="22" t="s">
        <v>55</v>
      </c>
      <c r="L489" s="22" t="s">
        <v>56</v>
      </c>
      <c r="M489" s="22" t="s">
        <v>57</v>
      </c>
      <c r="N489" s="22" t="s">
        <v>58</v>
      </c>
      <c r="O489" s="22">
        <v>750.0</v>
      </c>
      <c r="P489" s="22">
        <v>850.0</v>
      </c>
      <c r="Q489" s="22" t="s">
        <v>59</v>
      </c>
      <c r="R489" s="22" t="s">
        <v>58</v>
      </c>
      <c r="S489" s="22" t="s">
        <v>58</v>
      </c>
      <c r="T489" s="22"/>
      <c r="U489" s="22"/>
      <c r="V489" s="22" t="s">
        <v>61</v>
      </c>
      <c r="W489" s="22" t="s">
        <v>58</v>
      </c>
      <c r="X489" s="22" t="s">
        <v>58</v>
      </c>
      <c r="Y489" s="22" t="s">
        <v>58</v>
      </c>
      <c r="Z489" s="22" t="s">
        <v>58</v>
      </c>
      <c r="AA489" s="22" t="s">
        <v>58</v>
      </c>
      <c r="AB489" s="22" t="s">
        <v>58</v>
      </c>
      <c r="AC489" s="22" t="s">
        <v>58</v>
      </c>
      <c r="AD489" s="22" t="s">
        <v>58</v>
      </c>
      <c r="AE489" s="22" t="s">
        <v>61</v>
      </c>
      <c r="AF489" s="22" t="s">
        <v>61</v>
      </c>
      <c r="AG489" s="22" t="s">
        <v>58</v>
      </c>
      <c r="AH489" s="22">
        <v>200.0</v>
      </c>
      <c r="AI489" s="22">
        <v>1500.0</v>
      </c>
      <c r="AJ489" s="22">
        <v>200.0</v>
      </c>
      <c r="AK489" s="22">
        <v>0.0</v>
      </c>
      <c r="AL489" s="22"/>
      <c r="AM489" s="22"/>
      <c r="AN489" s="22"/>
      <c r="AO489" s="22"/>
    </row>
    <row r="490" ht="15.75" customHeight="1">
      <c r="A490" s="22">
        <v>481.0</v>
      </c>
      <c r="B490" s="22" t="s">
        <v>3724</v>
      </c>
      <c r="C490" s="22" t="s">
        <v>3725</v>
      </c>
      <c r="D490" s="66" t="s">
        <v>3726</v>
      </c>
      <c r="E490" s="22" t="s">
        <v>49</v>
      </c>
      <c r="F490" s="24" t="s">
        <v>69</v>
      </c>
      <c r="G490" s="24" t="s">
        <v>69</v>
      </c>
      <c r="H490" s="22" t="s">
        <v>513</v>
      </c>
      <c r="I490" s="22" t="s">
        <v>514</v>
      </c>
      <c r="J490" s="22" t="s">
        <v>74</v>
      </c>
      <c r="K490" s="22" t="s">
        <v>55</v>
      </c>
      <c r="L490" s="22" t="s">
        <v>56</v>
      </c>
      <c r="M490" s="22" t="s">
        <v>57</v>
      </c>
      <c r="N490" s="22" t="s">
        <v>58</v>
      </c>
      <c r="O490" s="22">
        <v>600.0</v>
      </c>
      <c r="P490" s="22">
        <v>1000.0</v>
      </c>
      <c r="Q490" s="22" t="s">
        <v>59</v>
      </c>
      <c r="R490" s="22" t="s">
        <v>58</v>
      </c>
      <c r="S490" s="22" t="s">
        <v>58</v>
      </c>
      <c r="T490" s="24" t="s">
        <v>3727</v>
      </c>
      <c r="U490" s="22"/>
      <c r="V490" s="22" t="s">
        <v>61</v>
      </c>
      <c r="W490" s="22" t="s">
        <v>58</v>
      </c>
      <c r="X490" s="22" t="s">
        <v>58</v>
      </c>
      <c r="Y490" s="22" t="s">
        <v>58</v>
      </c>
      <c r="Z490" s="22" t="s">
        <v>58</v>
      </c>
      <c r="AA490" s="22" t="s">
        <v>58</v>
      </c>
      <c r="AB490" s="22" t="s">
        <v>58</v>
      </c>
      <c r="AC490" s="22" t="s">
        <v>58</v>
      </c>
      <c r="AD490" s="22" t="s">
        <v>58</v>
      </c>
      <c r="AE490" s="22" t="s">
        <v>61</v>
      </c>
      <c r="AF490" s="22" t="s">
        <v>61</v>
      </c>
      <c r="AG490" s="22" t="s">
        <v>58</v>
      </c>
      <c r="AH490" s="22">
        <v>50.0</v>
      </c>
      <c r="AI490" s="22">
        <v>250.0</v>
      </c>
      <c r="AJ490" s="22">
        <v>50.0</v>
      </c>
      <c r="AK490" s="22">
        <v>0.0</v>
      </c>
      <c r="AL490" s="22"/>
      <c r="AM490" s="22"/>
      <c r="AN490" s="22"/>
      <c r="AO490" s="22"/>
    </row>
    <row r="491" ht="15.75" customHeight="1">
      <c r="A491" s="22">
        <v>482.0</v>
      </c>
      <c r="B491" s="22" t="s">
        <v>3730</v>
      </c>
      <c r="C491" s="22" t="s">
        <v>1306</v>
      </c>
      <c r="D491" s="66" t="s">
        <v>2753</v>
      </c>
      <c r="E491" s="22" t="s">
        <v>49</v>
      </c>
      <c r="F491" s="42" t="s">
        <v>2754</v>
      </c>
      <c r="G491" s="82">
        <v>9.999333781E9</v>
      </c>
      <c r="H491" s="22" t="s">
        <v>72</v>
      </c>
      <c r="I491" s="22" t="s">
        <v>73</v>
      </c>
      <c r="J491" s="22" t="s">
        <v>74</v>
      </c>
      <c r="K491" s="22" t="s">
        <v>55</v>
      </c>
      <c r="L491" s="22" t="s">
        <v>56</v>
      </c>
      <c r="M491" s="22" t="s">
        <v>57</v>
      </c>
      <c r="N491" s="22" t="s">
        <v>58</v>
      </c>
      <c r="O491" s="22">
        <v>2700.0</v>
      </c>
      <c r="P491" s="22">
        <v>3000.0</v>
      </c>
      <c r="Q491" s="22" t="s">
        <v>59</v>
      </c>
      <c r="R491" s="22" t="s">
        <v>58</v>
      </c>
      <c r="S491" s="22" t="s">
        <v>58</v>
      </c>
      <c r="T491" s="22"/>
      <c r="U491" s="22"/>
      <c r="V491" s="22" t="s">
        <v>61</v>
      </c>
      <c r="W491" s="22" t="s">
        <v>58</v>
      </c>
      <c r="X491" s="22" t="s">
        <v>58</v>
      </c>
      <c r="Y491" s="22" t="s">
        <v>58</v>
      </c>
      <c r="Z491" s="22" t="s">
        <v>58</v>
      </c>
      <c r="AA491" s="22" t="s">
        <v>58</v>
      </c>
      <c r="AB491" s="22" t="s">
        <v>58</v>
      </c>
      <c r="AC491" s="22" t="s">
        <v>58</v>
      </c>
      <c r="AD491" s="22" t="s">
        <v>58</v>
      </c>
      <c r="AE491" s="22" t="s">
        <v>61</v>
      </c>
      <c r="AF491" s="22" t="s">
        <v>61</v>
      </c>
      <c r="AG491" s="22" t="s">
        <v>58</v>
      </c>
      <c r="AH491" s="22">
        <v>100.0</v>
      </c>
      <c r="AI491" s="22">
        <v>10000.0</v>
      </c>
      <c r="AJ491" s="22">
        <v>100.0</v>
      </c>
      <c r="AK491" s="22">
        <v>0.0</v>
      </c>
      <c r="AL491" s="22"/>
      <c r="AM491" s="22"/>
      <c r="AN491" s="22"/>
      <c r="AO491" s="22"/>
    </row>
    <row r="492" ht="15.75" customHeight="1">
      <c r="A492" s="22">
        <v>483.0</v>
      </c>
      <c r="B492" s="22" t="s">
        <v>3735</v>
      </c>
      <c r="C492" s="22" t="s">
        <v>3736</v>
      </c>
      <c r="D492" s="22" t="s">
        <v>3737</v>
      </c>
      <c r="E492" s="22" t="s">
        <v>49</v>
      </c>
      <c r="F492" s="42" t="s">
        <v>3738</v>
      </c>
      <c r="G492" s="71" t="s">
        <v>3739</v>
      </c>
      <c r="H492" s="22" t="s">
        <v>3742</v>
      </c>
      <c r="I492" s="22" t="s">
        <v>3743</v>
      </c>
      <c r="J492" s="22" t="s">
        <v>74</v>
      </c>
      <c r="K492" s="22" t="s">
        <v>55</v>
      </c>
      <c r="L492" s="22" t="s">
        <v>56</v>
      </c>
      <c r="M492" s="22" t="s">
        <v>57</v>
      </c>
      <c r="N492" s="22" t="s">
        <v>58</v>
      </c>
      <c r="O492" s="22">
        <v>350.0</v>
      </c>
      <c r="P492" s="22"/>
      <c r="Q492" s="22" t="s">
        <v>59</v>
      </c>
      <c r="R492" s="22" t="s">
        <v>58</v>
      </c>
      <c r="S492" s="22" t="s">
        <v>58</v>
      </c>
      <c r="T492" s="22" t="s">
        <v>275</v>
      </c>
      <c r="U492" s="22"/>
      <c r="V492" s="22" t="s">
        <v>61</v>
      </c>
      <c r="W492" s="22" t="s">
        <v>58</v>
      </c>
      <c r="X492" s="22" t="s">
        <v>58</v>
      </c>
      <c r="Y492" s="22" t="s">
        <v>58</v>
      </c>
      <c r="Z492" s="22" t="s">
        <v>58</v>
      </c>
      <c r="AA492" s="22" t="s">
        <v>58</v>
      </c>
      <c r="AB492" s="22" t="s">
        <v>58</v>
      </c>
      <c r="AC492" s="22" t="s">
        <v>58</v>
      </c>
      <c r="AD492" s="22" t="s">
        <v>58</v>
      </c>
      <c r="AE492" s="22" t="s">
        <v>61</v>
      </c>
      <c r="AF492" s="22" t="s">
        <v>61</v>
      </c>
      <c r="AG492" s="22" t="s">
        <v>58</v>
      </c>
      <c r="AH492" s="22">
        <v>100.0</v>
      </c>
      <c r="AI492" s="22">
        <v>10000.0</v>
      </c>
      <c r="AJ492" s="22">
        <v>100.0</v>
      </c>
      <c r="AK492" s="22">
        <v>0.0</v>
      </c>
      <c r="AL492" s="22"/>
      <c r="AM492" s="22"/>
      <c r="AN492" s="22"/>
      <c r="AO492" s="22"/>
    </row>
    <row r="493" ht="15.75" customHeight="1">
      <c r="A493" s="22">
        <v>485.0</v>
      </c>
      <c r="B493" s="22" t="s">
        <v>614</v>
      </c>
      <c r="C493" s="22" t="s">
        <v>615</v>
      </c>
      <c r="D493" s="24" t="s">
        <v>69</v>
      </c>
      <c r="E493" s="22" t="s">
        <v>49</v>
      </c>
      <c r="F493" s="24" t="s">
        <v>69</v>
      </c>
      <c r="G493" s="24" t="s">
        <v>69</v>
      </c>
      <c r="H493" s="22" t="s">
        <v>618</v>
      </c>
      <c r="I493" s="22" t="s">
        <v>148</v>
      </c>
      <c r="J493" s="22" t="s">
        <v>74</v>
      </c>
      <c r="K493" s="22" t="s">
        <v>55</v>
      </c>
      <c r="L493" s="22" t="s">
        <v>56</v>
      </c>
      <c r="M493" s="22" t="s">
        <v>57</v>
      </c>
      <c r="N493" s="22" t="s">
        <v>58</v>
      </c>
      <c r="O493" s="22">
        <v>750.0</v>
      </c>
      <c r="P493" s="22">
        <v>759.0</v>
      </c>
      <c r="Q493" s="22" t="s">
        <v>59</v>
      </c>
      <c r="R493" s="22" t="s">
        <v>58</v>
      </c>
      <c r="S493" s="22" t="s">
        <v>58</v>
      </c>
      <c r="T493" s="22"/>
      <c r="U493" s="22"/>
      <c r="V493" s="22" t="s">
        <v>61</v>
      </c>
      <c r="W493" s="22" t="s">
        <v>58</v>
      </c>
      <c r="X493" s="22" t="s">
        <v>58</v>
      </c>
      <c r="Y493" s="22" t="s">
        <v>58</v>
      </c>
      <c r="Z493" s="22" t="s">
        <v>58</v>
      </c>
      <c r="AA493" s="22" t="s">
        <v>58</v>
      </c>
      <c r="AB493" s="22" t="s">
        <v>58</v>
      </c>
      <c r="AC493" s="22" t="s">
        <v>58</v>
      </c>
      <c r="AD493" s="22" t="s">
        <v>58</v>
      </c>
      <c r="AE493" s="22" t="s">
        <v>61</v>
      </c>
      <c r="AF493" s="22" t="s">
        <v>61</v>
      </c>
      <c r="AG493" s="22" t="s">
        <v>58</v>
      </c>
      <c r="AH493" s="22">
        <v>10.0</v>
      </c>
      <c r="AI493" s="22">
        <v>700.0</v>
      </c>
      <c r="AJ493" s="22">
        <v>10.0</v>
      </c>
      <c r="AK493" s="22">
        <v>0.0</v>
      </c>
      <c r="AL493" s="22"/>
      <c r="AM493" s="22"/>
      <c r="AN493" s="22"/>
      <c r="AO493" s="22"/>
    </row>
    <row r="494" ht="15.75" customHeight="1">
      <c r="A494" s="15">
        <v>486.0</v>
      </c>
      <c r="B494" s="15" t="s">
        <v>3746</v>
      </c>
      <c r="C494" s="15" t="s">
        <v>3747</v>
      </c>
      <c r="D494" s="48" t="s">
        <v>3748</v>
      </c>
      <c r="E494" s="15" t="s">
        <v>49</v>
      </c>
      <c r="F494" s="49" t="s">
        <v>3749</v>
      </c>
      <c r="G494" s="15" t="s">
        <v>3751</v>
      </c>
      <c r="H494" s="15" t="s">
        <v>142</v>
      </c>
      <c r="I494" s="15" t="s">
        <v>144</v>
      </c>
      <c r="J494" s="15" t="s">
        <v>74</v>
      </c>
      <c r="K494" s="15" t="s">
        <v>55</v>
      </c>
      <c r="L494" s="15" t="s">
        <v>56</v>
      </c>
      <c r="M494" s="15" t="s">
        <v>57</v>
      </c>
      <c r="N494" s="15" t="s">
        <v>58</v>
      </c>
      <c r="O494" s="15">
        <v>1000.0</v>
      </c>
      <c r="P494" s="15">
        <v>1200.0</v>
      </c>
      <c r="Q494" s="15" t="s">
        <v>59</v>
      </c>
      <c r="R494" s="15" t="s">
        <v>58</v>
      </c>
      <c r="S494" s="15" t="s">
        <v>58</v>
      </c>
      <c r="T494" s="15"/>
      <c r="U494" s="15"/>
      <c r="V494" s="15" t="s">
        <v>61</v>
      </c>
      <c r="W494" s="15" t="s">
        <v>58</v>
      </c>
      <c r="X494" s="15" t="s">
        <v>58</v>
      </c>
      <c r="Y494" s="15" t="s">
        <v>58</v>
      </c>
      <c r="Z494" s="15" t="s">
        <v>58</v>
      </c>
      <c r="AA494" s="15" t="s">
        <v>58</v>
      </c>
      <c r="AB494" s="15" t="s">
        <v>58</v>
      </c>
      <c r="AC494" s="15" t="s">
        <v>58</v>
      </c>
      <c r="AD494" s="15" t="s">
        <v>58</v>
      </c>
      <c r="AE494" s="15" t="s">
        <v>61</v>
      </c>
      <c r="AF494" s="15" t="s">
        <v>61</v>
      </c>
      <c r="AG494" s="15" t="s">
        <v>58</v>
      </c>
      <c r="AH494" s="15">
        <v>250.0</v>
      </c>
      <c r="AI494" s="15">
        <v>3000.0</v>
      </c>
      <c r="AJ494" s="15">
        <v>250.0</v>
      </c>
      <c r="AK494" s="15">
        <v>0.0</v>
      </c>
      <c r="AL494" s="15"/>
      <c r="AM494" s="15"/>
      <c r="AN494" s="16" t="s">
        <v>757</v>
      </c>
      <c r="AO494" s="21">
        <v>2.0</v>
      </c>
    </row>
    <row r="495" ht="15.75" customHeight="1">
      <c r="A495" s="22">
        <v>487.0</v>
      </c>
      <c r="B495" s="22" t="s">
        <v>3567</v>
      </c>
      <c r="C495" s="22" t="s">
        <v>3568</v>
      </c>
      <c r="D495" s="66" t="s">
        <v>3752</v>
      </c>
      <c r="E495" s="22" t="s">
        <v>49</v>
      </c>
      <c r="F495" s="42" t="s">
        <v>3753</v>
      </c>
      <c r="G495" s="81" t="s">
        <v>3574</v>
      </c>
      <c r="H495" s="22" t="s">
        <v>513</v>
      </c>
      <c r="I495" s="22" t="s">
        <v>514</v>
      </c>
      <c r="J495" s="22" t="s">
        <v>74</v>
      </c>
      <c r="K495" s="22" t="s">
        <v>55</v>
      </c>
      <c r="L495" s="22" t="s">
        <v>56</v>
      </c>
      <c r="M495" s="22" t="s">
        <v>57</v>
      </c>
      <c r="N495" s="22" t="s">
        <v>58</v>
      </c>
      <c r="O495" s="22">
        <v>450.0</v>
      </c>
      <c r="P495" s="22">
        <v>550.0</v>
      </c>
      <c r="Q495" s="22" t="s">
        <v>59</v>
      </c>
      <c r="R495" s="22" t="s">
        <v>58</v>
      </c>
      <c r="S495" s="22" t="s">
        <v>58</v>
      </c>
      <c r="T495" s="22"/>
      <c r="U495" s="22"/>
      <c r="V495" s="22" t="s">
        <v>61</v>
      </c>
      <c r="W495" s="22" t="s">
        <v>58</v>
      </c>
      <c r="X495" s="22" t="s">
        <v>58</v>
      </c>
      <c r="Y495" s="22" t="s">
        <v>58</v>
      </c>
      <c r="Z495" s="22" t="s">
        <v>58</v>
      </c>
      <c r="AA495" s="22" t="s">
        <v>58</v>
      </c>
      <c r="AB495" s="22" t="s">
        <v>58</v>
      </c>
      <c r="AC495" s="22" t="s">
        <v>58</v>
      </c>
      <c r="AD495" s="22" t="s">
        <v>58</v>
      </c>
      <c r="AE495" s="22" t="s">
        <v>61</v>
      </c>
      <c r="AF495" s="22" t="s">
        <v>61</v>
      </c>
      <c r="AG495" s="22" t="s">
        <v>58</v>
      </c>
      <c r="AH495" s="22">
        <v>250.0</v>
      </c>
      <c r="AI495" s="22">
        <v>2500.0</v>
      </c>
      <c r="AJ495" s="22">
        <v>250.0</v>
      </c>
      <c r="AK495" s="22">
        <v>0.0</v>
      </c>
      <c r="AL495" s="22"/>
      <c r="AM495" s="22"/>
      <c r="AN495" s="22"/>
      <c r="AO495" s="22"/>
    </row>
    <row r="496" ht="15.75" customHeight="1">
      <c r="A496" s="15">
        <v>488.0</v>
      </c>
      <c r="B496" s="15" t="s">
        <v>3754</v>
      </c>
      <c r="C496" s="15" t="s">
        <v>3755</v>
      </c>
      <c r="D496" s="48" t="s">
        <v>3756</v>
      </c>
      <c r="E496" s="15" t="s">
        <v>49</v>
      </c>
      <c r="F496" s="49" t="s">
        <v>3757</v>
      </c>
      <c r="G496" s="15" t="s">
        <v>3758</v>
      </c>
      <c r="H496" s="15" t="s">
        <v>1385</v>
      </c>
      <c r="I496" s="15" t="s">
        <v>1386</v>
      </c>
      <c r="J496" s="15" t="s">
        <v>74</v>
      </c>
      <c r="K496" s="15" t="s">
        <v>55</v>
      </c>
      <c r="L496" s="15" t="s">
        <v>56</v>
      </c>
      <c r="M496" s="15" t="s">
        <v>57</v>
      </c>
      <c r="N496" s="15" t="s">
        <v>58</v>
      </c>
      <c r="O496" s="15">
        <v>300.0</v>
      </c>
      <c r="P496" s="15">
        <v>450.0</v>
      </c>
      <c r="Q496" s="15" t="s">
        <v>59</v>
      </c>
      <c r="R496" s="15" t="s">
        <v>58</v>
      </c>
      <c r="S496" s="15" t="s">
        <v>58</v>
      </c>
      <c r="T496" s="15"/>
      <c r="U496" s="15"/>
      <c r="V496" s="15" t="s">
        <v>61</v>
      </c>
      <c r="W496" s="15" t="s">
        <v>58</v>
      </c>
      <c r="X496" s="15" t="s">
        <v>58</v>
      </c>
      <c r="Y496" s="15" t="s">
        <v>58</v>
      </c>
      <c r="Z496" s="15" t="s">
        <v>58</v>
      </c>
      <c r="AA496" s="15" t="s">
        <v>58</v>
      </c>
      <c r="AB496" s="15" t="s">
        <v>58</v>
      </c>
      <c r="AC496" s="15" t="s">
        <v>58</v>
      </c>
      <c r="AD496" s="15" t="s">
        <v>58</v>
      </c>
      <c r="AE496" s="15" t="s">
        <v>61</v>
      </c>
      <c r="AF496" s="15" t="s">
        <v>61</v>
      </c>
      <c r="AG496" s="15" t="s">
        <v>58</v>
      </c>
      <c r="AH496" s="15">
        <v>50.0</v>
      </c>
      <c r="AI496" s="15">
        <v>1500.0</v>
      </c>
      <c r="AJ496" s="15">
        <v>50.0</v>
      </c>
      <c r="AK496" s="15">
        <v>0.0</v>
      </c>
      <c r="AL496" s="15"/>
      <c r="AM496" s="15"/>
      <c r="AN496" s="16" t="s">
        <v>757</v>
      </c>
      <c r="AO496" s="21">
        <v>2.0</v>
      </c>
    </row>
    <row r="497" ht="15.75" customHeight="1">
      <c r="A497" s="22">
        <v>489.0</v>
      </c>
      <c r="B497" s="22" t="s">
        <v>3760</v>
      </c>
      <c r="C497" s="22" t="s">
        <v>3761</v>
      </c>
      <c r="D497" s="66" t="s">
        <v>3762</v>
      </c>
      <c r="E497" s="22" t="s">
        <v>49</v>
      </c>
      <c r="F497" s="42" t="s">
        <v>3763</v>
      </c>
      <c r="G497" s="81" t="s">
        <v>3765</v>
      </c>
      <c r="H497" s="22" t="s">
        <v>142</v>
      </c>
      <c r="I497" s="22" t="s">
        <v>144</v>
      </c>
      <c r="J497" s="22" t="s">
        <v>74</v>
      </c>
      <c r="K497" s="22" t="s">
        <v>55</v>
      </c>
      <c r="L497" s="22" t="s">
        <v>56</v>
      </c>
      <c r="M497" s="22" t="s">
        <v>57</v>
      </c>
      <c r="N497" s="22" t="s">
        <v>58</v>
      </c>
      <c r="O497" s="22">
        <v>1000.0</v>
      </c>
      <c r="P497" s="22">
        <v>1500.0</v>
      </c>
      <c r="Q497" s="22" t="s">
        <v>59</v>
      </c>
      <c r="R497" s="22" t="s">
        <v>58</v>
      </c>
      <c r="S497" s="22" t="s">
        <v>58</v>
      </c>
      <c r="T497" s="22"/>
      <c r="U497" s="22"/>
      <c r="V497" s="22" t="s">
        <v>61</v>
      </c>
      <c r="W497" s="22" t="s">
        <v>58</v>
      </c>
      <c r="X497" s="22" t="s">
        <v>58</v>
      </c>
      <c r="Y497" s="22" t="s">
        <v>58</v>
      </c>
      <c r="Z497" s="22" t="s">
        <v>58</v>
      </c>
      <c r="AA497" s="22" t="s">
        <v>58</v>
      </c>
      <c r="AB497" s="22" t="s">
        <v>58</v>
      </c>
      <c r="AC497" s="22" t="s">
        <v>58</v>
      </c>
      <c r="AD497" s="22" t="s">
        <v>58</v>
      </c>
      <c r="AE497" s="22" t="s">
        <v>61</v>
      </c>
      <c r="AF497" s="22" t="s">
        <v>61</v>
      </c>
      <c r="AG497" s="22" t="s">
        <v>58</v>
      </c>
      <c r="AH497" s="22">
        <v>350.0</v>
      </c>
      <c r="AI497" s="22">
        <v>5000.0</v>
      </c>
      <c r="AJ497" s="22">
        <v>350.0</v>
      </c>
      <c r="AK497" s="22">
        <v>0.0</v>
      </c>
      <c r="AL497" s="22"/>
      <c r="AM497" s="22"/>
      <c r="AN497" s="22"/>
      <c r="AO497" s="22"/>
    </row>
    <row r="498" ht="15.75" customHeight="1">
      <c r="A498" s="22">
        <v>490.0</v>
      </c>
      <c r="B498" s="22" t="s">
        <v>934</v>
      </c>
      <c r="C498" s="22" t="s">
        <v>935</v>
      </c>
      <c r="D498" s="22" t="s">
        <v>937</v>
      </c>
      <c r="E498" s="22" t="s">
        <v>49</v>
      </c>
      <c r="F498" s="42" t="s">
        <v>3766</v>
      </c>
      <c r="G498" s="122" t="s">
        <v>3767</v>
      </c>
      <c r="H498" s="22" t="s">
        <v>938</v>
      </c>
      <c r="I498" s="22" t="s">
        <v>939</v>
      </c>
      <c r="J498" s="22" t="s">
        <v>939</v>
      </c>
      <c r="K498" s="22" t="s">
        <v>55</v>
      </c>
      <c r="L498" s="22" t="s">
        <v>56</v>
      </c>
      <c r="M498" s="22" t="s">
        <v>57</v>
      </c>
      <c r="N498" s="22" t="s">
        <v>58</v>
      </c>
      <c r="O498" s="22">
        <v>250.0</v>
      </c>
      <c r="P498" s="22">
        <v>350.0</v>
      </c>
      <c r="Q498" s="22" t="s">
        <v>59</v>
      </c>
      <c r="R498" s="22" t="s">
        <v>58</v>
      </c>
      <c r="S498" s="22" t="s">
        <v>58</v>
      </c>
      <c r="T498" s="22" t="s">
        <v>275</v>
      </c>
      <c r="U498" s="22"/>
      <c r="V498" s="22" t="s">
        <v>61</v>
      </c>
      <c r="W498" s="22" t="s">
        <v>58</v>
      </c>
      <c r="X498" s="22" t="s">
        <v>58</v>
      </c>
      <c r="Y498" s="22" t="s">
        <v>58</v>
      </c>
      <c r="Z498" s="22" t="s">
        <v>58</v>
      </c>
      <c r="AA498" s="22" t="s">
        <v>58</v>
      </c>
      <c r="AB498" s="22" t="s">
        <v>58</v>
      </c>
      <c r="AC498" s="22" t="s">
        <v>58</v>
      </c>
      <c r="AD498" s="22" t="s">
        <v>58</v>
      </c>
      <c r="AE498" s="22" t="s">
        <v>61</v>
      </c>
      <c r="AF498" s="22" t="s">
        <v>61</v>
      </c>
      <c r="AG498" s="22" t="s">
        <v>58</v>
      </c>
      <c r="AH498" s="22">
        <v>12000.0</v>
      </c>
      <c r="AI498" s="22">
        <v>25.0</v>
      </c>
      <c r="AJ498" s="22">
        <v>12000.0</v>
      </c>
      <c r="AK498" s="22">
        <v>0.0</v>
      </c>
      <c r="AL498" s="22"/>
      <c r="AM498" s="22"/>
      <c r="AN498" s="22"/>
      <c r="AO498" s="22"/>
    </row>
    <row r="499" ht="15.75" customHeight="1">
      <c r="A499" s="22">
        <v>491.0</v>
      </c>
      <c r="B499" s="22" t="s">
        <v>1357</v>
      </c>
      <c r="C499" s="22" t="s">
        <v>1358</v>
      </c>
      <c r="D499" s="66" t="s">
        <v>1359</v>
      </c>
      <c r="E499" s="22" t="s">
        <v>49</v>
      </c>
      <c r="F499" s="24" t="s">
        <v>69</v>
      </c>
      <c r="G499" s="54" t="s">
        <v>69</v>
      </c>
      <c r="H499" s="22" t="s">
        <v>397</v>
      </c>
      <c r="I499" s="22" t="s">
        <v>398</v>
      </c>
      <c r="J499" s="22" t="s">
        <v>398</v>
      </c>
      <c r="K499" s="22" t="s">
        <v>55</v>
      </c>
      <c r="L499" s="22" t="s">
        <v>56</v>
      </c>
      <c r="M499" s="22" t="s">
        <v>57</v>
      </c>
      <c r="N499" s="22" t="s">
        <v>58</v>
      </c>
      <c r="O499" s="22">
        <v>600.0</v>
      </c>
      <c r="P499" s="22">
        <v>750.0</v>
      </c>
      <c r="Q499" s="22" t="s">
        <v>59</v>
      </c>
      <c r="R499" s="22" t="s">
        <v>58</v>
      </c>
      <c r="S499" s="22" t="s">
        <v>58</v>
      </c>
      <c r="T499" s="22"/>
      <c r="U499" s="22"/>
      <c r="V499" s="22" t="s">
        <v>61</v>
      </c>
      <c r="W499" s="22" t="s">
        <v>58</v>
      </c>
      <c r="X499" s="22" t="s">
        <v>58</v>
      </c>
      <c r="Y499" s="22" t="s">
        <v>58</v>
      </c>
      <c r="Z499" s="22" t="s">
        <v>58</v>
      </c>
      <c r="AA499" s="22" t="s">
        <v>58</v>
      </c>
      <c r="AB499" s="22" t="s">
        <v>58</v>
      </c>
      <c r="AC499" s="22" t="s">
        <v>58</v>
      </c>
      <c r="AD499" s="22" t="s">
        <v>58</v>
      </c>
      <c r="AE499" s="22" t="s">
        <v>61</v>
      </c>
      <c r="AF499" s="22" t="s">
        <v>61</v>
      </c>
      <c r="AG499" s="22" t="s">
        <v>58</v>
      </c>
      <c r="AH499" s="22">
        <v>50.0</v>
      </c>
      <c r="AI499" s="22">
        <v>5000.0</v>
      </c>
      <c r="AJ499" s="22">
        <v>50.0</v>
      </c>
      <c r="AK499" s="22">
        <v>0.0</v>
      </c>
      <c r="AL499" s="22"/>
      <c r="AM499" s="22"/>
      <c r="AN499" s="22"/>
      <c r="AO499" s="22"/>
    </row>
    <row r="500" ht="15.75" customHeight="1">
      <c r="A500" s="22">
        <v>492.0</v>
      </c>
      <c r="B500" s="22" t="s">
        <v>3768</v>
      </c>
      <c r="C500" s="22" t="s">
        <v>3769</v>
      </c>
      <c r="D500" s="22" t="s">
        <v>3770</v>
      </c>
      <c r="E500" s="22" t="s">
        <v>49</v>
      </c>
      <c r="F500" s="42" t="s">
        <v>3771</v>
      </c>
      <c r="G500" s="81" t="s">
        <v>3774</v>
      </c>
      <c r="H500" s="22" t="s">
        <v>303</v>
      </c>
      <c r="I500" s="22" t="s">
        <v>303</v>
      </c>
      <c r="J500" s="22" t="s">
        <v>74</v>
      </c>
      <c r="K500" s="22" t="s">
        <v>55</v>
      </c>
      <c r="L500" s="22" t="s">
        <v>56</v>
      </c>
      <c r="M500" s="22" t="s">
        <v>57</v>
      </c>
      <c r="N500" s="22" t="s">
        <v>58</v>
      </c>
      <c r="O500" s="22">
        <v>300.0</v>
      </c>
      <c r="P500" s="22">
        <v>400.0</v>
      </c>
      <c r="Q500" s="22" t="s">
        <v>59</v>
      </c>
      <c r="R500" s="22" t="s">
        <v>58</v>
      </c>
      <c r="S500" s="22" t="s">
        <v>58</v>
      </c>
      <c r="T500" s="22" t="s">
        <v>948</v>
      </c>
      <c r="U500" s="22"/>
      <c r="V500" s="22" t="s">
        <v>61</v>
      </c>
      <c r="W500" s="22" t="s">
        <v>58</v>
      </c>
      <c r="X500" s="22" t="s">
        <v>58</v>
      </c>
      <c r="Y500" s="22" t="s">
        <v>58</v>
      </c>
      <c r="Z500" s="22" t="s">
        <v>58</v>
      </c>
      <c r="AA500" s="22" t="s">
        <v>58</v>
      </c>
      <c r="AB500" s="22" t="s">
        <v>58</v>
      </c>
      <c r="AC500" s="22" t="s">
        <v>58</v>
      </c>
      <c r="AD500" s="22" t="s">
        <v>58</v>
      </c>
      <c r="AE500" s="22" t="s">
        <v>61</v>
      </c>
      <c r="AF500" s="22" t="s">
        <v>61</v>
      </c>
      <c r="AG500" s="22" t="s">
        <v>58</v>
      </c>
      <c r="AH500" s="22">
        <v>0.0</v>
      </c>
      <c r="AI500" s="22">
        <v>0.0</v>
      </c>
      <c r="AJ500" s="22">
        <v>0.0</v>
      </c>
      <c r="AK500" s="22">
        <v>0.0</v>
      </c>
      <c r="AL500" s="22"/>
      <c r="AM500" s="22"/>
      <c r="AN500" s="22"/>
      <c r="AO500" s="22"/>
    </row>
    <row r="501" ht="15.75" customHeight="1">
      <c r="A501" s="22">
        <v>493.0</v>
      </c>
      <c r="B501" s="22" t="s">
        <v>3776</v>
      </c>
      <c r="C501" s="22" t="s">
        <v>3777</v>
      </c>
      <c r="D501" s="66" t="s">
        <v>3778</v>
      </c>
      <c r="E501" s="22" t="s">
        <v>49</v>
      </c>
      <c r="F501" s="24" t="s">
        <v>69</v>
      </c>
      <c r="G501" s="24" t="s">
        <v>69</v>
      </c>
      <c r="H501" s="22" t="s">
        <v>513</v>
      </c>
      <c r="I501" s="22" t="s">
        <v>514</v>
      </c>
      <c r="J501" s="22" t="s">
        <v>74</v>
      </c>
      <c r="K501" s="22" t="s">
        <v>55</v>
      </c>
      <c r="L501" s="22" t="s">
        <v>56</v>
      </c>
      <c r="M501" s="22" t="s">
        <v>57</v>
      </c>
      <c r="N501" s="22" t="s">
        <v>58</v>
      </c>
      <c r="O501" s="22">
        <v>950.0</v>
      </c>
      <c r="P501" s="22">
        <v>1150.0</v>
      </c>
      <c r="Q501" s="22" t="s">
        <v>59</v>
      </c>
      <c r="R501" s="22" t="s">
        <v>58</v>
      </c>
      <c r="S501" s="22" t="s">
        <v>58</v>
      </c>
      <c r="T501" s="22"/>
      <c r="U501" s="22"/>
      <c r="V501" s="22" t="s">
        <v>61</v>
      </c>
      <c r="W501" s="22" t="s">
        <v>58</v>
      </c>
      <c r="X501" s="22" t="s">
        <v>58</v>
      </c>
      <c r="Y501" s="22" t="s">
        <v>58</v>
      </c>
      <c r="Z501" s="22" t="s">
        <v>58</v>
      </c>
      <c r="AA501" s="22" t="s">
        <v>58</v>
      </c>
      <c r="AB501" s="22" t="s">
        <v>58</v>
      </c>
      <c r="AC501" s="22" t="s">
        <v>58</v>
      </c>
      <c r="AD501" s="22" t="s">
        <v>58</v>
      </c>
      <c r="AE501" s="22" t="s">
        <v>61</v>
      </c>
      <c r="AF501" s="22" t="s">
        <v>61</v>
      </c>
      <c r="AG501" s="22" t="s">
        <v>58</v>
      </c>
      <c r="AH501" s="22">
        <v>100.0</v>
      </c>
      <c r="AI501" s="22">
        <v>500.0</v>
      </c>
      <c r="AJ501" s="22">
        <v>100.0</v>
      </c>
      <c r="AK501" s="22">
        <v>0.0</v>
      </c>
      <c r="AL501" s="22"/>
      <c r="AM501" s="22"/>
      <c r="AN501" s="22"/>
      <c r="AO501" s="22"/>
    </row>
    <row r="502" ht="15.75" customHeight="1">
      <c r="A502" s="22">
        <v>494.0</v>
      </c>
      <c r="B502" s="22" t="s">
        <v>700</v>
      </c>
      <c r="C502" s="22" t="s">
        <v>701</v>
      </c>
      <c r="D502" s="66" t="s">
        <v>702</v>
      </c>
      <c r="E502" s="22" t="s">
        <v>49</v>
      </c>
      <c r="F502" s="42" t="s">
        <v>3780</v>
      </c>
      <c r="G502" s="81" t="s">
        <v>3782</v>
      </c>
      <c r="H502" s="22" t="s">
        <v>147</v>
      </c>
      <c r="I502" s="22" t="s">
        <v>148</v>
      </c>
      <c r="J502" s="22" t="s">
        <v>148</v>
      </c>
      <c r="K502" s="22" t="s">
        <v>55</v>
      </c>
      <c r="L502" s="22" t="s">
        <v>56</v>
      </c>
      <c r="M502" s="22" t="s">
        <v>57</v>
      </c>
      <c r="N502" s="22" t="s">
        <v>58</v>
      </c>
      <c r="O502" s="22">
        <v>1000.0</v>
      </c>
      <c r="P502" s="22">
        <v>1500.0</v>
      </c>
      <c r="Q502" s="22" t="s">
        <v>59</v>
      </c>
      <c r="R502" s="22" t="s">
        <v>58</v>
      </c>
      <c r="S502" s="22" t="s">
        <v>58</v>
      </c>
      <c r="T502" s="22"/>
      <c r="U502" s="22"/>
      <c r="V502" s="22" t="s">
        <v>61</v>
      </c>
      <c r="W502" s="22" t="s">
        <v>58</v>
      </c>
      <c r="X502" s="22" t="s">
        <v>58</v>
      </c>
      <c r="Y502" s="22" t="s">
        <v>58</v>
      </c>
      <c r="Z502" s="22" t="s">
        <v>58</v>
      </c>
      <c r="AA502" s="22" t="s">
        <v>58</v>
      </c>
      <c r="AB502" s="22" t="s">
        <v>58</v>
      </c>
      <c r="AC502" s="22" t="s">
        <v>58</v>
      </c>
      <c r="AD502" s="22" t="s">
        <v>58</v>
      </c>
      <c r="AE502" s="22" t="s">
        <v>61</v>
      </c>
      <c r="AF502" s="22" t="s">
        <v>61</v>
      </c>
      <c r="AG502" s="22" t="s">
        <v>58</v>
      </c>
      <c r="AH502" s="22">
        <v>100.0</v>
      </c>
      <c r="AI502" s="22">
        <v>1000.0</v>
      </c>
      <c r="AJ502" s="22">
        <v>100.0</v>
      </c>
      <c r="AK502" s="22">
        <v>0.0</v>
      </c>
      <c r="AL502" s="22"/>
      <c r="AM502" s="22"/>
      <c r="AN502" s="22"/>
      <c r="AO502" s="22"/>
    </row>
    <row r="503" ht="44.25" customHeight="1">
      <c r="A503" s="22">
        <v>495.0</v>
      </c>
      <c r="B503" s="22" t="s">
        <v>3785</v>
      </c>
      <c r="C503" s="22" t="s">
        <v>3786</v>
      </c>
      <c r="D503" s="22" t="s">
        <v>3787</v>
      </c>
      <c r="E503" s="22" t="s">
        <v>49</v>
      </c>
      <c r="F503" s="42" t="s">
        <v>3788</v>
      </c>
      <c r="G503" s="24" t="s">
        <v>69</v>
      </c>
      <c r="H503" s="22" t="s">
        <v>303</v>
      </c>
      <c r="I503" s="22" t="s">
        <v>303</v>
      </c>
      <c r="J503" s="22" t="s">
        <v>74</v>
      </c>
      <c r="K503" s="22" t="s">
        <v>55</v>
      </c>
      <c r="L503" s="22" t="s">
        <v>56</v>
      </c>
      <c r="M503" s="22" t="s">
        <v>57</v>
      </c>
      <c r="N503" s="22" t="s">
        <v>58</v>
      </c>
      <c r="O503" s="22">
        <v>1000.0</v>
      </c>
      <c r="P503" s="22">
        <v>1200.0</v>
      </c>
      <c r="Q503" s="22" t="s">
        <v>59</v>
      </c>
      <c r="R503" s="22" t="s">
        <v>58</v>
      </c>
      <c r="S503" s="22" t="s">
        <v>58</v>
      </c>
      <c r="T503" s="24" t="s">
        <v>3791</v>
      </c>
      <c r="U503" s="22"/>
      <c r="V503" s="22" t="s">
        <v>61</v>
      </c>
      <c r="W503" s="22" t="s">
        <v>58</v>
      </c>
      <c r="X503" s="22" t="s">
        <v>58</v>
      </c>
      <c r="Y503" s="22" t="s">
        <v>58</v>
      </c>
      <c r="Z503" s="22" t="s">
        <v>58</v>
      </c>
      <c r="AA503" s="22" t="s">
        <v>58</v>
      </c>
      <c r="AB503" s="22" t="s">
        <v>58</v>
      </c>
      <c r="AC503" s="22" t="s">
        <v>58</v>
      </c>
      <c r="AD503" s="22" t="s">
        <v>58</v>
      </c>
      <c r="AE503" s="22" t="s">
        <v>61</v>
      </c>
      <c r="AF503" s="22" t="s">
        <v>61</v>
      </c>
      <c r="AG503" s="22" t="s">
        <v>58</v>
      </c>
      <c r="AH503" s="22">
        <v>0.0</v>
      </c>
      <c r="AI503" s="22">
        <v>0.0</v>
      </c>
      <c r="AJ503" s="22">
        <v>0.0</v>
      </c>
      <c r="AK503" s="22">
        <v>0.0</v>
      </c>
      <c r="AL503" s="22"/>
      <c r="AM503" s="22"/>
      <c r="AN503" s="22"/>
      <c r="AO503" s="22"/>
    </row>
    <row r="504" ht="15.75" customHeight="1">
      <c r="A504" s="22">
        <v>496.0</v>
      </c>
      <c r="B504" s="22" t="s">
        <v>3792</v>
      </c>
      <c r="C504" s="22" t="s">
        <v>3793</v>
      </c>
      <c r="D504" s="66" t="s">
        <v>3794</v>
      </c>
      <c r="E504" s="22" t="s">
        <v>49</v>
      </c>
      <c r="F504" s="42" t="s">
        <v>3795</v>
      </c>
      <c r="G504" s="71" t="s">
        <v>3796</v>
      </c>
      <c r="H504" s="22" t="s">
        <v>2064</v>
      </c>
      <c r="I504" s="22" t="s">
        <v>2065</v>
      </c>
      <c r="J504" s="22" t="s">
        <v>74</v>
      </c>
      <c r="K504" s="22" t="s">
        <v>55</v>
      </c>
      <c r="L504" s="22" t="s">
        <v>56</v>
      </c>
      <c r="M504" s="22" t="s">
        <v>57</v>
      </c>
      <c r="N504" s="22" t="s">
        <v>58</v>
      </c>
      <c r="O504" s="22">
        <v>300.0</v>
      </c>
      <c r="P504" s="22">
        <v>600.0</v>
      </c>
      <c r="Q504" s="22" t="s">
        <v>59</v>
      </c>
      <c r="R504" s="22" t="s">
        <v>58</v>
      </c>
      <c r="S504" s="22" t="s">
        <v>58</v>
      </c>
      <c r="T504" s="22"/>
      <c r="U504" s="22"/>
      <c r="V504" s="22" t="s">
        <v>61</v>
      </c>
      <c r="W504" s="22" t="s">
        <v>58</v>
      </c>
      <c r="X504" s="22" t="s">
        <v>58</v>
      </c>
      <c r="Y504" s="22" t="s">
        <v>58</v>
      </c>
      <c r="Z504" s="22" t="s">
        <v>58</v>
      </c>
      <c r="AA504" s="22" t="s">
        <v>58</v>
      </c>
      <c r="AB504" s="22" t="s">
        <v>58</v>
      </c>
      <c r="AC504" s="22" t="s">
        <v>58</v>
      </c>
      <c r="AD504" s="22" t="s">
        <v>58</v>
      </c>
      <c r="AE504" s="22" t="s">
        <v>61</v>
      </c>
      <c r="AF504" s="22" t="s">
        <v>61</v>
      </c>
      <c r="AG504" s="22" t="s">
        <v>58</v>
      </c>
      <c r="AH504" s="22">
        <v>50.0</v>
      </c>
      <c r="AI504" s="22">
        <v>2500.0</v>
      </c>
      <c r="AJ504" s="22">
        <v>50.0</v>
      </c>
      <c r="AK504" s="22">
        <v>0.0</v>
      </c>
      <c r="AL504" s="22"/>
      <c r="AM504" s="22"/>
      <c r="AN504" s="22"/>
      <c r="AO504" s="22"/>
    </row>
    <row r="505" ht="15.75" customHeight="1">
      <c r="A505" s="22">
        <v>497.0</v>
      </c>
      <c r="B505" s="22" t="s">
        <v>1004</v>
      </c>
      <c r="C505" s="22" t="s">
        <v>1005</v>
      </c>
      <c r="D505" s="22"/>
      <c r="E505" s="22" t="s">
        <v>49</v>
      </c>
      <c r="F505" s="88" t="s">
        <v>3802</v>
      </c>
      <c r="G505" s="22"/>
      <c r="H505" s="22" t="s">
        <v>75</v>
      </c>
      <c r="I505" s="22" t="s">
        <v>76</v>
      </c>
      <c r="J505" s="22" t="s">
        <v>76</v>
      </c>
      <c r="K505" s="22" t="s">
        <v>55</v>
      </c>
      <c r="L505" s="22" t="s">
        <v>56</v>
      </c>
      <c r="M505" s="22" t="s">
        <v>57</v>
      </c>
      <c r="N505" s="22" t="s">
        <v>58</v>
      </c>
      <c r="O505" s="22">
        <v>1499.0</v>
      </c>
      <c r="P505" s="22">
        <v>1799.0</v>
      </c>
      <c r="Q505" s="22" t="s">
        <v>59</v>
      </c>
      <c r="R505" s="22" t="s">
        <v>58</v>
      </c>
      <c r="S505" s="22" t="s">
        <v>58</v>
      </c>
      <c r="T505" s="22"/>
      <c r="U505" s="22"/>
      <c r="V505" s="22" t="s">
        <v>61</v>
      </c>
      <c r="W505" s="22" t="s">
        <v>58</v>
      </c>
      <c r="X505" s="22" t="s">
        <v>58</v>
      </c>
      <c r="Y505" s="22" t="s">
        <v>58</v>
      </c>
      <c r="Z505" s="22" t="s">
        <v>58</v>
      </c>
      <c r="AA505" s="22" t="s">
        <v>58</v>
      </c>
      <c r="AB505" s="22" t="s">
        <v>58</v>
      </c>
      <c r="AC505" s="22" t="s">
        <v>58</v>
      </c>
      <c r="AD505" s="22" t="s">
        <v>58</v>
      </c>
      <c r="AE505" s="22" t="s">
        <v>61</v>
      </c>
      <c r="AF505" s="22" t="s">
        <v>61</v>
      </c>
      <c r="AG505" s="22" t="s">
        <v>58</v>
      </c>
      <c r="AH505" s="22">
        <v>30.0</v>
      </c>
      <c r="AI505" s="22">
        <v>500.0</v>
      </c>
      <c r="AJ505" s="22">
        <v>30.0</v>
      </c>
      <c r="AK505" s="22">
        <v>0.0</v>
      </c>
      <c r="AL505" s="22"/>
      <c r="AM505" s="22"/>
      <c r="AN505" s="24" t="s">
        <v>65</v>
      </c>
      <c r="AO505" s="22"/>
    </row>
    <row r="506" ht="15.75" customHeight="1">
      <c r="A506" s="22">
        <v>498.0</v>
      </c>
      <c r="B506" s="22" t="s">
        <v>3806</v>
      </c>
      <c r="C506" s="22" t="s">
        <v>3807</v>
      </c>
      <c r="D506" s="66" t="s">
        <v>3808</v>
      </c>
      <c r="E506" s="22" t="s">
        <v>49</v>
      </c>
      <c r="F506" s="42" t="s">
        <v>3809</v>
      </c>
      <c r="G506" s="24" t="s">
        <v>69</v>
      </c>
      <c r="H506" s="22" t="s">
        <v>2801</v>
      </c>
      <c r="I506" s="22" t="s">
        <v>2802</v>
      </c>
      <c r="J506" s="22" t="s">
        <v>74</v>
      </c>
      <c r="K506" s="22" t="s">
        <v>55</v>
      </c>
      <c r="L506" s="22" t="s">
        <v>56</v>
      </c>
      <c r="M506" s="22" t="s">
        <v>57</v>
      </c>
      <c r="N506" s="22" t="s">
        <v>58</v>
      </c>
      <c r="O506" s="22">
        <v>1100.0</v>
      </c>
      <c r="P506" s="22"/>
      <c r="Q506" s="22" t="s">
        <v>59</v>
      </c>
      <c r="R506" s="22" t="s">
        <v>58</v>
      </c>
      <c r="S506" s="22" t="s">
        <v>58</v>
      </c>
      <c r="T506" s="22"/>
      <c r="U506" s="22"/>
      <c r="V506" s="22" t="s">
        <v>61</v>
      </c>
      <c r="W506" s="22" t="s">
        <v>58</v>
      </c>
      <c r="X506" s="22" t="s">
        <v>58</v>
      </c>
      <c r="Y506" s="22" t="s">
        <v>58</v>
      </c>
      <c r="Z506" s="22" t="s">
        <v>58</v>
      </c>
      <c r="AA506" s="22" t="s">
        <v>58</v>
      </c>
      <c r="AB506" s="22" t="s">
        <v>58</v>
      </c>
      <c r="AC506" s="22" t="s">
        <v>58</v>
      </c>
      <c r="AD506" s="22" t="s">
        <v>58</v>
      </c>
      <c r="AE506" s="22" t="s">
        <v>61</v>
      </c>
      <c r="AF506" s="22" t="s">
        <v>61</v>
      </c>
      <c r="AG506" s="22" t="s">
        <v>58</v>
      </c>
      <c r="AH506" s="22">
        <v>100.0</v>
      </c>
      <c r="AI506" s="22">
        <v>500.0</v>
      </c>
      <c r="AJ506" s="22">
        <v>100.0</v>
      </c>
      <c r="AK506" s="22">
        <v>0.0</v>
      </c>
      <c r="AL506" s="22"/>
      <c r="AM506" s="22"/>
      <c r="AN506" s="22"/>
      <c r="AO506" s="22"/>
    </row>
    <row r="507" ht="41.25" customHeight="1">
      <c r="A507" s="22">
        <v>499.0</v>
      </c>
      <c r="B507" s="22" t="s">
        <v>3811</v>
      </c>
      <c r="C507" s="22" t="s">
        <v>3812</v>
      </c>
      <c r="D507" s="64" t="s">
        <v>3813</v>
      </c>
      <c r="E507" s="22" t="s">
        <v>49</v>
      </c>
      <c r="F507" s="42" t="s">
        <v>3815</v>
      </c>
      <c r="G507" s="71" t="s">
        <v>3816</v>
      </c>
      <c r="H507" s="22" t="s">
        <v>142</v>
      </c>
      <c r="I507" s="22" t="s">
        <v>144</v>
      </c>
      <c r="J507" s="22" t="s">
        <v>74</v>
      </c>
      <c r="K507" s="22" t="s">
        <v>55</v>
      </c>
      <c r="L507" s="22" t="s">
        <v>56</v>
      </c>
      <c r="M507" s="22" t="s">
        <v>57</v>
      </c>
      <c r="N507" s="22" t="s">
        <v>58</v>
      </c>
      <c r="O507" s="22">
        <v>300.0</v>
      </c>
      <c r="P507" s="22">
        <v>500.0</v>
      </c>
      <c r="Q507" s="22" t="s">
        <v>59</v>
      </c>
      <c r="R507" s="22" t="s">
        <v>58</v>
      </c>
      <c r="S507" s="22" t="s">
        <v>58</v>
      </c>
      <c r="T507" s="22"/>
      <c r="U507" s="22"/>
      <c r="V507" s="22" t="s">
        <v>61</v>
      </c>
      <c r="W507" s="22" t="s">
        <v>58</v>
      </c>
      <c r="X507" s="22" t="s">
        <v>58</v>
      </c>
      <c r="Y507" s="22" t="s">
        <v>58</v>
      </c>
      <c r="Z507" s="22" t="s">
        <v>58</v>
      </c>
      <c r="AA507" s="22" t="s">
        <v>58</v>
      </c>
      <c r="AB507" s="22" t="s">
        <v>58</v>
      </c>
      <c r="AC507" s="22" t="s">
        <v>58</v>
      </c>
      <c r="AD507" s="22" t="s">
        <v>58</v>
      </c>
      <c r="AE507" s="22" t="s">
        <v>61</v>
      </c>
      <c r="AF507" s="22" t="s">
        <v>61</v>
      </c>
      <c r="AG507" s="22" t="s">
        <v>58</v>
      </c>
      <c r="AH507" s="22">
        <v>100.0</v>
      </c>
      <c r="AI507" s="22">
        <v>5000.0</v>
      </c>
      <c r="AJ507" s="22">
        <v>100.0</v>
      </c>
      <c r="AK507" s="22">
        <v>0.0</v>
      </c>
      <c r="AL507" s="22"/>
      <c r="AM507" s="22"/>
      <c r="AN507" s="22"/>
      <c r="AO507" s="22"/>
    </row>
    <row r="508" ht="15.75" customHeight="1">
      <c r="A508" s="22">
        <v>500.0</v>
      </c>
      <c r="B508" s="22" t="s">
        <v>3818</v>
      </c>
      <c r="C508" s="22" t="s">
        <v>3819</v>
      </c>
      <c r="D508" s="66" t="s">
        <v>3820</v>
      </c>
      <c r="E508" s="22" t="s">
        <v>49</v>
      </c>
      <c r="F508" s="24" t="s">
        <v>69</v>
      </c>
      <c r="G508" s="24" t="s">
        <v>69</v>
      </c>
      <c r="H508" s="22" t="s">
        <v>860</v>
      </c>
      <c r="I508" s="22" t="s">
        <v>861</v>
      </c>
      <c r="J508" s="22" t="s">
        <v>74</v>
      </c>
      <c r="K508" s="22" t="s">
        <v>55</v>
      </c>
      <c r="L508" s="22" t="s">
        <v>56</v>
      </c>
      <c r="M508" s="22" t="s">
        <v>57</v>
      </c>
      <c r="N508" s="22" t="s">
        <v>58</v>
      </c>
      <c r="O508" s="22">
        <v>1200.0</v>
      </c>
      <c r="P508" s="22">
        <v>1600.0</v>
      </c>
      <c r="Q508" s="22" t="s">
        <v>59</v>
      </c>
      <c r="R508" s="22" t="s">
        <v>58</v>
      </c>
      <c r="S508" s="22" t="s">
        <v>58</v>
      </c>
      <c r="T508" s="22"/>
      <c r="U508" s="22"/>
      <c r="V508" s="22" t="s">
        <v>61</v>
      </c>
      <c r="W508" s="22" t="s">
        <v>58</v>
      </c>
      <c r="X508" s="22" t="s">
        <v>58</v>
      </c>
      <c r="Y508" s="22" t="s">
        <v>58</v>
      </c>
      <c r="Z508" s="22" t="s">
        <v>58</v>
      </c>
      <c r="AA508" s="22" t="s">
        <v>58</v>
      </c>
      <c r="AB508" s="22" t="s">
        <v>58</v>
      </c>
      <c r="AC508" s="22" t="s">
        <v>58</v>
      </c>
      <c r="AD508" s="22" t="s">
        <v>58</v>
      </c>
      <c r="AE508" s="22" t="s">
        <v>61</v>
      </c>
      <c r="AF508" s="22" t="s">
        <v>61</v>
      </c>
      <c r="AG508" s="22" t="s">
        <v>58</v>
      </c>
      <c r="AH508" s="22">
        <v>100.0</v>
      </c>
      <c r="AI508" s="22">
        <v>1000.0</v>
      </c>
      <c r="AJ508" s="22">
        <v>100.0</v>
      </c>
      <c r="AK508" s="22">
        <v>0.0</v>
      </c>
      <c r="AL508" s="22"/>
      <c r="AM508" s="22"/>
      <c r="AN508" s="22"/>
      <c r="AO508" s="22"/>
    </row>
    <row r="509" ht="15.75" customHeight="1">
      <c r="A509" s="22">
        <v>501.0</v>
      </c>
      <c r="B509" s="22" t="s">
        <v>554</v>
      </c>
      <c r="C509" s="22" t="s">
        <v>555</v>
      </c>
      <c r="D509" s="66" t="s">
        <v>3825</v>
      </c>
      <c r="E509" s="22" t="s">
        <v>49</v>
      </c>
      <c r="F509" s="42" t="s">
        <v>3826</v>
      </c>
      <c r="G509" s="71" t="s">
        <v>3827</v>
      </c>
      <c r="H509" s="22" t="s">
        <v>147</v>
      </c>
      <c r="I509" s="22" t="s">
        <v>148</v>
      </c>
      <c r="J509" s="22" t="s">
        <v>148</v>
      </c>
      <c r="K509" s="22" t="s">
        <v>55</v>
      </c>
      <c r="L509" s="22" t="s">
        <v>56</v>
      </c>
      <c r="M509" s="22" t="s">
        <v>57</v>
      </c>
      <c r="N509" s="22" t="s">
        <v>58</v>
      </c>
      <c r="O509" s="22">
        <v>350.0</v>
      </c>
      <c r="P509" s="22">
        <v>600.0</v>
      </c>
      <c r="Q509" s="22" t="s">
        <v>59</v>
      </c>
      <c r="R509" s="22" t="s">
        <v>58</v>
      </c>
      <c r="S509" s="22" t="s">
        <v>58</v>
      </c>
      <c r="T509" s="22"/>
      <c r="U509" s="22"/>
      <c r="V509" s="22" t="s">
        <v>61</v>
      </c>
      <c r="W509" s="22" t="s">
        <v>58</v>
      </c>
      <c r="X509" s="22" t="s">
        <v>58</v>
      </c>
      <c r="Y509" s="22" t="s">
        <v>58</v>
      </c>
      <c r="Z509" s="22" t="s">
        <v>58</v>
      </c>
      <c r="AA509" s="22" t="s">
        <v>58</v>
      </c>
      <c r="AB509" s="22" t="s">
        <v>58</v>
      </c>
      <c r="AC509" s="22" t="s">
        <v>58</v>
      </c>
      <c r="AD509" s="22" t="s">
        <v>58</v>
      </c>
      <c r="AE509" s="22" t="s">
        <v>61</v>
      </c>
      <c r="AF509" s="22" t="s">
        <v>61</v>
      </c>
      <c r="AG509" s="22" t="s">
        <v>58</v>
      </c>
      <c r="AH509" s="22">
        <v>50.0</v>
      </c>
      <c r="AI509" s="22">
        <v>2000.0</v>
      </c>
      <c r="AJ509" s="22">
        <v>50.0</v>
      </c>
      <c r="AK509" s="22">
        <v>0.0</v>
      </c>
      <c r="AL509" s="22"/>
      <c r="AM509" s="22"/>
      <c r="AN509" s="22"/>
      <c r="AO509" s="22"/>
    </row>
    <row r="510" ht="15.75" customHeight="1">
      <c r="A510" s="22">
        <v>502.0</v>
      </c>
      <c r="B510" s="22" t="s">
        <v>1313</v>
      </c>
      <c r="C510" s="22" t="s">
        <v>1314</v>
      </c>
      <c r="D510" s="66" t="s">
        <v>1315</v>
      </c>
      <c r="E510" s="22" t="s">
        <v>49</v>
      </c>
      <c r="F510" s="42" t="s">
        <v>3831</v>
      </c>
      <c r="G510" s="71" t="s">
        <v>3832</v>
      </c>
      <c r="H510" s="22" t="s">
        <v>53</v>
      </c>
      <c r="I510" s="22" t="s">
        <v>54</v>
      </c>
      <c r="J510" s="22" t="s">
        <v>54</v>
      </c>
      <c r="K510" s="22" t="s">
        <v>55</v>
      </c>
      <c r="L510" s="22" t="s">
        <v>56</v>
      </c>
      <c r="M510" s="22" t="s">
        <v>57</v>
      </c>
      <c r="N510" s="22" t="s">
        <v>58</v>
      </c>
      <c r="O510" s="22">
        <v>500.0</v>
      </c>
      <c r="P510" s="22"/>
      <c r="Q510" s="22" t="s">
        <v>59</v>
      </c>
      <c r="R510" s="22" t="s">
        <v>58</v>
      </c>
      <c r="S510" s="22" t="s">
        <v>58</v>
      </c>
      <c r="T510" s="22"/>
      <c r="U510" s="22"/>
      <c r="V510" s="22" t="s">
        <v>61</v>
      </c>
      <c r="W510" s="22" t="s">
        <v>58</v>
      </c>
      <c r="X510" s="22" t="s">
        <v>58</v>
      </c>
      <c r="Y510" s="22" t="s">
        <v>58</v>
      </c>
      <c r="Z510" s="22" t="s">
        <v>58</v>
      </c>
      <c r="AA510" s="22" t="s">
        <v>58</v>
      </c>
      <c r="AB510" s="22" t="s">
        <v>58</v>
      </c>
      <c r="AC510" s="22" t="s">
        <v>58</v>
      </c>
      <c r="AD510" s="22" t="s">
        <v>58</v>
      </c>
      <c r="AE510" s="22" t="s">
        <v>61</v>
      </c>
      <c r="AF510" s="22" t="s">
        <v>61</v>
      </c>
      <c r="AG510" s="22" t="s">
        <v>58</v>
      </c>
      <c r="AH510" s="22">
        <v>25.0</v>
      </c>
      <c r="AI510" s="22">
        <v>2000.0</v>
      </c>
      <c r="AJ510" s="22">
        <v>25.0</v>
      </c>
      <c r="AK510" s="22">
        <v>0.0</v>
      </c>
      <c r="AL510" s="22"/>
      <c r="AM510" s="22"/>
      <c r="AN510" s="22"/>
      <c r="AO510" s="22"/>
    </row>
    <row r="511" ht="15.75" customHeight="1">
      <c r="A511" s="22">
        <v>503.0</v>
      </c>
      <c r="B511" s="22" t="s">
        <v>3132</v>
      </c>
      <c r="C511" s="22" t="s">
        <v>3133</v>
      </c>
      <c r="D511" s="24" t="s">
        <v>69</v>
      </c>
      <c r="E511" s="22" t="s">
        <v>49</v>
      </c>
      <c r="F511" s="123" t="s">
        <v>69</v>
      </c>
      <c r="G511" s="24" t="s">
        <v>69</v>
      </c>
      <c r="H511" s="22" t="s">
        <v>449</v>
      </c>
      <c r="I511" s="22" t="s">
        <v>450</v>
      </c>
      <c r="J511" s="22" t="s">
        <v>74</v>
      </c>
      <c r="K511" s="22" t="s">
        <v>55</v>
      </c>
      <c r="L511" s="22" t="s">
        <v>56</v>
      </c>
      <c r="M511" s="22" t="s">
        <v>57</v>
      </c>
      <c r="N511" s="22" t="s">
        <v>58</v>
      </c>
      <c r="O511" s="22">
        <v>750.0</v>
      </c>
      <c r="P511" s="22">
        <v>1000.0</v>
      </c>
      <c r="Q511" s="22" t="s">
        <v>59</v>
      </c>
      <c r="R511" s="22" t="s">
        <v>58</v>
      </c>
      <c r="S511" s="22" t="s">
        <v>58</v>
      </c>
      <c r="T511" s="22"/>
      <c r="U511" s="22"/>
      <c r="V511" s="22" t="s">
        <v>61</v>
      </c>
      <c r="W511" s="22" t="s">
        <v>58</v>
      </c>
      <c r="X511" s="22" t="s">
        <v>58</v>
      </c>
      <c r="Y511" s="22" t="s">
        <v>58</v>
      </c>
      <c r="Z511" s="22" t="s">
        <v>58</v>
      </c>
      <c r="AA511" s="22" t="s">
        <v>58</v>
      </c>
      <c r="AB511" s="22" t="s">
        <v>58</v>
      </c>
      <c r="AC511" s="22" t="s">
        <v>58</v>
      </c>
      <c r="AD511" s="22" t="s">
        <v>58</v>
      </c>
      <c r="AE511" s="22" t="s">
        <v>61</v>
      </c>
      <c r="AF511" s="22" t="s">
        <v>61</v>
      </c>
      <c r="AG511" s="22" t="s">
        <v>58</v>
      </c>
      <c r="AH511" s="22">
        <v>70.0</v>
      </c>
      <c r="AI511" s="22">
        <v>300.0</v>
      </c>
      <c r="AJ511" s="22">
        <v>70.0</v>
      </c>
      <c r="AK511" s="22">
        <v>0.0</v>
      </c>
      <c r="AL511" s="22"/>
      <c r="AM511" s="22"/>
      <c r="AN511" s="22"/>
      <c r="AO511" s="22"/>
    </row>
    <row r="512" ht="15.75" customHeight="1">
      <c r="A512" s="22">
        <v>504.0</v>
      </c>
      <c r="B512" s="22" t="s">
        <v>1232</v>
      </c>
      <c r="C512" s="22" t="s">
        <v>1233</v>
      </c>
      <c r="D512" s="66" t="s">
        <v>1234</v>
      </c>
      <c r="E512" s="22" t="s">
        <v>49</v>
      </c>
      <c r="F512" s="42" t="s">
        <v>3835</v>
      </c>
      <c r="G512" s="24" t="s">
        <v>69</v>
      </c>
      <c r="H512" s="22" t="s">
        <v>75</v>
      </c>
      <c r="I512" s="22" t="s">
        <v>76</v>
      </c>
      <c r="J512" s="22" t="s">
        <v>76</v>
      </c>
      <c r="K512" s="22" t="s">
        <v>55</v>
      </c>
      <c r="L512" s="22" t="s">
        <v>56</v>
      </c>
      <c r="M512" s="22" t="s">
        <v>57</v>
      </c>
      <c r="N512" s="22" t="s">
        <v>58</v>
      </c>
      <c r="O512" s="22">
        <v>1200.0</v>
      </c>
      <c r="P512" s="22">
        <v>1500.0</v>
      </c>
      <c r="Q512" s="22" t="s">
        <v>59</v>
      </c>
      <c r="R512" s="22" t="s">
        <v>58</v>
      </c>
      <c r="S512" s="22" t="s">
        <v>58</v>
      </c>
      <c r="T512" s="22"/>
      <c r="U512" s="22"/>
      <c r="V512" s="22" t="s">
        <v>61</v>
      </c>
      <c r="W512" s="22" t="s">
        <v>58</v>
      </c>
      <c r="X512" s="22" t="s">
        <v>58</v>
      </c>
      <c r="Y512" s="22" t="s">
        <v>58</v>
      </c>
      <c r="Z512" s="22" t="s">
        <v>58</v>
      </c>
      <c r="AA512" s="22" t="s">
        <v>58</v>
      </c>
      <c r="AB512" s="22" t="s">
        <v>58</v>
      </c>
      <c r="AC512" s="22" t="s">
        <v>58</v>
      </c>
      <c r="AD512" s="22" t="s">
        <v>58</v>
      </c>
      <c r="AE512" s="22" t="s">
        <v>61</v>
      </c>
      <c r="AF512" s="22" t="s">
        <v>61</v>
      </c>
      <c r="AG512" s="22" t="s">
        <v>58</v>
      </c>
      <c r="AH512" s="22">
        <v>20.0</v>
      </c>
      <c r="AI512" s="22">
        <v>200.0</v>
      </c>
      <c r="AJ512" s="22">
        <v>20.0</v>
      </c>
      <c r="AK512" s="22">
        <v>0.0</v>
      </c>
      <c r="AL512" s="22"/>
      <c r="AM512" s="22"/>
      <c r="AN512" s="22"/>
      <c r="AO512" s="22"/>
    </row>
    <row r="513" ht="15.75" customHeight="1">
      <c r="A513" s="22">
        <v>505.0</v>
      </c>
      <c r="B513" s="22" t="s">
        <v>1177</v>
      </c>
      <c r="C513" s="22" t="s">
        <v>1178</v>
      </c>
      <c r="D513" s="66" t="s">
        <v>1179</v>
      </c>
      <c r="E513" s="22" t="s">
        <v>49</v>
      </c>
      <c r="F513" s="24" t="s">
        <v>69</v>
      </c>
      <c r="G513" s="24" t="s">
        <v>69</v>
      </c>
      <c r="H513" s="22" t="s">
        <v>325</v>
      </c>
      <c r="I513" s="22" t="s">
        <v>326</v>
      </c>
      <c r="J513" s="22" t="s">
        <v>326</v>
      </c>
      <c r="K513" s="22" t="s">
        <v>55</v>
      </c>
      <c r="L513" s="22" t="s">
        <v>56</v>
      </c>
      <c r="M513" s="22" t="s">
        <v>57</v>
      </c>
      <c r="N513" s="22" t="s">
        <v>58</v>
      </c>
      <c r="O513" s="22">
        <v>1300.0</v>
      </c>
      <c r="P513" s="22">
        <v>1500.0</v>
      </c>
      <c r="Q513" s="22" t="s">
        <v>59</v>
      </c>
      <c r="R513" s="22" t="s">
        <v>58</v>
      </c>
      <c r="S513" s="22" t="s">
        <v>58</v>
      </c>
      <c r="T513" s="22"/>
      <c r="U513" s="22"/>
      <c r="V513" s="22" t="s">
        <v>61</v>
      </c>
      <c r="W513" s="22" t="s">
        <v>58</v>
      </c>
      <c r="X513" s="22" t="s">
        <v>58</v>
      </c>
      <c r="Y513" s="22" t="s">
        <v>58</v>
      </c>
      <c r="Z513" s="22" t="s">
        <v>58</v>
      </c>
      <c r="AA513" s="22" t="s">
        <v>58</v>
      </c>
      <c r="AB513" s="22" t="s">
        <v>58</v>
      </c>
      <c r="AC513" s="22" t="s">
        <v>58</v>
      </c>
      <c r="AD513" s="22" t="s">
        <v>58</v>
      </c>
      <c r="AE513" s="22" t="s">
        <v>61</v>
      </c>
      <c r="AF513" s="22" t="s">
        <v>61</v>
      </c>
      <c r="AG513" s="22" t="s">
        <v>58</v>
      </c>
      <c r="AH513" s="22">
        <v>50.0</v>
      </c>
      <c r="AI513" s="22">
        <v>1000.0</v>
      </c>
      <c r="AJ513" s="22">
        <v>50.0</v>
      </c>
      <c r="AK513" s="22">
        <v>0.0</v>
      </c>
      <c r="AL513" s="22"/>
      <c r="AM513" s="22"/>
      <c r="AN513" s="22"/>
      <c r="AO513" s="22"/>
    </row>
    <row r="514" ht="15.75" customHeight="1">
      <c r="A514" s="22">
        <v>506.0</v>
      </c>
      <c r="B514" s="22" t="s">
        <v>964</v>
      </c>
      <c r="C514" s="22" t="s">
        <v>965</v>
      </c>
      <c r="D514" s="22" t="s">
        <v>966</v>
      </c>
      <c r="E514" s="22" t="s">
        <v>49</v>
      </c>
      <c r="F514" s="42" t="s">
        <v>3644</v>
      </c>
      <c r="G514" s="82">
        <v>9.871564963E9</v>
      </c>
      <c r="H514" s="22" t="s">
        <v>967</v>
      </c>
      <c r="I514" s="22" t="s">
        <v>968</v>
      </c>
      <c r="J514" s="22" t="s">
        <v>968</v>
      </c>
      <c r="K514" s="22" t="s">
        <v>55</v>
      </c>
      <c r="L514" s="22" t="s">
        <v>56</v>
      </c>
      <c r="M514" s="22" t="s">
        <v>57</v>
      </c>
      <c r="N514" s="22" t="s">
        <v>58</v>
      </c>
      <c r="O514" s="22">
        <v>800.0</v>
      </c>
      <c r="P514" s="22">
        <v>1100.0</v>
      </c>
      <c r="Q514" s="22" t="s">
        <v>59</v>
      </c>
      <c r="R514" s="22" t="s">
        <v>58</v>
      </c>
      <c r="S514" s="22" t="s">
        <v>58</v>
      </c>
      <c r="T514" s="22" t="s">
        <v>275</v>
      </c>
      <c r="U514" s="22"/>
      <c r="V514" s="22" t="s">
        <v>61</v>
      </c>
      <c r="W514" s="22" t="s">
        <v>58</v>
      </c>
      <c r="X514" s="22" t="s">
        <v>58</v>
      </c>
      <c r="Y514" s="22" t="s">
        <v>58</v>
      </c>
      <c r="Z514" s="22" t="s">
        <v>58</v>
      </c>
      <c r="AA514" s="22" t="s">
        <v>58</v>
      </c>
      <c r="AB514" s="22" t="s">
        <v>58</v>
      </c>
      <c r="AC514" s="22" t="s">
        <v>58</v>
      </c>
      <c r="AD514" s="22" t="s">
        <v>58</v>
      </c>
      <c r="AE514" s="22" t="s">
        <v>61</v>
      </c>
      <c r="AF514" s="22" t="s">
        <v>61</v>
      </c>
      <c r="AG514" s="22" t="s">
        <v>58</v>
      </c>
      <c r="AH514" s="22">
        <v>50.0</v>
      </c>
      <c r="AI514" s="22">
        <v>1000.0</v>
      </c>
      <c r="AJ514" s="22">
        <v>50.0</v>
      </c>
      <c r="AK514" s="22">
        <v>0.0</v>
      </c>
      <c r="AL514" s="22"/>
      <c r="AM514" s="22"/>
      <c r="AN514" s="22"/>
      <c r="AO514" s="22"/>
    </row>
    <row r="515" ht="15.75" customHeight="1">
      <c r="A515" s="22">
        <v>507.0</v>
      </c>
      <c r="B515" s="22" t="s">
        <v>829</v>
      </c>
      <c r="C515" s="22" t="s">
        <v>831</v>
      </c>
      <c r="D515" s="66" t="s">
        <v>3839</v>
      </c>
      <c r="E515" s="22" t="s">
        <v>49</v>
      </c>
      <c r="F515" s="24" t="s">
        <v>69</v>
      </c>
      <c r="G515" s="24" t="s">
        <v>69</v>
      </c>
      <c r="H515" s="22" t="s">
        <v>75</v>
      </c>
      <c r="I515" s="22" t="s">
        <v>76</v>
      </c>
      <c r="J515" s="22" t="s">
        <v>76</v>
      </c>
      <c r="K515" s="22" t="s">
        <v>55</v>
      </c>
      <c r="L515" s="22" t="s">
        <v>56</v>
      </c>
      <c r="M515" s="22" t="s">
        <v>57</v>
      </c>
      <c r="N515" s="22" t="s">
        <v>58</v>
      </c>
      <c r="O515" s="22">
        <v>500.0</v>
      </c>
      <c r="P515" s="22">
        <v>800.0</v>
      </c>
      <c r="Q515" s="22" t="s">
        <v>59</v>
      </c>
      <c r="R515" s="22" t="s">
        <v>58</v>
      </c>
      <c r="S515" s="22" t="s">
        <v>58</v>
      </c>
      <c r="T515" s="22"/>
      <c r="U515" s="22"/>
      <c r="V515" s="22" t="s">
        <v>61</v>
      </c>
      <c r="W515" s="22" t="s">
        <v>58</v>
      </c>
      <c r="X515" s="22" t="s">
        <v>58</v>
      </c>
      <c r="Y515" s="22" t="s">
        <v>58</v>
      </c>
      <c r="Z515" s="22" t="s">
        <v>58</v>
      </c>
      <c r="AA515" s="22" t="s">
        <v>58</v>
      </c>
      <c r="AB515" s="22" t="s">
        <v>58</v>
      </c>
      <c r="AC515" s="22" t="s">
        <v>58</v>
      </c>
      <c r="AD515" s="22" t="s">
        <v>58</v>
      </c>
      <c r="AE515" s="22" t="s">
        <v>61</v>
      </c>
      <c r="AF515" s="22" t="s">
        <v>61</v>
      </c>
      <c r="AG515" s="22" t="s">
        <v>58</v>
      </c>
      <c r="AH515" s="22">
        <v>100.0</v>
      </c>
      <c r="AI515" s="22">
        <v>1000.0</v>
      </c>
      <c r="AJ515" s="22">
        <v>100.0</v>
      </c>
      <c r="AK515" s="22">
        <v>0.0</v>
      </c>
      <c r="AL515" s="22"/>
      <c r="AM515" s="22"/>
      <c r="AN515" s="22"/>
      <c r="AO515" s="22"/>
    </row>
    <row r="516" ht="15.75" customHeight="1">
      <c r="A516" s="22">
        <v>508.0</v>
      </c>
      <c r="B516" s="22" t="s">
        <v>3842</v>
      </c>
      <c r="C516" s="22" t="s">
        <v>3843</v>
      </c>
      <c r="D516" s="66" t="s">
        <v>3844</v>
      </c>
      <c r="E516" s="22" t="s">
        <v>49</v>
      </c>
      <c r="F516" s="24" t="s">
        <v>69</v>
      </c>
      <c r="G516" s="24" t="s">
        <v>69</v>
      </c>
      <c r="H516" s="22" t="s">
        <v>72</v>
      </c>
      <c r="I516" s="22" t="s">
        <v>73</v>
      </c>
      <c r="J516" s="22" t="s">
        <v>74</v>
      </c>
      <c r="K516" s="22" t="s">
        <v>55</v>
      </c>
      <c r="L516" s="22" t="s">
        <v>56</v>
      </c>
      <c r="M516" s="22" t="s">
        <v>57</v>
      </c>
      <c r="N516" s="22" t="s">
        <v>58</v>
      </c>
      <c r="O516" s="22">
        <v>1000.0</v>
      </c>
      <c r="P516" s="22">
        <v>1400.0</v>
      </c>
      <c r="Q516" s="22" t="s">
        <v>59</v>
      </c>
      <c r="R516" s="22" t="s">
        <v>58</v>
      </c>
      <c r="S516" s="22" t="s">
        <v>58</v>
      </c>
      <c r="T516" s="22"/>
      <c r="U516" s="22"/>
      <c r="V516" s="22" t="s">
        <v>61</v>
      </c>
      <c r="W516" s="22" t="s">
        <v>58</v>
      </c>
      <c r="X516" s="22" t="s">
        <v>58</v>
      </c>
      <c r="Y516" s="22" t="s">
        <v>58</v>
      </c>
      <c r="Z516" s="22" t="s">
        <v>58</v>
      </c>
      <c r="AA516" s="22" t="s">
        <v>58</v>
      </c>
      <c r="AB516" s="22" t="s">
        <v>58</v>
      </c>
      <c r="AC516" s="22" t="s">
        <v>58</v>
      </c>
      <c r="AD516" s="22" t="s">
        <v>58</v>
      </c>
      <c r="AE516" s="22" t="s">
        <v>61</v>
      </c>
      <c r="AF516" s="22" t="s">
        <v>61</v>
      </c>
      <c r="AG516" s="22" t="s">
        <v>58</v>
      </c>
      <c r="AH516" s="22">
        <v>100.0</v>
      </c>
      <c r="AI516" s="22">
        <v>10000.0</v>
      </c>
      <c r="AJ516" s="22">
        <v>100.0</v>
      </c>
      <c r="AK516" s="22">
        <v>0.0</v>
      </c>
      <c r="AL516" s="22"/>
      <c r="AM516" s="22"/>
      <c r="AN516" s="22"/>
      <c r="AO516" s="22"/>
    </row>
    <row r="517" ht="15.75" customHeight="1">
      <c r="A517" s="22">
        <v>509.0</v>
      </c>
      <c r="B517" s="22" t="s">
        <v>3846</v>
      </c>
      <c r="C517" s="22" t="s">
        <v>3847</v>
      </c>
      <c r="D517" s="64" t="s">
        <v>3848</v>
      </c>
      <c r="E517" s="22" t="s">
        <v>49</v>
      </c>
      <c r="F517" s="42" t="s">
        <v>3849</v>
      </c>
      <c r="G517" s="24" t="s">
        <v>69</v>
      </c>
      <c r="H517" s="22" t="s">
        <v>860</v>
      </c>
      <c r="I517" s="22" t="s">
        <v>861</v>
      </c>
      <c r="J517" s="22" t="s">
        <v>74</v>
      </c>
      <c r="K517" s="22" t="s">
        <v>55</v>
      </c>
      <c r="L517" s="22" t="s">
        <v>56</v>
      </c>
      <c r="M517" s="22" t="s">
        <v>57</v>
      </c>
      <c r="N517" s="22" t="s">
        <v>58</v>
      </c>
      <c r="O517" s="22">
        <v>1850.0</v>
      </c>
      <c r="P517" s="22">
        <v>2100.0</v>
      </c>
      <c r="Q517" s="22" t="s">
        <v>59</v>
      </c>
      <c r="R517" s="22" t="s">
        <v>58</v>
      </c>
      <c r="S517" s="22" t="s">
        <v>58</v>
      </c>
      <c r="T517" s="24" t="s">
        <v>3851</v>
      </c>
      <c r="U517" s="22" t="s">
        <v>3852</v>
      </c>
      <c r="V517" s="22" t="s">
        <v>61</v>
      </c>
      <c r="W517" s="22" t="s">
        <v>58</v>
      </c>
      <c r="X517" s="22" t="s">
        <v>58</v>
      </c>
      <c r="Y517" s="22" t="s">
        <v>58</v>
      </c>
      <c r="Z517" s="22" t="s">
        <v>58</v>
      </c>
      <c r="AA517" s="22" t="s">
        <v>58</v>
      </c>
      <c r="AB517" s="22" t="s">
        <v>58</v>
      </c>
      <c r="AC517" s="22" t="s">
        <v>61</v>
      </c>
      <c r="AD517" s="22" t="s">
        <v>58</v>
      </c>
      <c r="AE517" s="22" t="s">
        <v>61</v>
      </c>
      <c r="AF517" s="22" t="s">
        <v>61</v>
      </c>
      <c r="AG517" s="22" t="s">
        <v>58</v>
      </c>
      <c r="AH517" s="22">
        <v>200.0</v>
      </c>
      <c r="AI517" s="22">
        <v>500.0</v>
      </c>
      <c r="AJ517" s="22">
        <v>200.0</v>
      </c>
      <c r="AK517" s="22">
        <v>0.0</v>
      </c>
      <c r="AL517" s="22"/>
      <c r="AM517" s="22"/>
      <c r="AN517" s="22"/>
      <c r="AO517" s="22"/>
    </row>
    <row r="518" ht="15.75" customHeight="1">
      <c r="A518" s="22">
        <v>510.0</v>
      </c>
      <c r="B518" s="22" t="s">
        <v>3854</v>
      </c>
      <c r="C518" s="22" t="s">
        <v>3856</v>
      </c>
      <c r="D518" s="64" t="s">
        <v>3858</v>
      </c>
      <c r="E518" s="22" t="s">
        <v>49</v>
      </c>
      <c r="F518" s="42" t="s">
        <v>3859</v>
      </c>
      <c r="G518" s="81" t="s">
        <v>3862</v>
      </c>
      <c r="H518" s="22" t="s">
        <v>123</v>
      </c>
      <c r="I518" s="22" t="s">
        <v>124</v>
      </c>
      <c r="J518" s="22" t="s">
        <v>74</v>
      </c>
      <c r="K518" s="22" t="s">
        <v>55</v>
      </c>
      <c r="L518" s="22" t="s">
        <v>56</v>
      </c>
      <c r="M518" s="22" t="s">
        <v>57</v>
      </c>
      <c r="N518" s="22" t="s">
        <v>58</v>
      </c>
      <c r="O518" s="22">
        <v>1500.0</v>
      </c>
      <c r="P518" s="22">
        <v>1800.0</v>
      </c>
      <c r="Q518" s="22" t="s">
        <v>59</v>
      </c>
      <c r="R518" s="22" t="s">
        <v>58</v>
      </c>
      <c r="S518" s="22" t="s">
        <v>58</v>
      </c>
      <c r="T518" s="22"/>
      <c r="U518" s="22"/>
      <c r="V518" s="22" t="s">
        <v>61</v>
      </c>
      <c r="W518" s="22" t="s">
        <v>58</v>
      </c>
      <c r="X518" s="22" t="s">
        <v>58</v>
      </c>
      <c r="Y518" s="22" t="s">
        <v>58</v>
      </c>
      <c r="Z518" s="22" t="s">
        <v>58</v>
      </c>
      <c r="AA518" s="22" t="s">
        <v>58</v>
      </c>
      <c r="AB518" s="22" t="s">
        <v>58</v>
      </c>
      <c r="AC518" s="22" t="s">
        <v>58</v>
      </c>
      <c r="AD518" s="22" t="s">
        <v>58</v>
      </c>
      <c r="AE518" s="22" t="s">
        <v>61</v>
      </c>
      <c r="AF518" s="22" t="s">
        <v>61</v>
      </c>
      <c r="AG518" s="22" t="s">
        <v>58</v>
      </c>
      <c r="AH518" s="22">
        <v>100.0</v>
      </c>
      <c r="AI518" s="22">
        <v>2500.0</v>
      </c>
      <c r="AJ518" s="22">
        <v>100.0</v>
      </c>
      <c r="AK518" s="22">
        <v>0.0</v>
      </c>
      <c r="AL518" s="22"/>
      <c r="AM518" s="22"/>
      <c r="AN518" s="22"/>
      <c r="AO518" s="22"/>
    </row>
    <row r="519" ht="39.75" customHeight="1">
      <c r="A519" s="22">
        <v>511.0</v>
      </c>
      <c r="B519" s="22" t="s">
        <v>3863</v>
      </c>
      <c r="C519" s="22" t="s">
        <v>3864</v>
      </c>
      <c r="D519" s="64" t="s">
        <v>3865</v>
      </c>
      <c r="E519" s="22" t="s">
        <v>49</v>
      </c>
      <c r="F519" s="24" t="s">
        <v>69</v>
      </c>
      <c r="G519" s="54" t="s">
        <v>69</v>
      </c>
      <c r="H519" s="22" t="s">
        <v>303</v>
      </c>
      <c r="I519" s="22" t="s">
        <v>303</v>
      </c>
      <c r="J519" s="22" t="s">
        <v>74</v>
      </c>
      <c r="K519" s="22" t="s">
        <v>55</v>
      </c>
      <c r="L519" s="22" t="s">
        <v>56</v>
      </c>
      <c r="M519" s="22" t="s">
        <v>57</v>
      </c>
      <c r="N519" s="22" t="s">
        <v>58</v>
      </c>
      <c r="O519" s="22">
        <v>350.0</v>
      </c>
      <c r="P519" s="22">
        <v>500.0</v>
      </c>
      <c r="Q519" s="22" t="s">
        <v>59</v>
      </c>
      <c r="R519" s="22" t="s">
        <v>58</v>
      </c>
      <c r="S519" s="22" t="s">
        <v>58</v>
      </c>
      <c r="T519" s="24" t="s">
        <v>3867</v>
      </c>
      <c r="U519" s="22" t="s">
        <v>275</v>
      </c>
      <c r="V519" s="22" t="s">
        <v>61</v>
      </c>
      <c r="W519" s="22" t="s">
        <v>58</v>
      </c>
      <c r="X519" s="22" t="s">
        <v>58</v>
      </c>
      <c r="Y519" s="22" t="s">
        <v>58</v>
      </c>
      <c r="Z519" s="22" t="s">
        <v>58</v>
      </c>
      <c r="AA519" s="22" t="s">
        <v>58</v>
      </c>
      <c r="AB519" s="22" t="s">
        <v>58</v>
      </c>
      <c r="AC519" s="22" t="s">
        <v>58</v>
      </c>
      <c r="AD519" s="22" t="s">
        <v>58</v>
      </c>
      <c r="AE519" s="22" t="s">
        <v>61</v>
      </c>
      <c r="AF519" s="22" t="s">
        <v>61</v>
      </c>
      <c r="AG519" s="22" t="s">
        <v>58</v>
      </c>
      <c r="AH519" s="22">
        <v>50.0</v>
      </c>
      <c r="AI519" s="22">
        <v>1500.0</v>
      </c>
      <c r="AJ519" s="22">
        <v>50.0</v>
      </c>
      <c r="AK519" s="22">
        <v>0.0</v>
      </c>
      <c r="AL519" s="22"/>
      <c r="AM519" s="22"/>
      <c r="AN519" s="22"/>
      <c r="AO519" s="22"/>
    </row>
    <row r="520" ht="15.75" customHeight="1">
      <c r="A520" s="22">
        <v>512.0</v>
      </c>
      <c r="B520" s="22" t="s">
        <v>3868</v>
      </c>
      <c r="C520" s="22" t="s">
        <v>3869</v>
      </c>
      <c r="D520" s="22" t="s">
        <v>3870</v>
      </c>
      <c r="E520" s="22" t="s">
        <v>49</v>
      </c>
      <c r="F520" s="42" t="s">
        <v>3871</v>
      </c>
      <c r="G520" s="82">
        <v>9.544541075E9</v>
      </c>
      <c r="H520" s="22" t="s">
        <v>142</v>
      </c>
      <c r="I520" s="22" t="s">
        <v>144</v>
      </c>
      <c r="J520" s="22" t="s">
        <v>74</v>
      </c>
      <c r="K520" s="22" t="s">
        <v>55</v>
      </c>
      <c r="L520" s="22" t="s">
        <v>56</v>
      </c>
      <c r="M520" s="22" t="s">
        <v>57</v>
      </c>
      <c r="N520" s="22" t="s">
        <v>58</v>
      </c>
      <c r="O520" s="22">
        <v>400.0</v>
      </c>
      <c r="P520" s="22">
        <v>650.0</v>
      </c>
      <c r="Q520" s="22" t="s">
        <v>59</v>
      </c>
      <c r="R520" s="22" t="s">
        <v>58</v>
      </c>
      <c r="S520" s="22" t="s">
        <v>58</v>
      </c>
      <c r="T520" s="22" t="s">
        <v>275</v>
      </c>
      <c r="U520" s="22"/>
      <c r="V520" s="22" t="s">
        <v>61</v>
      </c>
      <c r="W520" s="22" t="s">
        <v>58</v>
      </c>
      <c r="X520" s="22" t="s">
        <v>58</v>
      </c>
      <c r="Y520" s="22" t="s">
        <v>58</v>
      </c>
      <c r="Z520" s="22" t="s">
        <v>58</v>
      </c>
      <c r="AA520" s="22" t="s">
        <v>58</v>
      </c>
      <c r="AB520" s="22" t="s">
        <v>58</v>
      </c>
      <c r="AC520" s="22" t="s">
        <v>58</v>
      </c>
      <c r="AD520" s="22" t="s">
        <v>58</v>
      </c>
      <c r="AE520" s="22" t="s">
        <v>61</v>
      </c>
      <c r="AF520" s="22" t="s">
        <v>61</v>
      </c>
      <c r="AG520" s="22" t="s">
        <v>58</v>
      </c>
      <c r="AH520" s="22">
        <v>200.0</v>
      </c>
      <c r="AI520" s="22">
        <v>10000.0</v>
      </c>
      <c r="AJ520" s="22">
        <v>200.0</v>
      </c>
      <c r="AK520" s="22">
        <v>0.0</v>
      </c>
      <c r="AL520" s="22"/>
      <c r="AM520" s="22"/>
      <c r="AN520" s="22"/>
      <c r="AO520" s="22"/>
    </row>
    <row r="521" ht="15.75" customHeight="1">
      <c r="A521" s="22">
        <v>513.0</v>
      </c>
      <c r="B521" s="22" t="s">
        <v>3873</v>
      </c>
      <c r="C521" s="22" t="s">
        <v>3874</v>
      </c>
      <c r="D521" s="66" t="s">
        <v>3876</v>
      </c>
      <c r="E521" s="22" t="s">
        <v>49</v>
      </c>
      <c r="F521" s="42" t="s">
        <v>3877</v>
      </c>
      <c r="G521" s="82">
        <v>7.31071735E9</v>
      </c>
      <c r="H521" s="22" t="s">
        <v>2393</v>
      </c>
      <c r="I521" s="22" t="s">
        <v>2394</v>
      </c>
      <c r="J521" s="22" t="s">
        <v>74</v>
      </c>
      <c r="K521" s="22" t="s">
        <v>55</v>
      </c>
      <c r="L521" s="22" t="s">
        <v>56</v>
      </c>
      <c r="M521" s="22" t="s">
        <v>57</v>
      </c>
      <c r="N521" s="22" t="s">
        <v>58</v>
      </c>
      <c r="O521" s="22">
        <v>500.0</v>
      </c>
      <c r="P521" s="22">
        <v>800.0</v>
      </c>
      <c r="Q521" s="22" t="s">
        <v>59</v>
      </c>
      <c r="R521" s="22" t="s">
        <v>58</v>
      </c>
      <c r="S521" s="22" t="s">
        <v>58</v>
      </c>
      <c r="T521" s="22"/>
      <c r="U521" s="22"/>
      <c r="V521" s="22" t="s">
        <v>61</v>
      </c>
      <c r="W521" s="22" t="s">
        <v>58</v>
      </c>
      <c r="X521" s="22" t="s">
        <v>58</v>
      </c>
      <c r="Y521" s="22" t="s">
        <v>58</v>
      </c>
      <c r="Z521" s="22" t="s">
        <v>58</v>
      </c>
      <c r="AA521" s="22" t="s">
        <v>58</v>
      </c>
      <c r="AB521" s="22" t="s">
        <v>58</v>
      </c>
      <c r="AC521" s="22" t="s">
        <v>58</v>
      </c>
      <c r="AD521" s="22" t="s">
        <v>58</v>
      </c>
      <c r="AE521" s="22" t="s">
        <v>61</v>
      </c>
      <c r="AF521" s="22" t="s">
        <v>61</v>
      </c>
      <c r="AG521" s="22" t="s">
        <v>58</v>
      </c>
      <c r="AH521" s="22">
        <v>50.0</v>
      </c>
      <c r="AI521" s="22">
        <v>4000.0</v>
      </c>
      <c r="AJ521" s="22">
        <v>50.0</v>
      </c>
      <c r="AK521" s="22">
        <v>0.0</v>
      </c>
      <c r="AL521" s="22"/>
      <c r="AM521" s="22"/>
      <c r="AN521" s="22"/>
      <c r="AO521" s="22"/>
    </row>
    <row r="522" ht="15.75" customHeight="1">
      <c r="A522" s="22">
        <v>514.0</v>
      </c>
      <c r="B522" s="22" t="s">
        <v>3879</v>
      </c>
      <c r="C522" s="22" t="s">
        <v>3880</v>
      </c>
      <c r="D522" s="22" t="s">
        <v>3881</v>
      </c>
      <c r="E522" s="22" t="s">
        <v>49</v>
      </c>
      <c r="F522" s="42" t="s">
        <v>3882</v>
      </c>
      <c r="G522" s="81" t="s">
        <v>3883</v>
      </c>
      <c r="H522" s="22" t="s">
        <v>303</v>
      </c>
      <c r="I522" s="22" t="s">
        <v>303</v>
      </c>
      <c r="J522" s="22" t="s">
        <v>74</v>
      </c>
      <c r="K522" s="22" t="s">
        <v>55</v>
      </c>
      <c r="L522" s="22" t="s">
        <v>56</v>
      </c>
      <c r="M522" s="22" t="s">
        <v>57</v>
      </c>
      <c r="N522" s="22" t="s">
        <v>58</v>
      </c>
      <c r="O522" s="22">
        <v>800.0</v>
      </c>
      <c r="P522" s="22">
        <v>1000.0</v>
      </c>
      <c r="Q522" s="22" t="s">
        <v>59</v>
      </c>
      <c r="R522" s="22" t="s">
        <v>58</v>
      </c>
      <c r="S522" s="22" t="s">
        <v>58</v>
      </c>
      <c r="T522" s="24" t="s">
        <v>3888</v>
      </c>
      <c r="U522" s="22"/>
      <c r="V522" s="22" t="s">
        <v>61</v>
      </c>
      <c r="W522" s="22" t="s">
        <v>58</v>
      </c>
      <c r="X522" s="22" t="s">
        <v>58</v>
      </c>
      <c r="Y522" s="22" t="s">
        <v>58</v>
      </c>
      <c r="Z522" s="22" t="s">
        <v>58</v>
      </c>
      <c r="AA522" s="22" t="s">
        <v>58</v>
      </c>
      <c r="AB522" s="22" t="s">
        <v>58</v>
      </c>
      <c r="AC522" s="22" t="s">
        <v>58</v>
      </c>
      <c r="AD522" s="22" t="s">
        <v>58</v>
      </c>
      <c r="AE522" s="22" t="s">
        <v>61</v>
      </c>
      <c r="AF522" s="22" t="s">
        <v>61</v>
      </c>
      <c r="AG522" s="22" t="s">
        <v>58</v>
      </c>
      <c r="AH522" s="22">
        <v>50.0</v>
      </c>
      <c r="AI522" s="22">
        <v>0.0</v>
      </c>
      <c r="AJ522" s="22">
        <v>50.0</v>
      </c>
      <c r="AK522" s="22">
        <v>0.0</v>
      </c>
      <c r="AL522" s="22"/>
      <c r="AM522" s="22"/>
      <c r="AN522" s="22"/>
      <c r="AO522" s="22"/>
    </row>
    <row r="523" ht="41.25" customHeight="1">
      <c r="A523" s="22">
        <v>515.0</v>
      </c>
      <c r="B523" s="22" t="s">
        <v>3889</v>
      </c>
      <c r="C523" s="22" t="s">
        <v>3890</v>
      </c>
      <c r="D523" s="22" t="s">
        <v>3892</v>
      </c>
      <c r="E523" s="22" t="s">
        <v>49</v>
      </c>
      <c r="F523" s="42" t="s">
        <v>3893</v>
      </c>
      <c r="G523" s="81" t="s">
        <v>3894</v>
      </c>
      <c r="H523" s="22" t="s">
        <v>303</v>
      </c>
      <c r="I523" s="22" t="s">
        <v>303</v>
      </c>
      <c r="J523" s="22" t="s">
        <v>74</v>
      </c>
      <c r="K523" s="22" t="s">
        <v>55</v>
      </c>
      <c r="L523" s="22" t="s">
        <v>56</v>
      </c>
      <c r="M523" s="22" t="s">
        <v>57</v>
      </c>
      <c r="N523" s="22" t="s">
        <v>58</v>
      </c>
      <c r="O523" s="22">
        <v>1500.0</v>
      </c>
      <c r="P523" s="22"/>
      <c r="Q523" s="22" t="s">
        <v>59</v>
      </c>
      <c r="R523" s="22" t="s">
        <v>58</v>
      </c>
      <c r="S523" s="22" t="s">
        <v>58</v>
      </c>
      <c r="T523" s="22" t="s">
        <v>275</v>
      </c>
      <c r="U523" s="22"/>
      <c r="V523" s="22" t="s">
        <v>61</v>
      </c>
      <c r="W523" s="22" t="s">
        <v>58</v>
      </c>
      <c r="X523" s="22" t="s">
        <v>58</v>
      </c>
      <c r="Y523" s="22" t="s">
        <v>58</v>
      </c>
      <c r="Z523" s="22" t="s">
        <v>58</v>
      </c>
      <c r="AA523" s="22" t="s">
        <v>58</v>
      </c>
      <c r="AB523" s="22" t="s">
        <v>58</v>
      </c>
      <c r="AC523" s="22" t="s">
        <v>58</v>
      </c>
      <c r="AD523" s="22" t="s">
        <v>58</v>
      </c>
      <c r="AE523" s="22" t="s">
        <v>61</v>
      </c>
      <c r="AF523" s="22" t="s">
        <v>61</v>
      </c>
      <c r="AG523" s="22" t="s">
        <v>58</v>
      </c>
      <c r="AH523" s="22">
        <v>20.0</v>
      </c>
      <c r="AI523" s="22">
        <v>5000.0</v>
      </c>
      <c r="AJ523" s="22">
        <v>20.0</v>
      </c>
      <c r="AK523" s="22">
        <v>0.0</v>
      </c>
      <c r="AL523" s="22"/>
      <c r="AM523" s="22"/>
      <c r="AN523" s="22"/>
      <c r="AO523" s="22"/>
    </row>
    <row r="524" ht="15.75" customHeight="1">
      <c r="A524" s="22">
        <v>516.0</v>
      </c>
      <c r="B524" s="22" t="s">
        <v>750</v>
      </c>
      <c r="C524" s="22" t="s">
        <v>752</v>
      </c>
      <c r="D524" s="66" t="s">
        <v>753</v>
      </c>
      <c r="E524" s="22" t="s">
        <v>49</v>
      </c>
      <c r="F524" s="42" t="s">
        <v>3897</v>
      </c>
      <c r="G524" s="82">
        <v>7.895399999E9</v>
      </c>
      <c r="H524" s="22" t="s">
        <v>147</v>
      </c>
      <c r="I524" s="22" t="s">
        <v>148</v>
      </c>
      <c r="J524" s="22" t="s">
        <v>148</v>
      </c>
      <c r="K524" s="22" t="s">
        <v>55</v>
      </c>
      <c r="L524" s="22" t="s">
        <v>56</v>
      </c>
      <c r="M524" s="22" t="s">
        <v>57</v>
      </c>
      <c r="N524" s="22" t="s">
        <v>58</v>
      </c>
      <c r="O524" s="22">
        <v>1000.0</v>
      </c>
      <c r="P524" s="22"/>
      <c r="Q524" s="22" t="s">
        <v>59</v>
      </c>
      <c r="R524" s="22" t="s">
        <v>58</v>
      </c>
      <c r="S524" s="22" t="s">
        <v>58</v>
      </c>
      <c r="T524" s="22"/>
      <c r="U524" s="22"/>
      <c r="V524" s="22" t="s">
        <v>61</v>
      </c>
      <c r="W524" s="22" t="s">
        <v>58</v>
      </c>
      <c r="X524" s="22" t="s">
        <v>58</v>
      </c>
      <c r="Y524" s="22" t="s">
        <v>58</v>
      </c>
      <c r="Z524" s="22" t="s">
        <v>58</v>
      </c>
      <c r="AA524" s="22" t="s">
        <v>58</v>
      </c>
      <c r="AB524" s="22" t="s">
        <v>58</v>
      </c>
      <c r="AC524" s="22" t="s">
        <v>58</v>
      </c>
      <c r="AD524" s="22" t="s">
        <v>58</v>
      </c>
      <c r="AE524" s="22" t="s">
        <v>61</v>
      </c>
      <c r="AF524" s="22" t="s">
        <v>61</v>
      </c>
      <c r="AG524" s="22" t="s">
        <v>58</v>
      </c>
      <c r="AH524" s="22">
        <v>10.0</v>
      </c>
      <c r="AI524" s="22">
        <v>500.0</v>
      </c>
      <c r="AJ524" s="22">
        <v>10.0</v>
      </c>
      <c r="AK524" s="22">
        <v>0.0</v>
      </c>
      <c r="AL524" s="22"/>
      <c r="AM524" s="22"/>
      <c r="AN524" s="22"/>
      <c r="AO524" s="22"/>
    </row>
    <row r="525" ht="15.75" customHeight="1">
      <c r="A525" s="15">
        <v>517.0</v>
      </c>
      <c r="B525" s="15" t="s">
        <v>174</v>
      </c>
      <c r="C525" s="15" t="s">
        <v>175</v>
      </c>
      <c r="D525" s="48" t="s">
        <v>289</v>
      </c>
      <c r="E525" s="15" t="s">
        <v>49</v>
      </c>
      <c r="F525" s="49" t="s">
        <v>177</v>
      </c>
      <c r="G525" s="15" t="s">
        <v>187</v>
      </c>
      <c r="H525" s="15" t="s">
        <v>91</v>
      </c>
      <c r="I525" s="15" t="s">
        <v>92</v>
      </c>
      <c r="J525" s="15" t="s">
        <v>92</v>
      </c>
      <c r="K525" s="15" t="s">
        <v>55</v>
      </c>
      <c r="L525" s="15" t="s">
        <v>56</v>
      </c>
      <c r="M525" s="15" t="s">
        <v>57</v>
      </c>
      <c r="N525" s="15" t="s">
        <v>58</v>
      </c>
      <c r="O525" s="15">
        <v>350.0</v>
      </c>
      <c r="P525" s="15">
        <v>700.0</v>
      </c>
      <c r="Q525" s="15" t="s">
        <v>59</v>
      </c>
      <c r="R525" s="15" t="s">
        <v>58</v>
      </c>
      <c r="S525" s="15" t="s">
        <v>58</v>
      </c>
      <c r="T525" s="15"/>
      <c r="U525" s="15"/>
      <c r="V525" s="15" t="s">
        <v>61</v>
      </c>
      <c r="W525" s="15" t="s">
        <v>58</v>
      </c>
      <c r="X525" s="15" t="s">
        <v>58</v>
      </c>
      <c r="Y525" s="15" t="s">
        <v>58</v>
      </c>
      <c r="Z525" s="15" t="s">
        <v>58</v>
      </c>
      <c r="AA525" s="15" t="s">
        <v>58</v>
      </c>
      <c r="AB525" s="15" t="s">
        <v>58</v>
      </c>
      <c r="AC525" s="15" t="s">
        <v>58</v>
      </c>
      <c r="AD525" s="15" t="s">
        <v>58</v>
      </c>
      <c r="AE525" s="15" t="s">
        <v>61</v>
      </c>
      <c r="AF525" s="15" t="s">
        <v>61</v>
      </c>
      <c r="AG525" s="15" t="s">
        <v>58</v>
      </c>
      <c r="AH525" s="15">
        <v>50.0</v>
      </c>
      <c r="AI525" s="15">
        <v>5000.0</v>
      </c>
      <c r="AJ525" s="15">
        <v>50.0</v>
      </c>
      <c r="AK525" s="15">
        <v>0.0</v>
      </c>
      <c r="AL525" s="15"/>
      <c r="AM525" s="15"/>
      <c r="AN525" s="16" t="s">
        <v>757</v>
      </c>
      <c r="AO525" s="21">
        <v>2.0</v>
      </c>
    </row>
    <row r="526" ht="15.75" customHeight="1">
      <c r="A526" s="22">
        <v>518.0</v>
      </c>
      <c r="B526" s="22" t="s">
        <v>1300</v>
      </c>
      <c r="C526" s="22" t="s">
        <v>1302</v>
      </c>
      <c r="D526" s="66" t="s">
        <v>1304</v>
      </c>
      <c r="E526" s="22" t="s">
        <v>49</v>
      </c>
      <c r="F526" s="24" t="s">
        <v>69</v>
      </c>
      <c r="G526" s="24" t="s">
        <v>69</v>
      </c>
      <c r="H526" s="22" t="s">
        <v>664</v>
      </c>
      <c r="I526" s="22" t="s">
        <v>665</v>
      </c>
      <c r="J526" s="22" t="s">
        <v>665</v>
      </c>
      <c r="K526" s="22" t="s">
        <v>55</v>
      </c>
      <c r="L526" s="22" t="s">
        <v>56</v>
      </c>
      <c r="M526" s="22" t="s">
        <v>57</v>
      </c>
      <c r="N526" s="22" t="s">
        <v>58</v>
      </c>
      <c r="O526" s="22">
        <v>1000.0</v>
      </c>
      <c r="P526" s="22"/>
      <c r="Q526" s="22" t="s">
        <v>59</v>
      </c>
      <c r="R526" s="22" t="s">
        <v>58</v>
      </c>
      <c r="S526" s="22" t="s">
        <v>58</v>
      </c>
      <c r="T526" s="22"/>
      <c r="U526" s="22"/>
      <c r="V526" s="22" t="s">
        <v>61</v>
      </c>
      <c r="W526" s="22" t="s">
        <v>58</v>
      </c>
      <c r="X526" s="22" t="s">
        <v>58</v>
      </c>
      <c r="Y526" s="22" t="s">
        <v>58</v>
      </c>
      <c r="Z526" s="22" t="s">
        <v>58</v>
      </c>
      <c r="AA526" s="22" t="s">
        <v>58</v>
      </c>
      <c r="AB526" s="22" t="s">
        <v>58</v>
      </c>
      <c r="AC526" s="22" t="s">
        <v>58</v>
      </c>
      <c r="AD526" s="22" t="s">
        <v>58</v>
      </c>
      <c r="AE526" s="22" t="s">
        <v>61</v>
      </c>
      <c r="AF526" s="22" t="s">
        <v>61</v>
      </c>
      <c r="AG526" s="22" t="s">
        <v>58</v>
      </c>
      <c r="AH526" s="22">
        <v>250.0</v>
      </c>
      <c r="AI526" s="22">
        <v>5000.0</v>
      </c>
      <c r="AJ526" s="22">
        <v>250.0</v>
      </c>
      <c r="AK526" s="22">
        <v>0.0</v>
      </c>
      <c r="AL526" s="22"/>
      <c r="AM526" s="22"/>
      <c r="AN526" s="22"/>
      <c r="AO526" s="22"/>
    </row>
    <row r="527" ht="15.75" customHeight="1">
      <c r="A527" s="22">
        <v>519.0</v>
      </c>
      <c r="B527" s="22" t="s">
        <v>3902</v>
      </c>
      <c r="C527" s="22" t="s">
        <v>3903</v>
      </c>
      <c r="D527" s="22" t="s">
        <v>3905</v>
      </c>
      <c r="E527" s="22" t="s">
        <v>49</v>
      </c>
      <c r="F527" s="42" t="s">
        <v>3906</v>
      </c>
      <c r="G527" s="24" t="s">
        <v>69</v>
      </c>
      <c r="H527" s="22" t="s">
        <v>3908</v>
      </c>
      <c r="I527" s="22" t="s">
        <v>3909</v>
      </c>
      <c r="J527" s="22" t="s">
        <v>74</v>
      </c>
      <c r="K527" s="22" t="s">
        <v>55</v>
      </c>
      <c r="L527" s="22" t="s">
        <v>56</v>
      </c>
      <c r="M527" s="22" t="s">
        <v>57</v>
      </c>
      <c r="N527" s="22" t="s">
        <v>58</v>
      </c>
      <c r="O527" s="22">
        <v>800.0</v>
      </c>
      <c r="P527" s="22">
        <v>1000.0</v>
      </c>
      <c r="Q527" s="22" t="s">
        <v>59</v>
      </c>
      <c r="R527" s="22" t="s">
        <v>58</v>
      </c>
      <c r="S527" s="22" t="s">
        <v>58</v>
      </c>
      <c r="T527" s="22"/>
      <c r="U527" s="22"/>
      <c r="V527" s="22" t="s">
        <v>61</v>
      </c>
      <c r="W527" s="22" t="s">
        <v>58</v>
      </c>
      <c r="X527" s="22" t="s">
        <v>58</v>
      </c>
      <c r="Y527" s="22" t="s">
        <v>58</v>
      </c>
      <c r="Z527" s="22" t="s">
        <v>58</v>
      </c>
      <c r="AA527" s="22" t="s">
        <v>58</v>
      </c>
      <c r="AB527" s="22" t="s">
        <v>58</v>
      </c>
      <c r="AC527" s="22" t="s">
        <v>58</v>
      </c>
      <c r="AD527" s="22" t="s">
        <v>58</v>
      </c>
      <c r="AE527" s="22" t="s">
        <v>61</v>
      </c>
      <c r="AF527" s="22" t="s">
        <v>61</v>
      </c>
      <c r="AG527" s="22" t="s">
        <v>58</v>
      </c>
      <c r="AH527" s="22">
        <v>10.0</v>
      </c>
      <c r="AI527" s="22">
        <v>5000.0</v>
      </c>
      <c r="AJ527" s="22">
        <v>10.0</v>
      </c>
      <c r="AK527" s="22">
        <v>0.0</v>
      </c>
      <c r="AL527" s="22"/>
      <c r="AM527" s="22"/>
      <c r="AN527" s="22"/>
      <c r="AO527" s="22"/>
    </row>
    <row r="528" ht="15.75" customHeight="1">
      <c r="A528" s="22">
        <v>520.0</v>
      </c>
      <c r="B528" s="22" t="s">
        <v>3911</v>
      </c>
      <c r="C528" s="22" t="s">
        <v>3912</v>
      </c>
      <c r="D528" s="66" t="s">
        <v>3913</v>
      </c>
      <c r="E528" s="22" t="s">
        <v>49</v>
      </c>
      <c r="F528" s="42" t="s">
        <v>3914</v>
      </c>
      <c r="G528" s="81" t="s">
        <v>3915</v>
      </c>
      <c r="H528" s="22" t="s">
        <v>727</v>
      </c>
      <c r="I528" s="22" t="s">
        <v>729</v>
      </c>
      <c r="J528" s="22" t="s">
        <v>74</v>
      </c>
      <c r="K528" s="22" t="s">
        <v>55</v>
      </c>
      <c r="L528" s="22" t="s">
        <v>56</v>
      </c>
      <c r="M528" s="22" t="s">
        <v>57</v>
      </c>
      <c r="N528" s="22" t="s">
        <v>58</v>
      </c>
      <c r="O528" s="22">
        <v>299.0</v>
      </c>
      <c r="P528" s="22">
        <v>399.0</v>
      </c>
      <c r="Q528" s="22" t="s">
        <v>59</v>
      </c>
      <c r="R528" s="22" t="s">
        <v>58</v>
      </c>
      <c r="S528" s="22" t="s">
        <v>58</v>
      </c>
      <c r="T528" s="22"/>
      <c r="U528" s="22"/>
      <c r="V528" s="22" t="s">
        <v>61</v>
      </c>
      <c r="W528" s="22" t="s">
        <v>58</v>
      </c>
      <c r="X528" s="22" t="s">
        <v>58</v>
      </c>
      <c r="Y528" s="22" t="s">
        <v>58</v>
      </c>
      <c r="Z528" s="22" t="s">
        <v>58</v>
      </c>
      <c r="AA528" s="22" t="s">
        <v>58</v>
      </c>
      <c r="AB528" s="22" t="s">
        <v>58</v>
      </c>
      <c r="AC528" s="22" t="s">
        <v>58</v>
      </c>
      <c r="AD528" s="22" t="s">
        <v>58</v>
      </c>
      <c r="AE528" s="22" t="s">
        <v>61</v>
      </c>
      <c r="AF528" s="22" t="s">
        <v>61</v>
      </c>
      <c r="AG528" s="22" t="s">
        <v>58</v>
      </c>
      <c r="AH528" s="22">
        <v>20.0</v>
      </c>
      <c r="AI528" s="22">
        <v>2000.0</v>
      </c>
      <c r="AJ528" s="22">
        <v>20.0</v>
      </c>
      <c r="AK528" s="22">
        <v>0.0</v>
      </c>
      <c r="AL528" s="22"/>
      <c r="AM528" s="22"/>
      <c r="AN528" s="22"/>
      <c r="AO528" s="22"/>
    </row>
    <row r="529" ht="15.75" customHeight="1">
      <c r="A529" s="22">
        <v>521.0</v>
      </c>
      <c r="B529" s="22" t="s">
        <v>3918</v>
      </c>
      <c r="C529" s="22" t="s">
        <v>3919</v>
      </c>
      <c r="D529" s="66" t="s">
        <v>3920</v>
      </c>
      <c r="E529" s="22" t="s">
        <v>49</v>
      </c>
      <c r="F529" s="42" t="s">
        <v>3921</v>
      </c>
      <c r="G529" s="54" t="s">
        <v>69</v>
      </c>
      <c r="H529" s="22" t="s">
        <v>123</v>
      </c>
      <c r="I529" s="22" t="s">
        <v>124</v>
      </c>
      <c r="J529" s="22" t="s">
        <v>74</v>
      </c>
      <c r="K529" s="22" t="s">
        <v>55</v>
      </c>
      <c r="L529" s="22" t="s">
        <v>56</v>
      </c>
      <c r="M529" s="22" t="s">
        <v>57</v>
      </c>
      <c r="N529" s="22" t="s">
        <v>58</v>
      </c>
      <c r="O529" s="22">
        <v>550.0</v>
      </c>
      <c r="P529" s="22">
        <v>750.0</v>
      </c>
      <c r="Q529" s="22" t="s">
        <v>59</v>
      </c>
      <c r="R529" s="22" t="s">
        <v>58</v>
      </c>
      <c r="S529" s="22" t="s">
        <v>58</v>
      </c>
      <c r="T529" s="22"/>
      <c r="U529" s="22"/>
      <c r="V529" s="22" t="s">
        <v>61</v>
      </c>
      <c r="W529" s="22" t="s">
        <v>58</v>
      </c>
      <c r="X529" s="22" t="s">
        <v>58</v>
      </c>
      <c r="Y529" s="22" t="s">
        <v>58</v>
      </c>
      <c r="Z529" s="22" t="s">
        <v>58</v>
      </c>
      <c r="AA529" s="22" t="s">
        <v>58</v>
      </c>
      <c r="AB529" s="22" t="s">
        <v>58</v>
      </c>
      <c r="AC529" s="22" t="s">
        <v>58</v>
      </c>
      <c r="AD529" s="22" t="s">
        <v>58</v>
      </c>
      <c r="AE529" s="22" t="s">
        <v>61</v>
      </c>
      <c r="AF529" s="22" t="s">
        <v>61</v>
      </c>
      <c r="AG529" s="22" t="s">
        <v>58</v>
      </c>
      <c r="AH529" s="22">
        <v>100.0</v>
      </c>
      <c r="AI529" s="22">
        <v>4000.0</v>
      </c>
      <c r="AJ529" s="22">
        <v>100.0</v>
      </c>
      <c r="AK529" s="22">
        <v>0.0</v>
      </c>
      <c r="AL529" s="22"/>
      <c r="AM529" s="22"/>
      <c r="AN529" s="22"/>
      <c r="AO529" s="22"/>
    </row>
    <row r="530" ht="15.75" customHeight="1">
      <c r="A530" s="22">
        <v>522.0</v>
      </c>
      <c r="B530" s="22" t="s">
        <v>3922</v>
      </c>
      <c r="C530" s="22" t="s">
        <v>3923</v>
      </c>
      <c r="D530" s="66" t="s">
        <v>3924</v>
      </c>
      <c r="E530" s="22" t="s">
        <v>49</v>
      </c>
      <c r="F530" s="24" t="s">
        <v>69</v>
      </c>
      <c r="G530" s="24" t="s">
        <v>69</v>
      </c>
      <c r="H530" s="22" t="s">
        <v>123</v>
      </c>
      <c r="I530" s="22" t="s">
        <v>124</v>
      </c>
      <c r="J530" s="22" t="s">
        <v>74</v>
      </c>
      <c r="K530" s="22" t="s">
        <v>55</v>
      </c>
      <c r="L530" s="22" t="s">
        <v>56</v>
      </c>
      <c r="M530" s="22" t="s">
        <v>57</v>
      </c>
      <c r="N530" s="22" t="s">
        <v>58</v>
      </c>
      <c r="O530" s="22">
        <v>1050.0</v>
      </c>
      <c r="P530" s="22">
        <v>1250.0</v>
      </c>
      <c r="Q530" s="22" t="s">
        <v>59</v>
      </c>
      <c r="R530" s="22" t="s">
        <v>58</v>
      </c>
      <c r="S530" s="22" t="s">
        <v>58</v>
      </c>
      <c r="T530" s="22"/>
      <c r="U530" s="22"/>
      <c r="V530" s="22" t="s">
        <v>61</v>
      </c>
      <c r="W530" s="22" t="s">
        <v>58</v>
      </c>
      <c r="X530" s="22" t="s">
        <v>58</v>
      </c>
      <c r="Y530" s="22" t="s">
        <v>58</v>
      </c>
      <c r="Z530" s="22" t="s">
        <v>58</v>
      </c>
      <c r="AA530" s="22" t="s">
        <v>58</v>
      </c>
      <c r="AB530" s="22" t="s">
        <v>58</v>
      </c>
      <c r="AC530" s="22" t="s">
        <v>58</v>
      </c>
      <c r="AD530" s="22" t="s">
        <v>58</v>
      </c>
      <c r="AE530" s="22" t="s">
        <v>61</v>
      </c>
      <c r="AF530" s="22" t="s">
        <v>61</v>
      </c>
      <c r="AG530" s="22" t="s">
        <v>58</v>
      </c>
      <c r="AH530" s="22">
        <v>150.0</v>
      </c>
      <c r="AI530" s="22">
        <v>5000.0</v>
      </c>
      <c r="AJ530" s="22">
        <v>150.0</v>
      </c>
      <c r="AK530" s="22">
        <v>0.0</v>
      </c>
      <c r="AL530" s="22"/>
      <c r="AM530" s="22"/>
      <c r="AN530" s="22"/>
      <c r="AO530" s="22"/>
    </row>
    <row r="531" ht="15.75" customHeight="1">
      <c r="A531" s="22">
        <v>523.0</v>
      </c>
      <c r="B531" s="22" t="s">
        <v>607</v>
      </c>
      <c r="C531" s="22" t="s">
        <v>608</v>
      </c>
      <c r="D531" s="66" t="s">
        <v>609</v>
      </c>
      <c r="E531" s="22" t="s">
        <v>49</v>
      </c>
      <c r="F531" s="42" t="s">
        <v>3925</v>
      </c>
      <c r="G531" s="124">
        <f>+91-9810782414</f>
        <v>-9810782323</v>
      </c>
      <c r="H531" s="22" t="s">
        <v>147</v>
      </c>
      <c r="I531" s="22" t="s">
        <v>148</v>
      </c>
      <c r="J531" s="22" t="s">
        <v>148</v>
      </c>
      <c r="K531" s="22" t="s">
        <v>55</v>
      </c>
      <c r="L531" s="22" t="s">
        <v>56</v>
      </c>
      <c r="M531" s="22" t="s">
        <v>57</v>
      </c>
      <c r="N531" s="22" t="s">
        <v>58</v>
      </c>
      <c r="O531" s="22">
        <v>850.0</v>
      </c>
      <c r="P531" s="22">
        <v>1000.0</v>
      </c>
      <c r="Q531" s="22" t="s">
        <v>59</v>
      </c>
      <c r="R531" s="22" t="s">
        <v>58</v>
      </c>
      <c r="S531" s="22" t="s">
        <v>58</v>
      </c>
      <c r="T531" s="22"/>
      <c r="U531" s="22"/>
      <c r="V531" s="22" t="s">
        <v>61</v>
      </c>
      <c r="W531" s="22" t="s">
        <v>58</v>
      </c>
      <c r="X531" s="22" t="s">
        <v>58</v>
      </c>
      <c r="Y531" s="22" t="s">
        <v>58</v>
      </c>
      <c r="Z531" s="22" t="s">
        <v>58</v>
      </c>
      <c r="AA531" s="22" t="s">
        <v>58</v>
      </c>
      <c r="AB531" s="22" t="s">
        <v>58</v>
      </c>
      <c r="AC531" s="22" t="s">
        <v>58</v>
      </c>
      <c r="AD531" s="22" t="s">
        <v>58</v>
      </c>
      <c r="AE531" s="22" t="s">
        <v>61</v>
      </c>
      <c r="AF531" s="22" t="s">
        <v>61</v>
      </c>
      <c r="AG531" s="22" t="s">
        <v>58</v>
      </c>
      <c r="AH531" s="22">
        <v>50.0</v>
      </c>
      <c r="AI531" s="22">
        <v>300.0</v>
      </c>
      <c r="AJ531" s="22">
        <v>50.0</v>
      </c>
      <c r="AK531" s="22">
        <v>0.0</v>
      </c>
      <c r="AL531" s="22"/>
      <c r="AM531" s="22"/>
      <c r="AN531" s="22"/>
      <c r="AO531" s="22"/>
    </row>
    <row r="532">
      <c r="A532" s="22">
        <v>524.0</v>
      </c>
      <c r="B532" s="22" t="s">
        <v>3928</v>
      </c>
      <c r="C532" s="22" t="s">
        <v>3929</v>
      </c>
      <c r="D532" s="66" t="s">
        <v>942</v>
      </c>
      <c r="E532" s="22" t="s">
        <v>49</v>
      </c>
      <c r="F532" s="42" t="s">
        <v>2662</v>
      </c>
      <c r="G532" s="71" t="s">
        <v>3931</v>
      </c>
      <c r="H532" s="22" t="s">
        <v>123</v>
      </c>
      <c r="I532" s="22" t="s">
        <v>124</v>
      </c>
      <c r="J532" s="22" t="s">
        <v>74</v>
      </c>
      <c r="K532" s="22" t="s">
        <v>55</v>
      </c>
      <c r="L532" s="22" t="s">
        <v>56</v>
      </c>
      <c r="M532" s="22" t="s">
        <v>57</v>
      </c>
      <c r="N532" s="22" t="s">
        <v>58</v>
      </c>
      <c r="O532" s="22">
        <v>450.0</v>
      </c>
      <c r="P532" s="22">
        <v>600.0</v>
      </c>
      <c r="Q532" s="22" t="s">
        <v>59</v>
      </c>
      <c r="R532" s="22" t="s">
        <v>58</v>
      </c>
      <c r="S532" s="22" t="s">
        <v>58</v>
      </c>
      <c r="T532" s="22"/>
      <c r="U532" s="22"/>
      <c r="V532" s="22" t="s">
        <v>61</v>
      </c>
      <c r="W532" s="22" t="s">
        <v>58</v>
      </c>
      <c r="X532" s="22" t="s">
        <v>58</v>
      </c>
      <c r="Y532" s="22" t="s">
        <v>58</v>
      </c>
      <c r="Z532" s="22" t="s">
        <v>58</v>
      </c>
      <c r="AA532" s="22" t="s">
        <v>58</v>
      </c>
      <c r="AB532" s="22" t="s">
        <v>58</v>
      </c>
      <c r="AC532" s="22" t="s">
        <v>58</v>
      </c>
      <c r="AD532" s="22" t="s">
        <v>58</v>
      </c>
      <c r="AE532" s="22" t="s">
        <v>61</v>
      </c>
      <c r="AF532" s="22" t="s">
        <v>61</v>
      </c>
      <c r="AG532" s="22" t="s">
        <v>58</v>
      </c>
      <c r="AH532" s="22">
        <v>20.0</v>
      </c>
      <c r="AI532" s="22">
        <v>5000.0</v>
      </c>
      <c r="AJ532" s="22">
        <v>20.0</v>
      </c>
      <c r="AK532" s="22">
        <v>0.0</v>
      </c>
      <c r="AL532" s="22"/>
      <c r="AM532" s="22"/>
      <c r="AN532" s="22"/>
      <c r="AO532" s="22"/>
    </row>
    <row r="533" ht="15.75" customHeight="1">
      <c r="A533" s="22">
        <v>525.0</v>
      </c>
      <c r="B533" s="22" t="s">
        <v>1285</v>
      </c>
      <c r="C533" s="22" t="s">
        <v>1286</v>
      </c>
      <c r="D533" s="24" t="s">
        <v>69</v>
      </c>
      <c r="E533" s="22" t="s">
        <v>49</v>
      </c>
      <c r="F533" s="24" t="s">
        <v>69</v>
      </c>
      <c r="G533" s="24" t="s">
        <v>69</v>
      </c>
      <c r="H533" s="22" t="s">
        <v>1288</v>
      </c>
      <c r="I533" s="22" t="s">
        <v>1289</v>
      </c>
      <c r="J533" s="22" t="s">
        <v>1289</v>
      </c>
      <c r="K533" s="22" t="s">
        <v>55</v>
      </c>
      <c r="L533" s="22" t="s">
        <v>56</v>
      </c>
      <c r="M533" s="22" t="s">
        <v>57</v>
      </c>
      <c r="N533" s="22" t="s">
        <v>58</v>
      </c>
      <c r="O533" s="22">
        <v>900.0</v>
      </c>
      <c r="P533" s="22">
        <v>1000.0</v>
      </c>
      <c r="Q533" s="22" t="s">
        <v>59</v>
      </c>
      <c r="R533" s="22" t="s">
        <v>58</v>
      </c>
      <c r="S533" s="22" t="s">
        <v>58</v>
      </c>
      <c r="T533" s="22"/>
      <c r="U533" s="22"/>
      <c r="V533" s="22" t="s">
        <v>61</v>
      </c>
      <c r="W533" s="22" t="s">
        <v>58</v>
      </c>
      <c r="X533" s="22" t="s">
        <v>58</v>
      </c>
      <c r="Y533" s="22" t="s">
        <v>58</v>
      </c>
      <c r="Z533" s="22" t="s">
        <v>58</v>
      </c>
      <c r="AA533" s="22" t="s">
        <v>58</v>
      </c>
      <c r="AB533" s="22" t="s">
        <v>58</v>
      </c>
      <c r="AC533" s="22" t="s">
        <v>58</v>
      </c>
      <c r="AD533" s="22" t="s">
        <v>58</v>
      </c>
      <c r="AE533" s="22" t="s">
        <v>61</v>
      </c>
      <c r="AF533" s="22" t="s">
        <v>61</v>
      </c>
      <c r="AG533" s="22" t="s">
        <v>58</v>
      </c>
      <c r="AH533" s="22">
        <v>10.0</v>
      </c>
      <c r="AI533" s="22">
        <v>1000.0</v>
      </c>
      <c r="AJ533" s="22">
        <v>10.0</v>
      </c>
      <c r="AK533" s="22">
        <v>0.0</v>
      </c>
      <c r="AL533" s="22"/>
      <c r="AM533" s="22"/>
      <c r="AN533" s="22"/>
      <c r="AO533" s="22"/>
    </row>
    <row r="534" ht="15.75" customHeight="1">
      <c r="A534" s="22">
        <v>526.0</v>
      </c>
      <c r="B534" s="22" t="s">
        <v>3933</v>
      </c>
      <c r="C534" s="22" t="s">
        <v>3934</v>
      </c>
      <c r="D534" s="66" t="s">
        <v>3935</v>
      </c>
      <c r="E534" s="22" t="s">
        <v>49</v>
      </c>
      <c r="F534" s="42" t="s">
        <v>3936</v>
      </c>
      <c r="G534" s="82">
        <v>8.853268336E9</v>
      </c>
      <c r="H534" s="22" t="s">
        <v>2906</v>
      </c>
      <c r="I534" s="22" t="s">
        <v>2907</v>
      </c>
      <c r="J534" s="22" t="s">
        <v>2907</v>
      </c>
      <c r="K534" s="22" t="s">
        <v>55</v>
      </c>
      <c r="L534" s="22" t="s">
        <v>56</v>
      </c>
      <c r="M534" s="22" t="s">
        <v>57</v>
      </c>
      <c r="N534" s="22" t="s">
        <v>58</v>
      </c>
      <c r="O534" s="22">
        <v>500.0</v>
      </c>
      <c r="P534" s="22">
        <v>800.0</v>
      </c>
      <c r="Q534" s="22" t="s">
        <v>59</v>
      </c>
      <c r="R534" s="22" t="s">
        <v>58</v>
      </c>
      <c r="S534" s="22" t="s">
        <v>58</v>
      </c>
      <c r="T534" s="22"/>
      <c r="U534" s="22"/>
      <c r="V534" s="22" t="s">
        <v>61</v>
      </c>
      <c r="W534" s="22" t="s">
        <v>58</v>
      </c>
      <c r="X534" s="22" t="s">
        <v>58</v>
      </c>
      <c r="Y534" s="22" t="s">
        <v>58</v>
      </c>
      <c r="Z534" s="22" t="s">
        <v>58</v>
      </c>
      <c r="AA534" s="22" t="s">
        <v>58</v>
      </c>
      <c r="AB534" s="22" t="s">
        <v>58</v>
      </c>
      <c r="AC534" s="22" t="s">
        <v>58</v>
      </c>
      <c r="AD534" s="22" t="s">
        <v>58</v>
      </c>
      <c r="AE534" s="22" t="s">
        <v>61</v>
      </c>
      <c r="AF534" s="22" t="s">
        <v>61</v>
      </c>
      <c r="AG534" s="22" t="s">
        <v>58</v>
      </c>
      <c r="AH534" s="22">
        <v>25.0</v>
      </c>
      <c r="AI534" s="22">
        <v>1000.0</v>
      </c>
      <c r="AJ534" s="22">
        <v>25.0</v>
      </c>
      <c r="AK534" s="22">
        <v>0.0</v>
      </c>
      <c r="AL534" s="22"/>
      <c r="AM534" s="22"/>
      <c r="AN534" s="22"/>
      <c r="AO534" s="22"/>
    </row>
    <row r="535" ht="15.75" customHeight="1">
      <c r="A535" s="22">
        <v>527.0</v>
      </c>
      <c r="B535" s="22" t="s">
        <v>3940</v>
      </c>
      <c r="C535" s="22" t="s">
        <v>3941</v>
      </c>
      <c r="D535" s="22" t="s">
        <v>3942</v>
      </c>
      <c r="E535" s="22" t="s">
        <v>49</v>
      </c>
      <c r="F535" s="24" t="s">
        <v>69</v>
      </c>
      <c r="G535" s="24" t="s">
        <v>69</v>
      </c>
      <c r="H535" s="22" t="s">
        <v>123</v>
      </c>
      <c r="I535" s="22" t="s">
        <v>124</v>
      </c>
      <c r="J535" s="22" t="s">
        <v>74</v>
      </c>
      <c r="K535" s="22" t="s">
        <v>55</v>
      </c>
      <c r="L535" s="22" t="s">
        <v>56</v>
      </c>
      <c r="M535" s="22" t="s">
        <v>57</v>
      </c>
      <c r="N535" s="22" t="s">
        <v>58</v>
      </c>
      <c r="O535" s="22">
        <v>400.0</v>
      </c>
      <c r="P535" s="22">
        <v>500.0</v>
      </c>
      <c r="Q535" s="22" t="s">
        <v>59</v>
      </c>
      <c r="R535" s="22" t="s">
        <v>58</v>
      </c>
      <c r="S535" s="22" t="s">
        <v>58</v>
      </c>
      <c r="T535" s="24" t="s">
        <v>3943</v>
      </c>
      <c r="U535" s="24" t="s">
        <v>3944</v>
      </c>
      <c r="V535" s="22" t="s">
        <v>61</v>
      </c>
      <c r="W535" s="22" t="s">
        <v>58</v>
      </c>
      <c r="X535" s="22" t="s">
        <v>58</v>
      </c>
      <c r="Y535" s="22" t="s">
        <v>58</v>
      </c>
      <c r="Z535" s="22" t="s">
        <v>58</v>
      </c>
      <c r="AA535" s="22" t="s">
        <v>58</v>
      </c>
      <c r="AB535" s="22" t="s">
        <v>58</v>
      </c>
      <c r="AC535" s="22" t="s">
        <v>58</v>
      </c>
      <c r="AD535" s="22" t="s">
        <v>58</v>
      </c>
      <c r="AE535" s="22" t="s">
        <v>61</v>
      </c>
      <c r="AF535" s="22" t="s">
        <v>61</v>
      </c>
      <c r="AG535" s="22" t="s">
        <v>58</v>
      </c>
      <c r="AH535" s="22">
        <v>100.0</v>
      </c>
      <c r="AI535" s="22">
        <v>9976.0</v>
      </c>
      <c r="AJ535" s="22">
        <v>100.0</v>
      </c>
      <c r="AK535" s="22">
        <v>0.0</v>
      </c>
      <c r="AL535" s="22"/>
      <c r="AM535" s="22"/>
      <c r="AN535" s="22"/>
      <c r="AO535" s="22"/>
    </row>
    <row r="536" ht="15.75" customHeight="1">
      <c r="A536" s="22">
        <v>528.0</v>
      </c>
      <c r="B536" s="22" t="s">
        <v>3885</v>
      </c>
      <c r="C536" s="22" t="s">
        <v>3886</v>
      </c>
      <c r="D536" s="66" t="s">
        <v>3946</v>
      </c>
      <c r="E536" s="22" t="s">
        <v>49</v>
      </c>
      <c r="F536" s="42" t="s">
        <v>3948</v>
      </c>
      <c r="G536" s="24" t="s">
        <v>69</v>
      </c>
      <c r="H536" s="22" t="s">
        <v>142</v>
      </c>
      <c r="I536" s="22" t="s">
        <v>144</v>
      </c>
      <c r="J536" s="22" t="s">
        <v>74</v>
      </c>
      <c r="K536" s="22" t="s">
        <v>55</v>
      </c>
      <c r="L536" s="22" t="s">
        <v>56</v>
      </c>
      <c r="M536" s="22" t="s">
        <v>57</v>
      </c>
      <c r="N536" s="22" t="s">
        <v>58</v>
      </c>
      <c r="O536" s="22">
        <v>350.0</v>
      </c>
      <c r="P536" s="22"/>
      <c r="Q536" s="22" t="s">
        <v>59</v>
      </c>
      <c r="R536" s="22" t="s">
        <v>58</v>
      </c>
      <c r="S536" s="22" t="s">
        <v>58</v>
      </c>
      <c r="T536" s="22"/>
      <c r="U536" s="22"/>
      <c r="V536" s="22" t="s">
        <v>61</v>
      </c>
      <c r="W536" s="22" t="s">
        <v>58</v>
      </c>
      <c r="X536" s="22" t="s">
        <v>58</v>
      </c>
      <c r="Y536" s="22" t="s">
        <v>58</v>
      </c>
      <c r="Z536" s="22" t="s">
        <v>58</v>
      </c>
      <c r="AA536" s="22" t="s">
        <v>58</v>
      </c>
      <c r="AB536" s="22" t="s">
        <v>58</v>
      </c>
      <c r="AC536" s="22" t="s">
        <v>58</v>
      </c>
      <c r="AD536" s="22" t="s">
        <v>58</v>
      </c>
      <c r="AE536" s="22" t="s">
        <v>61</v>
      </c>
      <c r="AF536" s="22" t="s">
        <v>61</v>
      </c>
      <c r="AG536" s="22" t="s">
        <v>58</v>
      </c>
      <c r="AH536" s="22">
        <v>25.0</v>
      </c>
      <c r="AI536" s="22">
        <v>25000.0</v>
      </c>
      <c r="AJ536" s="22">
        <v>25.0</v>
      </c>
      <c r="AK536" s="22">
        <v>0.0</v>
      </c>
      <c r="AL536" s="22"/>
      <c r="AM536" s="22"/>
      <c r="AN536" s="22"/>
      <c r="AO536" s="22"/>
    </row>
    <row r="537" ht="15.75" customHeight="1">
      <c r="A537" s="22">
        <v>529.0</v>
      </c>
      <c r="B537" s="22" t="s">
        <v>3950</v>
      </c>
      <c r="C537" s="22" t="s">
        <v>3951</v>
      </c>
      <c r="D537" s="66" t="s">
        <v>3952</v>
      </c>
      <c r="E537" s="22" t="s">
        <v>49</v>
      </c>
      <c r="F537" s="42" t="s">
        <v>3953</v>
      </c>
      <c r="G537" s="71" t="s">
        <v>3954</v>
      </c>
      <c r="H537" s="22" t="s">
        <v>1599</v>
      </c>
      <c r="I537" s="22" t="s">
        <v>1601</v>
      </c>
      <c r="J537" s="22" t="s">
        <v>74</v>
      </c>
      <c r="K537" s="22" t="s">
        <v>55</v>
      </c>
      <c r="L537" s="22" t="s">
        <v>56</v>
      </c>
      <c r="M537" s="22" t="s">
        <v>57</v>
      </c>
      <c r="N537" s="22" t="s">
        <v>58</v>
      </c>
      <c r="O537" s="22">
        <v>500.0</v>
      </c>
      <c r="P537" s="22">
        <v>500.0</v>
      </c>
      <c r="Q537" s="22" t="s">
        <v>59</v>
      </c>
      <c r="R537" s="22" t="s">
        <v>58</v>
      </c>
      <c r="S537" s="22" t="s">
        <v>58</v>
      </c>
      <c r="T537" s="22"/>
      <c r="U537" s="22"/>
      <c r="V537" s="22" t="s">
        <v>61</v>
      </c>
      <c r="W537" s="22" t="s">
        <v>58</v>
      </c>
      <c r="X537" s="22" t="s">
        <v>58</v>
      </c>
      <c r="Y537" s="22" t="s">
        <v>58</v>
      </c>
      <c r="Z537" s="22" t="s">
        <v>58</v>
      </c>
      <c r="AA537" s="22" t="s">
        <v>58</v>
      </c>
      <c r="AB537" s="22" t="s">
        <v>58</v>
      </c>
      <c r="AC537" s="22" t="s">
        <v>58</v>
      </c>
      <c r="AD537" s="22" t="s">
        <v>58</v>
      </c>
      <c r="AE537" s="22" t="s">
        <v>61</v>
      </c>
      <c r="AF537" s="22" t="s">
        <v>61</v>
      </c>
      <c r="AG537" s="22" t="s">
        <v>58</v>
      </c>
      <c r="AH537" s="22">
        <v>100.0</v>
      </c>
      <c r="AI537" s="22">
        <v>5000.0</v>
      </c>
      <c r="AJ537" s="22">
        <v>100.0</v>
      </c>
      <c r="AK537" s="22">
        <v>0.0</v>
      </c>
      <c r="AL537" s="22"/>
      <c r="AM537" s="22"/>
      <c r="AN537" s="22"/>
      <c r="AO537" s="22"/>
    </row>
    <row r="538" ht="15.75" customHeight="1">
      <c r="A538" s="22">
        <v>530.0</v>
      </c>
      <c r="B538" s="22" t="s">
        <v>3313</v>
      </c>
      <c r="C538" s="22" t="s">
        <v>3315</v>
      </c>
      <c r="D538" s="66" t="s">
        <v>3962</v>
      </c>
      <c r="E538" s="22" t="s">
        <v>49</v>
      </c>
      <c r="F538" s="24" t="s">
        <v>69</v>
      </c>
      <c r="G538" s="24" t="s">
        <v>69</v>
      </c>
      <c r="H538" s="22" t="s">
        <v>1475</v>
      </c>
      <c r="I538" s="22" t="s">
        <v>1476</v>
      </c>
      <c r="J538" s="22" t="s">
        <v>74</v>
      </c>
      <c r="K538" s="22" t="s">
        <v>55</v>
      </c>
      <c r="L538" s="22" t="s">
        <v>56</v>
      </c>
      <c r="M538" s="22" t="s">
        <v>57</v>
      </c>
      <c r="N538" s="22" t="s">
        <v>58</v>
      </c>
      <c r="O538" s="22">
        <v>1000.0</v>
      </c>
      <c r="P538" s="22">
        <v>1200.0</v>
      </c>
      <c r="Q538" s="22" t="s">
        <v>59</v>
      </c>
      <c r="R538" s="22" t="s">
        <v>58</v>
      </c>
      <c r="S538" s="22" t="s">
        <v>58</v>
      </c>
      <c r="T538" s="22"/>
      <c r="U538" s="22"/>
      <c r="V538" s="22" t="s">
        <v>61</v>
      </c>
      <c r="W538" s="22" t="s">
        <v>58</v>
      </c>
      <c r="X538" s="22" t="s">
        <v>58</v>
      </c>
      <c r="Y538" s="22" t="s">
        <v>58</v>
      </c>
      <c r="Z538" s="22" t="s">
        <v>58</v>
      </c>
      <c r="AA538" s="22" t="s">
        <v>58</v>
      </c>
      <c r="AB538" s="22" t="s">
        <v>58</v>
      </c>
      <c r="AC538" s="22" t="s">
        <v>58</v>
      </c>
      <c r="AD538" s="22" t="s">
        <v>58</v>
      </c>
      <c r="AE538" s="22" t="s">
        <v>61</v>
      </c>
      <c r="AF538" s="22" t="s">
        <v>61</v>
      </c>
      <c r="AG538" s="22" t="s">
        <v>58</v>
      </c>
      <c r="AH538" s="22">
        <v>100.0</v>
      </c>
      <c r="AI538" s="22">
        <v>4000.0</v>
      </c>
      <c r="AJ538" s="22">
        <v>100.0</v>
      </c>
      <c r="AK538" s="22">
        <v>0.0</v>
      </c>
      <c r="AL538" s="22"/>
      <c r="AM538" s="22"/>
      <c r="AN538" s="22"/>
      <c r="AO538" s="22"/>
    </row>
    <row r="539" ht="15.75" customHeight="1">
      <c r="A539" s="22">
        <v>531.0</v>
      </c>
      <c r="B539" s="22" t="s">
        <v>3963</v>
      </c>
      <c r="C539" s="22" t="s">
        <v>3964</v>
      </c>
      <c r="D539" s="66" t="s">
        <v>3965</v>
      </c>
      <c r="E539" s="22" t="s">
        <v>49</v>
      </c>
      <c r="F539" s="24" t="s">
        <v>69</v>
      </c>
      <c r="G539" s="24" t="s">
        <v>69</v>
      </c>
      <c r="H539" s="22" t="s">
        <v>1464</v>
      </c>
      <c r="I539" s="22" t="s">
        <v>1465</v>
      </c>
      <c r="J539" s="22" t="s">
        <v>74</v>
      </c>
      <c r="K539" s="22" t="s">
        <v>55</v>
      </c>
      <c r="L539" s="22" t="s">
        <v>56</v>
      </c>
      <c r="M539" s="22" t="s">
        <v>57</v>
      </c>
      <c r="N539" s="22" t="s">
        <v>58</v>
      </c>
      <c r="O539" s="22">
        <v>6500.0</v>
      </c>
      <c r="P539" s="22">
        <v>6500.0</v>
      </c>
      <c r="Q539" s="22" t="s">
        <v>59</v>
      </c>
      <c r="R539" s="22" t="s">
        <v>58</v>
      </c>
      <c r="S539" s="22" t="s">
        <v>58</v>
      </c>
      <c r="T539" s="22"/>
      <c r="U539" s="22"/>
      <c r="V539" s="22" t="s">
        <v>61</v>
      </c>
      <c r="W539" s="22" t="s">
        <v>58</v>
      </c>
      <c r="X539" s="22" t="s">
        <v>58</v>
      </c>
      <c r="Y539" s="22" t="s">
        <v>58</v>
      </c>
      <c r="Z539" s="22" t="s">
        <v>58</v>
      </c>
      <c r="AA539" s="22" t="s">
        <v>58</v>
      </c>
      <c r="AB539" s="22" t="s">
        <v>58</v>
      </c>
      <c r="AC539" s="22" t="s">
        <v>58</v>
      </c>
      <c r="AD539" s="22" t="s">
        <v>58</v>
      </c>
      <c r="AE539" s="22" t="s">
        <v>61</v>
      </c>
      <c r="AF539" s="22" t="s">
        <v>61</v>
      </c>
      <c r="AG539" s="22" t="s">
        <v>58</v>
      </c>
      <c r="AH539" s="22">
        <v>250.0</v>
      </c>
      <c r="AI539" s="22">
        <v>2000.0</v>
      </c>
      <c r="AJ539" s="22">
        <v>250.0</v>
      </c>
      <c r="AK539" s="22">
        <v>0.0</v>
      </c>
      <c r="AL539" s="22"/>
      <c r="AM539" s="22"/>
      <c r="AN539" s="22"/>
      <c r="AO539" s="22"/>
    </row>
    <row r="540" ht="15.75" customHeight="1">
      <c r="A540" s="22">
        <v>532.0</v>
      </c>
      <c r="B540" s="22" t="s">
        <v>976</v>
      </c>
      <c r="C540" s="22" t="s">
        <v>977</v>
      </c>
      <c r="D540" s="22" t="s">
        <v>978</v>
      </c>
      <c r="E540" s="22" t="s">
        <v>49</v>
      </c>
      <c r="F540" s="42" t="s">
        <v>3968</v>
      </c>
      <c r="G540" s="24" t="s">
        <v>69</v>
      </c>
      <c r="H540" s="22" t="s">
        <v>75</v>
      </c>
      <c r="I540" s="22" t="s">
        <v>76</v>
      </c>
      <c r="J540" s="22" t="s">
        <v>76</v>
      </c>
      <c r="K540" s="22" t="s">
        <v>55</v>
      </c>
      <c r="L540" s="22" t="s">
        <v>56</v>
      </c>
      <c r="M540" s="22" t="s">
        <v>57</v>
      </c>
      <c r="N540" s="22" t="s">
        <v>58</v>
      </c>
      <c r="O540" s="22">
        <v>999.0</v>
      </c>
      <c r="P540" s="22"/>
      <c r="Q540" s="22" t="s">
        <v>59</v>
      </c>
      <c r="R540" s="22" t="s">
        <v>58</v>
      </c>
      <c r="S540" s="22" t="s">
        <v>58</v>
      </c>
      <c r="T540" s="22" t="s">
        <v>275</v>
      </c>
      <c r="U540" s="22"/>
      <c r="V540" s="22" t="s">
        <v>61</v>
      </c>
      <c r="W540" s="22" t="s">
        <v>58</v>
      </c>
      <c r="X540" s="22" t="s">
        <v>58</v>
      </c>
      <c r="Y540" s="22" t="s">
        <v>58</v>
      </c>
      <c r="Z540" s="22" t="s">
        <v>58</v>
      </c>
      <c r="AA540" s="22" t="s">
        <v>58</v>
      </c>
      <c r="AB540" s="22" t="s">
        <v>58</v>
      </c>
      <c r="AC540" s="22" t="s">
        <v>58</v>
      </c>
      <c r="AD540" s="22" t="s">
        <v>58</v>
      </c>
      <c r="AE540" s="22" t="s">
        <v>61</v>
      </c>
      <c r="AF540" s="22" t="s">
        <v>61</v>
      </c>
      <c r="AG540" s="22" t="s">
        <v>58</v>
      </c>
      <c r="AH540" s="22">
        <v>50.0</v>
      </c>
      <c r="AI540" s="22">
        <v>10000.0</v>
      </c>
      <c r="AJ540" s="22">
        <v>50.0</v>
      </c>
      <c r="AK540" s="22">
        <v>0.0</v>
      </c>
      <c r="AL540" s="22"/>
      <c r="AM540" s="22"/>
      <c r="AN540" s="22"/>
      <c r="AO540" s="22"/>
    </row>
    <row r="541" ht="15.75" customHeight="1">
      <c r="A541" s="22">
        <v>533.0</v>
      </c>
      <c r="B541" s="22" t="s">
        <v>3970</v>
      </c>
      <c r="C541" s="22" t="s">
        <v>3971</v>
      </c>
      <c r="D541" s="22" t="s">
        <v>3972</v>
      </c>
      <c r="E541" s="22" t="s">
        <v>49</v>
      </c>
      <c r="F541" s="42" t="s">
        <v>3973</v>
      </c>
      <c r="G541" s="81" t="s">
        <v>3974</v>
      </c>
      <c r="H541" s="22" t="s">
        <v>3975</v>
      </c>
      <c r="I541" s="22" t="s">
        <v>3976</v>
      </c>
      <c r="J541" s="22" t="s">
        <v>74</v>
      </c>
      <c r="K541" s="22" t="s">
        <v>55</v>
      </c>
      <c r="L541" s="22" t="s">
        <v>56</v>
      </c>
      <c r="M541" s="22" t="s">
        <v>57</v>
      </c>
      <c r="N541" s="22" t="s">
        <v>58</v>
      </c>
      <c r="O541" s="22">
        <v>450.0</v>
      </c>
      <c r="P541" s="22">
        <v>450.0</v>
      </c>
      <c r="Q541" s="22" t="s">
        <v>59</v>
      </c>
      <c r="R541" s="22" t="s">
        <v>58</v>
      </c>
      <c r="S541" s="22" t="s">
        <v>58</v>
      </c>
      <c r="T541" s="22" t="s">
        <v>275</v>
      </c>
      <c r="U541" s="22"/>
      <c r="V541" s="22" t="s">
        <v>61</v>
      </c>
      <c r="W541" s="22" t="s">
        <v>58</v>
      </c>
      <c r="X541" s="22" t="s">
        <v>58</v>
      </c>
      <c r="Y541" s="22" t="s">
        <v>58</v>
      </c>
      <c r="Z541" s="22" t="s">
        <v>58</v>
      </c>
      <c r="AA541" s="22" t="s">
        <v>58</v>
      </c>
      <c r="AB541" s="22" t="s">
        <v>58</v>
      </c>
      <c r="AC541" s="22" t="s">
        <v>58</v>
      </c>
      <c r="AD541" s="22" t="s">
        <v>58</v>
      </c>
      <c r="AE541" s="22" t="s">
        <v>61</v>
      </c>
      <c r="AF541" s="22" t="s">
        <v>61</v>
      </c>
      <c r="AG541" s="22" t="s">
        <v>58</v>
      </c>
      <c r="AH541" s="22">
        <v>20.0</v>
      </c>
      <c r="AI541" s="22">
        <v>1000.0</v>
      </c>
      <c r="AJ541" s="22">
        <v>20.0</v>
      </c>
      <c r="AK541" s="22">
        <v>0.0</v>
      </c>
      <c r="AL541" s="22"/>
      <c r="AM541" s="22"/>
      <c r="AN541" s="22"/>
      <c r="AO541" s="22"/>
    </row>
    <row r="542" ht="15.75" customHeight="1">
      <c r="A542" s="22">
        <v>534.0</v>
      </c>
      <c r="B542" s="22" t="s">
        <v>424</v>
      </c>
      <c r="C542" s="22" t="s">
        <v>425</v>
      </c>
      <c r="D542" s="66" t="s">
        <v>3985</v>
      </c>
      <c r="E542" s="22" t="s">
        <v>49</v>
      </c>
      <c r="F542" s="42" t="s">
        <v>3986</v>
      </c>
      <c r="G542" s="81" t="s">
        <v>3987</v>
      </c>
      <c r="H542" s="22" t="s">
        <v>147</v>
      </c>
      <c r="I542" s="22" t="s">
        <v>148</v>
      </c>
      <c r="J542" s="22" t="s">
        <v>148</v>
      </c>
      <c r="K542" s="22" t="s">
        <v>55</v>
      </c>
      <c r="L542" s="22" t="s">
        <v>56</v>
      </c>
      <c r="M542" s="22" t="s">
        <v>57</v>
      </c>
      <c r="N542" s="22" t="s">
        <v>58</v>
      </c>
      <c r="O542" s="22">
        <v>950.0</v>
      </c>
      <c r="P542" s="22">
        <v>1050.0</v>
      </c>
      <c r="Q542" s="22" t="s">
        <v>59</v>
      </c>
      <c r="R542" s="22" t="s">
        <v>58</v>
      </c>
      <c r="S542" s="22" t="s">
        <v>58</v>
      </c>
      <c r="T542" s="22"/>
      <c r="U542" s="22"/>
      <c r="V542" s="22" t="s">
        <v>61</v>
      </c>
      <c r="W542" s="22" t="s">
        <v>58</v>
      </c>
      <c r="X542" s="22" t="s">
        <v>58</v>
      </c>
      <c r="Y542" s="22" t="s">
        <v>58</v>
      </c>
      <c r="Z542" s="22" t="s">
        <v>58</v>
      </c>
      <c r="AA542" s="22" t="s">
        <v>58</v>
      </c>
      <c r="AB542" s="22" t="s">
        <v>58</v>
      </c>
      <c r="AC542" s="22" t="s">
        <v>58</v>
      </c>
      <c r="AD542" s="22" t="s">
        <v>58</v>
      </c>
      <c r="AE542" s="22" t="s">
        <v>61</v>
      </c>
      <c r="AF542" s="22" t="s">
        <v>61</v>
      </c>
      <c r="AG542" s="22" t="s">
        <v>58</v>
      </c>
      <c r="AH542" s="22">
        <v>150.0</v>
      </c>
      <c r="AI542" s="22">
        <v>2500.0</v>
      </c>
      <c r="AJ542" s="22">
        <v>150.0</v>
      </c>
      <c r="AK542" s="22">
        <v>0.0</v>
      </c>
      <c r="AL542" s="22"/>
      <c r="AM542" s="22"/>
      <c r="AN542" s="22"/>
      <c r="AO542" s="22"/>
    </row>
    <row r="543" ht="15.75" customHeight="1">
      <c r="A543" s="22">
        <v>535.0</v>
      </c>
      <c r="B543" s="22" t="s">
        <v>804</v>
      </c>
      <c r="C543" s="22" t="s">
        <v>806</v>
      </c>
      <c r="D543" s="66" t="s">
        <v>808</v>
      </c>
      <c r="E543" s="22" t="s">
        <v>49</v>
      </c>
      <c r="F543" s="42" t="s">
        <v>1979</v>
      </c>
      <c r="G543" s="81" t="s">
        <v>1982</v>
      </c>
      <c r="H543" s="22" t="s">
        <v>818</v>
      </c>
      <c r="I543" s="22" t="s">
        <v>819</v>
      </c>
      <c r="J543" s="22" t="s">
        <v>819</v>
      </c>
      <c r="K543" s="22" t="s">
        <v>55</v>
      </c>
      <c r="L543" s="22" t="s">
        <v>56</v>
      </c>
      <c r="M543" s="22" t="s">
        <v>57</v>
      </c>
      <c r="N543" s="22" t="s">
        <v>58</v>
      </c>
      <c r="O543" s="22">
        <v>350.0</v>
      </c>
      <c r="P543" s="22">
        <v>850.0</v>
      </c>
      <c r="Q543" s="22" t="s">
        <v>59</v>
      </c>
      <c r="R543" s="22" t="s">
        <v>58</v>
      </c>
      <c r="S543" s="22" t="s">
        <v>58</v>
      </c>
      <c r="T543" s="22"/>
      <c r="U543" s="22"/>
      <c r="V543" s="22" t="s">
        <v>61</v>
      </c>
      <c r="W543" s="22" t="s">
        <v>58</v>
      </c>
      <c r="X543" s="22" t="s">
        <v>58</v>
      </c>
      <c r="Y543" s="22" t="s">
        <v>58</v>
      </c>
      <c r="Z543" s="22" t="s">
        <v>58</v>
      </c>
      <c r="AA543" s="22" t="s">
        <v>58</v>
      </c>
      <c r="AB543" s="22" t="s">
        <v>58</v>
      </c>
      <c r="AC543" s="22" t="s">
        <v>58</v>
      </c>
      <c r="AD543" s="22" t="s">
        <v>58</v>
      </c>
      <c r="AE543" s="22" t="s">
        <v>61</v>
      </c>
      <c r="AF543" s="22" t="s">
        <v>61</v>
      </c>
      <c r="AG543" s="22" t="s">
        <v>58</v>
      </c>
      <c r="AH543" s="22">
        <v>10.0</v>
      </c>
      <c r="AI543" s="22">
        <v>1000.0</v>
      </c>
      <c r="AJ543" s="22">
        <v>10.0</v>
      </c>
      <c r="AK543" s="22">
        <v>0.0</v>
      </c>
      <c r="AL543" s="22"/>
      <c r="AM543" s="22"/>
      <c r="AN543" s="22"/>
      <c r="AO543" s="22"/>
    </row>
    <row r="544" ht="15.75" customHeight="1">
      <c r="A544" s="22">
        <v>536.0</v>
      </c>
      <c r="B544" s="22" t="s">
        <v>3990</v>
      </c>
      <c r="C544" s="22" t="s">
        <v>3991</v>
      </c>
      <c r="D544" s="66" t="s">
        <v>3992</v>
      </c>
      <c r="E544" s="22" t="s">
        <v>49</v>
      </c>
      <c r="F544" s="24" t="s">
        <v>69</v>
      </c>
      <c r="G544" s="22"/>
      <c r="H544" s="22" t="s">
        <v>72</v>
      </c>
      <c r="I544" s="22" t="s">
        <v>73</v>
      </c>
      <c r="J544" s="22" t="s">
        <v>74</v>
      </c>
      <c r="K544" s="22" t="s">
        <v>55</v>
      </c>
      <c r="L544" s="22" t="s">
        <v>56</v>
      </c>
      <c r="M544" s="22" t="s">
        <v>57</v>
      </c>
      <c r="N544" s="22" t="s">
        <v>58</v>
      </c>
      <c r="O544" s="22">
        <v>899.0</v>
      </c>
      <c r="P544" s="22">
        <v>999.0</v>
      </c>
      <c r="Q544" s="22" t="s">
        <v>59</v>
      </c>
      <c r="R544" s="22" t="s">
        <v>58</v>
      </c>
      <c r="S544" s="22" t="s">
        <v>58</v>
      </c>
      <c r="T544" s="22"/>
      <c r="U544" s="22"/>
      <c r="V544" s="22" t="s">
        <v>61</v>
      </c>
      <c r="W544" s="22" t="s">
        <v>58</v>
      </c>
      <c r="X544" s="22" t="s">
        <v>58</v>
      </c>
      <c r="Y544" s="22" t="s">
        <v>58</v>
      </c>
      <c r="Z544" s="22" t="s">
        <v>58</v>
      </c>
      <c r="AA544" s="22" t="s">
        <v>58</v>
      </c>
      <c r="AB544" s="22" t="s">
        <v>58</v>
      </c>
      <c r="AC544" s="22" t="s">
        <v>58</v>
      </c>
      <c r="AD544" s="22" t="s">
        <v>58</v>
      </c>
      <c r="AE544" s="22" t="s">
        <v>61</v>
      </c>
      <c r="AF544" s="22" t="s">
        <v>61</v>
      </c>
      <c r="AG544" s="22" t="s">
        <v>58</v>
      </c>
      <c r="AH544" s="22">
        <v>30.0</v>
      </c>
      <c r="AI544" s="22">
        <v>1000.0</v>
      </c>
      <c r="AJ544" s="22">
        <v>30.0</v>
      </c>
      <c r="AK544" s="22">
        <v>0.0</v>
      </c>
      <c r="AL544" s="22"/>
      <c r="AM544" s="22"/>
      <c r="AN544" s="22"/>
      <c r="AO544" s="22"/>
    </row>
    <row r="545" ht="15.75" customHeight="1">
      <c r="A545" s="22">
        <v>537.0</v>
      </c>
      <c r="B545" s="22" t="s">
        <v>3993</v>
      </c>
      <c r="C545" s="22" t="s">
        <v>3994</v>
      </c>
      <c r="D545" s="22" t="s">
        <v>3995</v>
      </c>
      <c r="E545" s="22" t="s">
        <v>49</v>
      </c>
      <c r="F545" s="42" t="s">
        <v>3996</v>
      </c>
      <c r="G545" s="24" t="s">
        <v>69</v>
      </c>
      <c r="H545" s="22" t="s">
        <v>303</v>
      </c>
      <c r="I545" s="22" t="s">
        <v>303</v>
      </c>
      <c r="J545" s="22" t="s">
        <v>74</v>
      </c>
      <c r="K545" s="22" t="s">
        <v>55</v>
      </c>
      <c r="L545" s="22" t="s">
        <v>56</v>
      </c>
      <c r="M545" s="22" t="s">
        <v>57</v>
      </c>
      <c r="N545" s="22" t="s">
        <v>58</v>
      </c>
      <c r="O545" s="22">
        <v>800.0</v>
      </c>
      <c r="P545" s="22">
        <v>900.0</v>
      </c>
      <c r="Q545" s="22" t="s">
        <v>59</v>
      </c>
      <c r="R545" s="22" t="s">
        <v>58</v>
      </c>
      <c r="S545" s="22" t="s">
        <v>58</v>
      </c>
      <c r="T545" s="24" t="s">
        <v>3999</v>
      </c>
      <c r="U545" s="22"/>
      <c r="V545" s="22" t="s">
        <v>61</v>
      </c>
      <c r="W545" s="22" t="s">
        <v>58</v>
      </c>
      <c r="X545" s="22" t="s">
        <v>58</v>
      </c>
      <c r="Y545" s="22" t="s">
        <v>58</v>
      </c>
      <c r="Z545" s="22" t="s">
        <v>58</v>
      </c>
      <c r="AA545" s="22" t="s">
        <v>58</v>
      </c>
      <c r="AB545" s="22" t="s">
        <v>58</v>
      </c>
      <c r="AC545" s="22" t="s">
        <v>58</v>
      </c>
      <c r="AD545" s="22" t="s">
        <v>58</v>
      </c>
      <c r="AE545" s="22" t="s">
        <v>61</v>
      </c>
      <c r="AF545" s="22" t="s">
        <v>61</v>
      </c>
      <c r="AG545" s="22" t="s">
        <v>58</v>
      </c>
      <c r="AH545" s="22">
        <v>20.0</v>
      </c>
      <c r="AI545" s="22">
        <v>5000.0</v>
      </c>
      <c r="AJ545" s="22">
        <v>20.0</v>
      </c>
      <c r="AK545" s="22">
        <v>0.0</v>
      </c>
      <c r="AL545" s="22"/>
      <c r="AM545" s="22"/>
      <c r="AN545" s="24" t="s">
        <v>4000</v>
      </c>
      <c r="AO545" s="22"/>
    </row>
    <row r="546" ht="15.75" customHeight="1">
      <c r="A546" s="22">
        <v>538.0</v>
      </c>
      <c r="B546" s="22" t="s">
        <v>995</v>
      </c>
      <c r="C546" s="22" t="s">
        <v>996</v>
      </c>
      <c r="D546" s="66" t="s">
        <v>4001</v>
      </c>
      <c r="E546" s="22" t="s">
        <v>49</v>
      </c>
      <c r="F546" s="24" t="s">
        <v>69</v>
      </c>
      <c r="G546" s="24" t="s">
        <v>69</v>
      </c>
      <c r="H546" s="22" t="s">
        <v>623</v>
      </c>
      <c r="I546" s="22" t="s">
        <v>624</v>
      </c>
      <c r="J546" s="22" t="s">
        <v>624</v>
      </c>
      <c r="K546" s="22" t="s">
        <v>55</v>
      </c>
      <c r="L546" s="22" t="s">
        <v>56</v>
      </c>
      <c r="M546" s="22" t="s">
        <v>57</v>
      </c>
      <c r="N546" s="22" t="s">
        <v>58</v>
      </c>
      <c r="O546" s="22">
        <v>800.0</v>
      </c>
      <c r="P546" s="22">
        <v>1500.0</v>
      </c>
      <c r="Q546" s="22" t="s">
        <v>59</v>
      </c>
      <c r="R546" s="22" t="s">
        <v>58</v>
      </c>
      <c r="S546" s="22" t="s">
        <v>58</v>
      </c>
      <c r="T546" s="22"/>
      <c r="U546" s="22"/>
      <c r="V546" s="22" t="s">
        <v>61</v>
      </c>
      <c r="W546" s="22" t="s">
        <v>58</v>
      </c>
      <c r="X546" s="22" t="s">
        <v>58</v>
      </c>
      <c r="Y546" s="22" t="s">
        <v>58</v>
      </c>
      <c r="Z546" s="22" t="s">
        <v>58</v>
      </c>
      <c r="AA546" s="22" t="s">
        <v>58</v>
      </c>
      <c r="AB546" s="22" t="s">
        <v>58</v>
      </c>
      <c r="AC546" s="22" t="s">
        <v>58</v>
      </c>
      <c r="AD546" s="22" t="s">
        <v>58</v>
      </c>
      <c r="AE546" s="22" t="s">
        <v>61</v>
      </c>
      <c r="AF546" s="22" t="s">
        <v>61</v>
      </c>
      <c r="AG546" s="22" t="s">
        <v>58</v>
      </c>
      <c r="AH546" s="22">
        <v>50.0</v>
      </c>
      <c r="AI546" s="22">
        <v>5000.0</v>
      </c>
      <c r="AJ546" s="22">
        <v>50.0</v>
      </c>
      <c r="AK546" s="22">
        <v>0.0</v>
      </c>
      <c r="AL546" s="22"/>
      <c r="AM546" s="22"/>
      <c r="AN546" s="24" t="s">
        <v>4000</v>
      </c>
      <c r="AO546" s="22"/>
    </row>
    <row r="547" ht="15.75" customHeight="1">
      <c r="A547" s="22">
        <v>539.0</v>
      </c>
      <c r="B547" s="22" t="s">
        <v>4003</v>
      </c>
      <c r="C547" s="22" t="s">
        <v>4004</v>
      </c>
      <c r="D547" s="66" t="s">
        <v>4005</v>
      </c>
      <c r="E547" s="22" t="s">
        <v>49</v>
      </c>
      <c r="F547" s="24" t="s">
        <v>69</v>
      </c>
      <c r="G547" s="24" t="s">
        <v>69</v>
      </c>
      <c r="H547" s="22" t="s">
        <v>1385</v>
      </c>
      <c r="I547" s="22" t="s">
        <v>1386</v>
      </c>
      <c r="J547" s="22" t="s">
        <v>74</v>
      </c>
      <c r="K547" s="22" t="s">
        <v>55</v>
      </c>
      <c r="L547" s="22" t="s">
        <v>56</v>
      </c>
      <c r="M547" s="22" t="s">
        <v>57</v>
      </c>
      <c r="N547" s="22" t="s">
        <v>58</v>
      </c>
      <c r="O547" s="22">
        <v>270.0</v>
      </c>
      <c r="P547" s="22">
        <v>320.0</v>
      </c>
      <c r="Q547" s="22" t="s">
        <v>59</v>
      </c>
      <c r="R547" s="22" t="s">
        <v>58</v>
      </c>
      <c r="S547" s="22" t="s">
        <v>58</v>
      </c>
      <c r="T547" s="22"/>
      <c r="U547" s="22"/>
      <c r="V547" s="22" t="s">
        <v>61</v>
      </c>
      <c r="W547" s="22" t="s">
        <v>58</v>
      </c>
      <c r="X547" s="22" t="s">
        <v>58</v>
      </c>
      <c r="Y547" s="22" t="s">
        <v>58</v>
      </c>
      <c r="Z547" s="22" t="s">
        <v>58</v>
      </c>
      <c r="AA547" s="22" t="s">
        <v>58</v>
      </c>
      <c r="AB547" s="22" t="s">
        <v>58</v>
      </c>
      <c r="AC547" s="22" t="s">
        <v>58</v>
      </c>
      <c r="AD547" s="22" t="s">
        <v>58</v>
      </c>
      <c r="AE547" s="22" t="s">
        <v>61</v>
      </c>
      <c r="AF547" s="22" t="s">
        <v>61</v>
      </c>
      <c r="AG547" s="22" t="s">
        <v>58</v>
      </c>
      <c r="AH547" s="22">
        <v>150.0</v>
      </c>
      <c r="AI547" s="22">
        <v>2000.0</v>
      </c>
      <c r="AJ547" s="22">
        <v>150.0</v>
      </c>
      <c r="AK547" s="22">
        <v>0.0</v>
      </c>
      <c r="AL547" s="22"/>
      <c r="AM547" s="22"/>
      <c r="AN547" s="24" t="s">
        <v>4000</v>
      </c>
      <c r="AO547" s="22"/>
    </row>
    <row r="548" ht="15.75" customHeight="1">
      <c r="A548" s="22">
        <v>540.0</v>
      </c>
      <c r="B548" s="22" t="s">
        <v>3335</v>
      </c>
      <c r="C548" s="22" t="s">
        <v>3336</v>
      </c>
      <c r="D548" s="66" t="s">
        <v>4007</v>
      </c>
      <c r="E548" s="22" t="s">
        <v>49</v>
      </c>
      <c r="F548" s="24" t="s">
        <v>69</v>
      </c>
      <c r="G548" s="24">
        <v>8.130819047E9</v>
      </c>
      <c r="H548" s="22" t="s">
        <v>1336</v>
      </c>
      <c r="I548" s="22" t="s">
        <v>1337</v>
      </c>
      <c r="J548" s="22" t="s">
        <v>74</v>
      </c>
      <c r="K548" s="22" t="s">
        <v>55</v>
      </c>
      <c r="L548" s="22" t="s">
        <v>56</v>
      </c>
      <c r="M548" s="22" t="s">
        <v>57</v>
      </c>
      <c r="N548" s="22" t="s">
        <v>58</v>
      </c>
      <c r="O548" s="22">
        <v>650.0</v>
      </c>
      <c r="P548" s="22">
        <v>650.0</v>
      </c>
      <c r="Q548" s="22" t="s">
        <v>59</v>
      </c>
      <c r="R548" s="22" t="s">
        <v>58</v>
      </c>
      <c r="S548" s="22" t="s">
        <v>58</v>
      </c>
      <c r="T548" s="22"/>
      <c r="U548" s="22"/>
      <c r="V548" s="22" t="s">
        <v>61</v>
      </c>
      <c r="W548" s="22" t="s">
        <v>58</v>
      </c>
      <c r="X548" s="22" t="s">
        <v>58</v>
      </c>
      <c r="Y548" s="22" t="s">
        <v>58</v>
      </c>
      <c r="Z548" s="22" t="s">
        <v>58</v>
      </c>
      <c r="AA548" s="22" t="s">
        <v>58</v>
      </c>
      <c r="AB548" s="22" t="s">
        <v>58</v>
      </c>
      <c r="AC548" s="22" t="s">
        <v>58</v>
      </c>
      <c r="AD548" s="22" t="s">
        <v>58</v>
      </c>
      <c r="AE548" s="22" t="s">
        <v>61</v>
      </c>
      <c r="AF548" s="22" t="s">
        <v>61</v>
      </c>
      <c r="AG548" s="22" t="s">
        <v>58</v>
      </c>
      <c r="AH548" s="22">
        <v>50.0</v>
      </c>
      <c r="AI548" s="22">
        <v>2000.0</v>
      </c>
      <c r="AJ548" s="22">
        <v>50.0</v>
      </c>
      <c r="AK548" s="22">
        <v>0.0</v>
      </c>
      <c r="AL548" s="22"/>
      <c r="AM548" s="22"/>
      <c r="AN548" s="24" t="s">
        <v>4000</v>
      </c>
      <c r="AO548" s="22"/>
    </row>
    <row r="549" ht="42.0" customHeight="1">
      <c r="A549" s="22">
        <v>541.0</v>
      </c>
      <c r="B549" s="22" t="s">
        <v>668</v>
      </c>
      <c r="C549" s="22" t="s">
        <v>669</v>
      </c>
      <c r="D549" s="22" t="s">
        <v>670</v>
      </c>
      <c r="E549" s="22" t="s">
        <v>49</v>
      </c>
      <c r="F549" s="42" t="s">
        <v>4010</v>
      </c>
      <c r="G549" s="24" t="s">
        <v>2009</v>
      </c>
      <c r="H549" s="22" t="s">
        <v>147</v>
      </c>
      <c r="I549" s="22" t="s">
        <v>148</v>
      </c>
      <c r="J549" s="22" t="s">
        <v>148</v>
      </c>
      <c r="K549" s="22" t="s">
        <v>55</v>
      </c>
      <c r="L549" s="22" t="s">
        <v>56</v>
      </c>
      <c r="M549" s="22" t="s">
        <v>57</v>
      </c>
      <c r="N549" s="22" t="s">
        <v>58</v>
      </c>
      <c r="O549" s="22">
        <v>680.0</v>
      </c>
      <c r="P549" s="22">
        <v>899.0</v>
      </c>
      <c r="Q549" s="22" t="s">
        <v>59</v>
      </c>
      <c r="R549" s="22" t="s">
        <v>58</v>
      </c>
      <c r="S549" s="22" t="s">
        <v>58</v>
      </c>
      <c r="T549" s="24" t="s">
        <v>676</v>
      </c>
      <c r="U549" s="22"/>
      <c r="V549" s="22" t="s">
        <v>61</v>
      </c>
      <c r="W549" s="22" t="s">
        <v>58</v>
      </c>
      <c r="X549" s="22" t="s">
        <v>58</v>
      </c>
      <c r="Y549" s="22" t="s">
        <v>58</v>
      </c>
      <c r="Z549" s="22" t="s">
        <v>58</v>
      </c>
      <c r="AA549" s="22" t="s">
        <v>58</v>
      </c>
      <c r="AB549" s="22" t="s">
        <v>58</v>
      </c>
      <c r="AC549" s="22" t="s">
        <v>58</v>
      </c>
      <c r="AD549" s="22" t="s">
        <v>58</v>
      </c>
      <c r="AE549" s="22" t="s">
        <v>61</v>
      </c>
      <c r="AF549" s="22" t="s">
        <v>61</v>
      </c>
      <c r="AG549" s="22" t="s">
        <v>58</v>
      </c>
      <c r="AH549" s="22">
        <v>100.0</v>
      </c>
      <c r="AI549" s="22">
        <v>2000.0</v>
      </c>
      <c r="AJ549" s="22">
        <v>100.0</v>
      </c>
      <c r="AK549" s="22">
        <v>0.0</v>
      </c>
      <c r="AL549" s="22"/>
      <c r="AM549" s="22"/>
      <c r="AN549" s="24" t="s">
        <v>4000</v>
      </c>
      <c r="AO549" s="22"/>
    </row>
    <row r="550" ht="15.75" customHeight="1">
      <c r="A550" s="22">
        <v>542.0</v>
      </c>
      <c r="B550" s="22" t="s">
        <v>4012</v>
      </c>
      <c r="C550" s="22" t="s">
        <v>4013</v>
      </c>
      <c r="D550" s="66" t="s">
        <v>4014</v>
      </c>
      <c r="E550" s="22" t="s">
        <v>49</v>
      </c>
      <c r="F550" s="42" t="s">
        <v>4015</v>
      </c>
      <c r="G550" s="24" t="s">
        <v>69</v>
      </c>
      <c r="H550" s="22" t="s">
        <v>303</v>
      </c>
      <c r="I550" s="22" t="s">
        <v>303</v>
      </c>
      <c r="J550" s="22" t="s">
        <v>74</v>
      </c>
      <c r="K550" s="22" t="s">
        <v>55</v>
      </c>
      <c r="L550" s="22" t="s">
        <v>56</v>
      </c>
      <c r="M550" s="22" t="s">
        <v>57</v>
      </c>
      <c r="N550" s="22" t="s">
        <v>58</v>
      </c>
      <c r="O550" s="22">
        <v>400.0</v>
      </c>
      <c r="P550" s="22">
        <v>600.0</v>
      </c>
      <c r="Q550" s="22" t="s">
        <v>59</v>
      </c>
      <c r="R550" s="22" t="s">
        <v>58</v>
      </c>
      <c r="S550" s="22" t="s">
        <v>58</v>
      </c>
      <c r="T550" s="22"/>
      <c r="U550" s="22"/>
      <c r="V550" s="22" t="s">
        <v>61</v>
      </c>
      <c r="W550" s="22" t="s">
        <v>58</v>
      </c>
      <c r="X550" s="22" t="s">
        <v>58</v>
      </c>
      <c r="Y550" s="22" t="s">
        <v>58</v>
      </c>
      <c r="Z550" s="22" t="s">
        <v>58</v>
      </c>
      <c r="AA550" s="22" t="s">
        <v>58</v>
      </c>
      <c r="AB550" s="22" t="s">
        <v>58</v>
      </c>
      <c r="AC550" s="22" t="s">
        <v>58</v>
      </c>
      <c r="AD550" s="22" t="s">
        <v>58</v>
      </c>
      <c r="AE550" s="22" t="s">
        <v>61</v>
      </c>
      <c r="AF550" s="22" t="s">
        <v>61</v>
      </c>
      <c r="AG550" s="22" t="s">
        <v>58</v>
      </c>
      <c r="AH550" s="22">
        <v>100.0</v>
      </c>
      <c r="AI550" s="22">
        <v>10000.0</v>
      </c>
      <c r="AJ550" s="22">
        <v>100.0</v>
      </c>
      <c r="AK550" s="22">
        <v>0.0</v>
      </c>
      <c r="AL550" s="22"/>
      <c r="AM550" s="22"/>
      <c r="AN550" s="24" t="s">
        <v>4000</v>
      </c>
      <c r="AO550" s="22"/>
    </row>
    <row r="551" ht="15.75" customHeight="1">
      <c r="A551" s="15">
        <v>543.0</v>
      </c>
      <c r="B551" s="15" t="s">
        <v>4017</v>
      </c>
      <c r="C551" s="15" t="s">
        <v>4018</v>
      </c>
      <c r="D551" s="48" t="s">
        <v>4019</v>
      </c>
      <c r="E551" s="15" t="s">
        <v>49</v>
      </c>
      <c r="F551" s="49" t="s">
        <v>4020</v>
      </c>
      <c r="G551" s="15" t="s">
        <v>4023</v>
      </c>
      <c r="H551" s="15" t="s">
        <v>4024</v>
      </c>
      <c r="I551" s="15" t="s">
        <v>4025</v>
      </c>
      <c r="J551" s="15" t="s">
        <v>74</v>
      </c>
      <c r="K551" s="15" t="s">
        <v>55</v>
      </c>
      <c r="L551" s="15" t="s">
        <v>56</v>
      </c>
      <c r="M551" s="15" t="s">
        <v>57</v>
      </c>
      <c r="N551" s="15" t="s">
        <v>58</v>
      </c>
      <c r="O551" s="15">
        <v>2500.0</v>
      </c>
      <c r="P551" s="15"/>
      <c r="Q551" s="15" t="s">
        <v>59</v>
      </c>
      <c r="R551" s="15" t="s">
        <v>58</v>
      </c>
      <c r="S551" s="15" t="s">
        <v>58</v>
      </c>
      <c r="T551" s="15"/>
      <c r="U551" s="15"/>
      <c r="V551" s="15" t="s">
        <v>61</v>
      </c>
      <c r="W551" s="15" t="s">
        <v>58</v>
      </c>
      <c r="X551" s="15" t="s">
        <v>58</v>
      </c>
      <c r="Y551" s="15" t="s">
        <v>58</v>
      </c>
      <c r="Z551" s="15" t="s">
        <v>58</v>
      </c>
      <c r="AA551" s="15" t="s">
        <v>58</v>
      </c>
      <c r="AB551" s="15" t="s">
        <v>58</v>
      </c>
      <c r="AC551" s="15" t="s">
        <v>58</v>
      </c>
      <c r="AD551" s="15" t="s">
        <v>58</v>
      </c>
      <c r="AE551" s="15" t="s">
        <v>61</v>
      </c>
      <c r="AF551" s="15" t="s">
        <v>61</v>
      </c>
      <c r="AG551" s="15" t="s">
        <v>58</v>
      </c>
      <c r="AH551" s="15">
        <v>200.0</v>
      </c>
      <c r="AI551" s="15">
        <v>10000.0</v>
      </c>
      <c r="AJ551" s="15">
        <v>200.0</v>
      </c>
      <c r="AK551" s="15">
        <v>0.0</v>
      </c>
      <c r="AL551" s="15"/>
      <c r="AM551" s="15"/>
      <c r="AN551" s="16" t="s">
        <v>757</v>
      </c>
      <c r="AO551" s="21">
        <v>2.0</v>
      </c>
    </row>
    <row r="552" ht="15.75" customHeight="1">
      <c r="A552" s="22">
        <v>544.0</v>
      </c>
      <c r="B552" s="22" t="s">
        <v>1486</v>
      </c>
      <c r="C552" s="22" t="s">
        <v>1487</v>
      </c>
      <c r="D552" s="66" t="s">
        <v>1488</v>
      </c>
      <c r="E552" s="22" t="s">
        <v>49</v>
      </c>
      <c r="F552" s="42" t="s">
        <v>1686</v>
      </c>
      <c r="G552" s="24" t="s">
        <v>69</v>
      </c>
      <c r="H552" s="22" t="s">
        <v>1409</v>
      </c>
      <c r="I552" s="22" t="s">
        <v>1411</v>
      </c>
      <c r="J552" s="22" t="s">
        <v>1411</v>
      </c>
      <c r="K552" s="22" t="s">
        <v>55</v>
      </c>
      <c r="L552" s="22" t="s">
        <v>56</v>
      </c>
      <c r="M552" s="22" t="s">
        <v>57</v>
      </c>
      <c r="N552" s="22" t="s">
        <v>58</v>
      </c>
      <c r="O552" s="22">
        <v>850.0</v>
      </c>
      <c r="P552" s="22">
        <v>1300.0</v>
      </c>
      <c r="Q552" s="22" t="s">
        <v>59</v>
      </c>
      <c r="R552" s="22" t="s">
        <v>58</v>
      </c>
      <c r="S552" s="22" t="s">
        <v>58</v>
      </c>
      <c r="T552" s="22"/>
      <c r="U552" s="22"/>
      <c r="V552" s="22" t="s">
        <v>61</v>
      </c>
      <c r="W552" s="22" t="s">
        <v>58</v>
      </c>
      <c r="X552" s="22" t="s">
        <v>58</v>
      </c>
      <c r="Y552" s="22" t="s">
        <v>58</v>
      </c>
      <c r="Z552" s="22" t="s">
        <v>58</v>
      </c>
      <c r="AA552" s="22" t="s">
        <v>58</v>
      </c>
      <c r="AB552" s="22" t="s">
        <v>58</v>
      </c>
      <c r="AC552" s="22" t="s">
        <v>58</v>
      </c>
      <c r="AD552" s="22" t="s">
        <v>58</v>
      </c>
      <c r="AE552" s="22" t="s">
        <v>61</v>
      </c>
      <c r="AF552" s="22" t="s">
        <v>61</v>
      </c>
      <c r="AG552" s="22" t="s">
        <v>58</v>
      </c>
      <c r="AH552" s="22">
        <v>500.0</v>
      </c>
      <c r="AI552" s="22">
        <v>2000.0</v>
      </c>
      <c r="AJ552" s="22">
        <v>500.0</v>
      </c>
      <c r="AK552" s="22">
        <v>0.0</v>
      </c>
      <c r="AL552" s="22"/>
      <c r="AM552" s="22"/>
      <c r="AN552" s="24" t="s">
        <v>4000</v>
      </c>
      <c r="AO552" s="22"/>
    </row>
    <row r="553" ht="42.0" customHeight="1">
      <c r="A553" s="22">
        <v>545.0</v>
      </c>
      <c r="B553" s="22" t="s">
        <v>3501</v>
      </c>
      <c r="C553" s="22" t="s">
        <v>3502</v>
      </c>
      <c r="D553" s="66" t="s">
        <v>3503</v>
      </c>
      <c r="E553" s="22" t="s">
        <v>49</v>
      </c>
      <c r="F553" s="24" t="s">
        <v>69</v>
      </c>
      <c r="G553" s="71" t="s">
        <v>4033</v>
      </c>
      <c r="H553" s="22" t="s">
        <v>123</v>
      </c>
      <c r="I553" s="22" t="s">
        <v>124</v>
      </c>
      <c r="J553" s="22" t="s">
        <v>74</v>
      </c>
      <c r="K553" s="22" t="s">
        <v>55</v>
      </c>
      <c r="L553" s="22" t="s">
        <v>56</v>
      </c>
      <c r="M553" s="22" t="s">
        <v>57</v>
      </c>
      <c r="N553" s="22" t="s">
        <v>58</v>
      </c>
      <c r="O553" s="22">
        <v>300.0</v>
      </c>
      <c r="P553" s="22">
        <v>400.0</v>
      </c>
      <c r="Q553" s="22" t="s">
        <v>59</v>
      </c>
      <c r="R553" s="22" t="s">
        <v>58</v>
      </c>
      <c r="S553" s="22" t="s">
        <v>58</v>
      </c>
      <c r="T553" s="22"/>
      <c r="U553" s="22"/>
      <c r="V553" s="22" t="s">
        <v>61</v>
      </c>
      <c r="W553" s="22" t="s">
        <v>58</v>
      </c>
      <c r="X553" s="22" t="s">
        <v>58</v>
      </c>
      <c r="Y553" s="22" t="s">
        <v>58</v>
      </c>
      <c r="Z553" s="22" t="s">
        <v>58</v>
      </c>
      <c r="AA553" s="22" t="s">
        <v>58</v>
      </c>
      <c r="AB553" s="22" t="s">
        <v>58</v>
      </c>
      <c r="AC553" s="22" t="s">
        <v>58</v>
      </c>
      <c r="AD553" s="22" t="s">
        <v>58</v>
      </c>
      <c r="AE553" s="22" t="s">
        <v>61</v>
      </c>
      <c r="AF553" s="22" t="s">
        <v>61</v>
      </c>
      <c r="AG553" s="22" t="s">
        <v>58</v>
      </c>
      <c r="AH553" s="22">
        <v>100.0</v>
      </c>
      <c r="AI553" s="22">
        <v>1000.0</v>
      </c>
      <c r="AJ553" s="22">
        <v>100.0</v>
      </c>
      <c r="AK553" s="22">
        <v>0.0</v>
      </c>
      <c r="AL553" s="22"/>
      <c r="AM553" s="22"/>
      <c r="AN553" s="24" t="s">
        <v>4000</v>
      </c>
      <c r="AO553" s="22"/>
    </row>
    <row r="554" ht="15.75" customHeight="1">
      <c r="A554" s="22">
        <v>546.0</v>
      </c>
      <c r="B554" s="22" t="s">
        <v>3483</v>
      </c>
      <c r="C554" s="22" t="s">
        <v>3484</v>
      </c>
      <c r="D554" s="66" t="s">
        <v>3485</v>
      </c>
      <c r="E554" s="22" t="s">
        <v>49</v>
      </c>
      <c r="F554" s="24" t="s">
        <v>69</v>
      </c>
      <c r="G554" s="127">
        <v>9.8081438E9</v>
      </c>
      <c r="H554" s="22" t="s">
        <v>72</v>
      </c>
      <c r="I554" s="22" t="s">
        <v>73</v>
      </c>
      <c r="J554" s="22" t="s">
        <v>74</v>
      </c>
      <c r="K554" s="22" t="s">
        <v>55</v>
      </c>
      <c r="L554" s="22" t="s">
        <v>56</v>
      </c>
      <c r="M554" s="22" t="s">
        <v>57</v>
      </c>
      <c r="N554" s="22" t="s">
        <v>58</v>
      </c>
      <c r="O554" s="22">
        <v>700.0</v>
      </c>
      <c r="P554" s="22">
        <v>800.0</v>
      </c>
      <c r="Q554" s="22" t="s">
        <v>59</v>
      </c>
      <c r="R554" s="22" t="s">
        <v>58</v>
      </c>
      <c r="S554" s="22" t="s">
        <v>58</v>
      </c>
      <c r="T554" s="22"/>
      <c r="U554" s="22"/>
      <c r="V554" s="22" t="s">
        <v>61</v>
      </c>
      <c r="W554" s="22" t="s">
        <v>58</v>
      </c>
      <c r="X554" s="22" t="s">
        <v>58</v>
      </c>
      <c r="Y554" s="22" t="s">
        <v>58</v>
      </c>
      <c r="Z554" s="22" t="s">
        <v>58</v>
      </c>
      <c r="AA554" s="22" t="s">
        <v>58</v>
      </c>
      <c r="AB554" s="22" t="s">
        <v>58</v>
      </c>
      <c r="AC554" s="22" t="s">
        <v>58</v>
      </c>
      <c r="AD554" s="22" t="s">
        <v>58</v>
      </c>
      <c r="AE554" s="22" t="s">
        <v>61</v>
      </c>
      <c r="AF554" s="22" t="s">
        <v>61</v>
      </c>
      <c r="AG554" s="22" t="s">
        <v>58</v>
      </c>
      <c r="AH554" s="22">
        <v>50.0</v>
      </c>
      <c r="AI554" s="22">
        <v>5000.0</v>
      </c>
      <c r="AJ554" s="22">
        <v>50.0</v>
      </c>
      <c r="AK554" s="22">
        <v>0.0</v>
      </c>
      <c r="AL554" s="22"/>
      <c r="AM554" s="22"/>
      <c r="AN554" s="24" t="s">
        <v>4000</v>
      </c>
      <c r="AO554" s="22"/>
    </row>
    <row r="555" ht="15.75" customHeight="1">
      <c r="A555" s="22">
        <v>547.0</v>
      </c>
      <c r="B555" s="22" t="s">
        <v>580</v>
      </c>
      <c r="C555" s="22" t="s">
        <v>581</v>
      </c>
      <c r="D555" s="66" t="s">
        <v>4037</v>
      </c>
      <c r="E555" s="22" t="s">
        <v>49</v>
      </c>
      <c r="F555" s="24" t="s">
        <v>69</v>
      </c>
      <c r="G555" s="24" t="s">
        <v>69</v>
      </c>
      <c r="H555" s="22" t="s">
        <v>147</v>
      </c>
      <c r="I555" s="22" t="s">
        <v>148</v>
      </c>
      <c r="J555" s="22" t="s">
        <v>148</v>
      </c>
      <c r="K555" s="22" t="s">
        <v>55</v>
      </c>
      <c r="L555" s="22" t="s">
        <v>56</v>
      </c>
      <c r="M555" s="22" t="s">
        <v>57</v>
      </c>
      <c r="N555" s="22" t="s">
        <v>58</v>
      </c>
      <c r="O555" s="22">
        <v>499.0</v>
      </c>
      <c r="P555" s="22">
        <v>699.0</v>
      </c>
      <c r="Q555" s="22" t="s">
        <v>59</v>
      </c>
      <c r="R555" s="22" t="s">
        <v>58</v>
      </c>
      <c r="S555" s="22" t="s">
        <v>58</v>
      </c>
      <c r="T555" s="22"/>
      <c r="U555" s="22"/>
      <c r="V555" s="22" t="s">
        <v>61</v>
      </c>
      <c r="W555" s="22" t="s">
        <v>58</v>
      </c>
      <c r="X555" s="22" t="s">
        <v>58</v>
      </c>
      <c r="Y555" s="22" t="s">
        <v>58</v>
      </c>
      <c r="Z555" s="22" t="s">
        <v>58</v>
      </c>
      <c r="AA555" s="22" t="s">
        <v>58</v>
      </c>
      <c r="AB555" s="22" t="s">
        <v>58</v>
      </c>
      <c r="AC555" s="22" t="s">
        <v>58</v>
      </c>
      <c r="AD555" s="22" t="s">
        <v>58</v>
      </c>
      <c r="AE555" s="22" t="s">
        <v>61</v>
      </c>
      <c r="AF555" s="22" t="s">
        <v>61</v>
      </c>
      <c r="AG555" s="22" t="s">
        <v>58</v>
      </c>
      <c r="AH555" s="22">
        <v>50.0</v>
      </c>
      <c r="AI555" s="22">
        <v>5000.0</v>
      </c>
      <c r="AJ555" s="22">
        <v>50.0</v>
      </c>
      <c r="AK555" s="22">
        <v>0.0</v>
      </c>
      <c r="AL555" s="22"/>
      <c r="AM555" s="22"/>
      <c r="AN555" s="24" t="s">
        <v>4000</v>
      </c>
      <c r="AO555" s="22"/>
    </row>
    <row r="556" ht="15.75" customHeight="1">
      <c r="A556" s="22">
        <v>548.0</v>
      </c>
      <c r="B556" s="22" t="s">
        <v>4038</v>
      </c>
      <c r="C556" s="22" t="s">
        <v>4039</v>
      </c>
      <c r="D556" s="66" t="s">
        <v>4040</v>
      </c>
      <c r="E556" s="22" t="s">
        <v>49</v>
      </c>
      <c r="F556" s="42" t="s">
        <v>4041</v>
      </c>
      <c r="G556" s="24" t="s">
        <v>69</v>
      </c>
      <c r="H556" s="22" t="s">
        <v>1502</v>
      </c>
      <c r="I556" s="22" t="s">
        <v>1503</v>
      </c>
      <c r="J556" s="22" t="s">
        <v>74</v>
      </c>
      <c r="K556" s="22" t="s">
        <v>55</v>
      </c>
      <c r="L556" s="22" t="s">
        <v>56</v>
      </c>
      <c r="M556" s="22" t="s">
        <v>57</v>
      </c>
      <c r="N556" s="22" t="s">
        <v>58</v>
      </c>
      <c r="O556" s="22">
        <v>1100.0</v>
      </c>
      <c r="P556" s="22"/>
      <c r="Q556" s="22" t="s">
        <v>59</v>
      </c>
      <c r="R556" s="22" t="s">
        <v>58</v>
      </c>
      <c r="S556" s="22" t="s">
        <v>58</v>
      </c>
      <c r="T556" s="22"/>
      <c r="U556" s="22"/>
      <c r="V556" s="22" t="s">
        <v>61</v>
      </c>
      <c r="W556" s="22" t="s">
        <v>58</v>
      </c>
      <c r="X556" s="22" t="s">
        <v>58</v>
      </c>
      <c r="Y556" s="22" t="s">
        <v>58</v>
      </c>
      <c r="Z556" s="22" t="s">
        <v>58</v>
      </c>
      <c r="AA556" s="22" t="s">
        <v>58</v>
      </c>
      <c r="AB556" s="22" t="s">
        <v>58</v>
      </c>
      <c r="AC556" s="22" t="s">
        <v>58</v>
      </c>
      <c r="AD556" s="22" t="s">
        <v>58</v>
      </c>
      <c r="AE556" s="22" t="s">
        <v>61</v>
      </c>
      <c r="AF556" s="22" t="s">
        <v>61</v>
      </c>
      <c r="AG556" s="22" t="s">
        <v>58</v>
      </c>
      <c r="AH556" s="22">
        <v>50.0</v>
      </c>
      <c r="AI556" s="22">
        <v>500.0</v>
      </c>
      <c r="AJ556" s="22">
        <v>50.0</v>
      </c>
      <c r="AK556" s="22">
        <v>0.0</v>
      </c>
      <c r="AL556" s="22"/>
      <c r="AM556" s="22"/>
      <c r="AN556" s="24" t="s">
        <v>4000</v>
      </c>
      <c r="AO556" s="22"/>
    </row>
    <row r="557" ht="15.75" customHeight="1">
      <c r="A557" s="22">
        <v>549.0</v>
      </c>
      <c r="B557" s="22" t="s">
        <v>4044</v>
      </c>
      <c r="C557" s="22" t="s">
        <v>4045</v>
      </c>
      <c r="D557" s="66" t="s">
        <v>4047</v>
      </c>
      <c r="E557" s="22" t="s">
        <v>49</v>
      </c>
      <c r="F557" s="24" t="s">
        <v>69</v>
      </c>
      <c r="G557" s="128">
        <f>+918860590011</f>
        <v>918860590011</v>
      </c>
      <c r="H557" s="22" t="s">
        <v>1385</v>
      </c>
      <c r="I557" s="22" t="s">
        <v>1386</v>
      </c>
      <c r="J557" s="22" t="s">
        <v>74</v>
      </c>
      <c r="K557" s="22" t="s">
        <v>55</v>
      </c>
      <c r="L557" s="22" t="s">
        <v>56</v>
      </c>
      <c r="M557" s="22" t="s">
        <v>57</v>
      </c>
      <c r="N557" s="22" t="s">
        <v>58</v>
      </c>
      <c r="O557" s="22">
        <v>950.0</v>
      </c>
      <c r="P557" s="22">
        <v>1050.0</v>
      </c>
      <c r="Q557" s="22" t="s">
        <v>59</v>
      </c>
      <c r="R557" s="22" t="s">
        <v>58</v>
      </c>
      <c r="S557" s="22" t="s">
        <v>58</v>
      </c>
      <c r="T557" s="22"/>
      <c r="U557" s="22"/>
      <c r="V557" s="22" t="s">
        <v>61</v>
      </c>
      <c r="W557" s="22" t="s">
        <v>58</v>
      </c>
      <c r="X557" s="22" t="s">
        <v>58</v>
      </c>
      <c r="Y557" s="22" t="s">
        <v>58</v>
      </c>
      <c r="Z557" s="22" t="s">
        <v>58</v>
      </c>
      <c r="AA557" s="22" t="s">
        <v>58</v>
      </c>
      <c r="AB557" s="22" t="s">
        <v>58</v>
      </c>
      <c r="AC557" s="22" t="s">
        <v>58</v>
      </c>
      <c r="AD557" s="22" t="s">
        <v>58</v>
      </c>
      <c r="AE557" s="22" t="s">
        <v>61</v>
      </c>
      <c r="AF557" s="22" t="s">
        <v>61</v>
      </c>
      <c r="AG557" s="22" t="s">
        <v>58</v>
      </c>
      <c r="AH557" s="22">
        <v>180.0</v>
      </c>
      <c r="AI557" s="22">
        <v>2500.0</v>
      </c>
      <c r="AJ557" s="22">
        <v>180.0</v>
      </c>
      <c r="AK557" s="22">
        <v>0.0</v>
      </c>
      <c r="AL557" s="22"/>
      <c r="AM557" s="22"/>
      <c r="AN557" s="24" t="s">
        <v>4000</v>
      </c>
      <c r="AO557" s="22"/>
    </row>
    <row r="558" ht="15.75" customHeight="1">
      <c r="A558" s="22">
        <v>550.0</v>
      </c>
      <c r="B558" s="22" t="s">
        <v>4028</v>
      </c>
      <c r="C558" s="22" t="s">
        <v>4029</v>
      </c>
      <c r="D558" s="22" t="s">
        <v>4030</v>
      </c>
      <c r="E558" s="22" t="s">
        <v>49</v>
      </c>
      <c r="F558" s="42" t="s">
        <v>4031</v>
      </c>
      <c r="G558" s="24" t="s">
        <v>69</v>
      </c>
      <c r="H558" s="22" t="s">
        <v>513</v>
      </c>
      <c r="I558" s="22" t="s">
        <v>514</v>
      </c>
      <c r="J558" s="22" t="s">
        <v>74</v>
      </c>
      <c r="K558" s="22" t="s">
        <v>55</v>
      </c>
      <c r="L558" s="22" t="s">
        <v>56</v>
      </c>
      <c r="M558" s="22" t="s">
        <v>57</v>
      </c>
      <c r="N558" s="22" t="s">
        <v>58</v>
      </c>
      <c r="O558" s="22">
        <v>1200.0</v>
      </c>
      <c r="P558" s="22">
        <v>1250.0</v>
      </c>
      <c r="Q558" s="22" t="s">
        <v>59</v>
      </c>
      <c r="R558" s="22" t="s">
        <v>58</v>
      </c>
      <c r="S558" s="22" t="s">
        <v>58</v>
      </c>
      <c r="T558" s="24" t="s">
        <v>4053</v>
      </c>
      <c r="U558" s="22" t="s">
        <v>1787</v>
      </c>
      <c r="V558" s="22" t="s">
        <v>61</v>
      </c>
      <c r="W558" s="22" t="s">
        <v>58</v>
      </c>
      <c r="X558" s="22" t="s">
        <v>58</v>
      </c>
      <c r="Y558" s="22" t="s">
        <v>58</v>
      </c>
      <c r="Z558" s="22" t="s">
        <v>58</v>
      </c>
      <c r="AA558" s="22" t="s">
        <v>58</v>
      </c>
      <c r="AB558" s="22" t="s">
        <v>58</v>
      </c>
      <c r="AC558" s="22" t="s">
        <v>58</v>
      </c>
      <c r="AD558" s="22" t="s">
        <v>58</v>
      </c>
      <c r="AE558" s="22" t="s">
        <v>61</v>
      </c>
      <c r="AF558" s="22" t="s">
        <v>61</v>
      </c>
      <c r="AG558" s="22" t="s">
        <v>58</v>
      </c>
      <c r="AH558" s="22">
        <v>50.0</v>
      </c>
      <c r="AI558" s="22">
        <v>500.0</v>
      </c>
      <c r="AJ558" s="22">
        <v>50.0</v>
      </c>
      <c r="AK558" s="22">
        <v>0.0</v>
      </c>
      <c r="AL558" s="22"/>
      <c r="AM558" s="22"/>
      <c r="AN558" s="24" t="s">
        <v>4000</v>
      </c>
      <c r="AO558" s="22"/>
    </row>
    <row r="559" ht="15.75" customHeight="1">
      <c r="A559" s="22">
        <v>551.0</v>
      </c>
      <c r="B559" s="22" t="s">
        <v>3171</v>
      </c>
      <c r="C559" s="22" t="s">
        <v>3172</v>
      </c>
      <c r="D559" s="22" t="s">
        <v>3173</v>
      </c>
      <c r="E559" s="22" t="s">
        <v>49</v>
      </c>
      <c r="F559" s="24" t="s">
        <v>69</v>
      </c>
      <c r="G559" s="24" t="s">
        <v>69</v>
      </c>
      <c r="H559" s="22" t="s">
        <v>107</v>
      </c>
      <c r="I559" s="22" t="s">
        <v>109</v>
      </c>
      <c r="J559" s="22" t="s">
        <v>74</v>
      </c>
      <c r="K559" s="22" t="s">
        <v>55</v>
      </c>
      <c r="L559" s="22" t="s">
        <v>56</v>
      </c>
      <c r="M559" s="22" t="s">
        <v>57</v>
      </c>
      <c r="N559" s="22" t="s">
        <v>58</v>
      </c>
      <c r="O559" s="22">
        <v>200.0</v>
      </c>
      <c r="P559" s="22"/>
      <c r="Q559" s="22" t="s">
        <v>59</v>
      </c>
      <c r="R559" s="22" t="s">
        <v>58</v>
      </c>
      <c r="S559" s="22" t="s">
        <v>58</v>
      </c>
      <c r="T559" s="22"/>
      <c r="U559" s="22"/>
      <c r="V559" s="22" t="s">
        <v>61</v>
      </c>
      <c r="W559" s="22" t="s">
        <v>58</v>
      </c>
      <c r="X559" s="22" t="s">
        <v>58</v>
      </c>
      <c r="Y559" s="22" t="s">
        <v>58</v>
      </c>
      <c r="Z559" s="22" t="s">
        <v>58</v>
      </c>
      <c r="AA559" s="22" t="s">
        <v>58</v>
      </c>
      <c r="AB559" s="22" t="s">
        <v>58</v>
      </c>
      <c r="AC559" s="22" t="s">
        <v>58</v>
      </c>
      <c r="AD559" s="22" t="s">
        <v>58</v>
      </c>
      <c r="AE559" s="22" t="s">
        <v>61</v>
      </c>
      <c r="AF559" s="22" t="s">
        <v>61</v>
      </c>
      <c r="AG559" s="22" t="s">
        <v>58</v>
      </c>
      <c r="AH559" s="22">
        <v>50.0</v>
      </c>
      <c r="AI559" s="22">
        <v>500.0</v>
      </c>
      <c r="AJ559" s="22">
        <v>50.0</v>
      </c>
      <c r="AK559" s="22">
        <v>0.0</v>
      </c>
      <c r="AL559" s="22"/>
      <c r="AM559" s="22"/>
      <c r="AN559" s="24" t="s">
        <v>4000</v>
      </c>
      <c r="AO559" s="22"/>
    </row>
    <row r="560" ht="15.75" customHeight="1">
      <c r="A560" s="22">
        <v>552.0</v>
      </c>
      <c r="B560" s="22" t="s">
        <v>4055</v>
      </c>
      <c r="C560" s="22" t="s">
        <v>4056</v>
      </c>
      <c r="D560" s="66" t="s">
        <v>4057</v>
      </c>
      <c r="E560" s="22" t="s">
        <v>49</v>
      </c>
      <c r="F560" s="42" t="s">
        <v>4058</v>
      </c>
      <c r="G560" s="24" t="s">
        <v>69</v>
      </c>
      <c r="H560" s="22" t="s">
        <v>303</v>
      </c>
      <c r="I560" s="22" t="s">
        <v>303</v>
      </c>
      <c r="J560" s="22" t="s">
        <v>74</v>
      </c>
      <c r="K560" s="22" t="s">
        <v>55</v>
      </c>
      <c r="L560" s="22" t="s">
        <v>56</v>
      </c>
      <c r="M560" s="22" t="s">
        <v>57</v>
      </c>
      <c r="N560" s="22" t="s">
        <v>58</v>
      </c>
      <c r="O560" s="22">
        <v>650.0</v>
      </c>
      <c r="P560" s="22">
        <v>900.0</v>
      </c>
      <c r="Q560" s="22" t="s">
        <v>59</v>
      </c>
      <c r="R560" s="22" t="s">
        <v>58</v>
      </c>
      <c r="S560" s="22" t="s">
        <v>58</v>
      </c>
      <c r="T560" s="22"/>
      <c r="U560" s="22"/>
      <c r="V560" s="22" t="s">
        <v>61</v>
      </c>
      <c r="W560" s="22" t="s">
        <v>58</v>
      </c>
      <c r="X560" s="22" t="s">
        <v>58</v>
      </c>
      <c r="Y560" s="22" t="s">
        <v>58</v>
      </c>
      <c r="Z560" s="22" t="s">
        <v>58</v>
      </c>
      <c r="AA560" s="22" t="s">
        <v>58</v>
      </c>
      <c r="AB560" s="22" t="s">
        <v>58</v>
      </c>
      <c r="AC560" s="22" t="s">
        <v>58</v>
      </c>
      <c r="AD560" s="22" t="s">
        <v>58</v>
      </c>
      <c r="AE560" s="22" t="s">
        <v>61</v>
      </c>
      <c r="AF560" s="22" t="s">
        <v>61</v>
      </c>
      <c r="AG560" s="22" t="s">
        <v>58</v>
      </c>
      <c r="AH560" s="22">
        <v>250.0</v>
      </c>
      <c r="AI560" s="22">
        <v>10000.0</v>
      </c>
      <c r="AJ560" s="22">
        <v>250.0</v>
      </c>
      <c r="AK560" s="22">
        <v>0.0</v>
      </c>
      <c r="AL560" s="22"/>
      <c r="AM560" s="22"/>
      <c r="AN560" s="24" t="s">
        <v>4000</v>
      </c>
      <c r="AO560" s="22"/>
    </row>
    <row r="561" ht="15.75" customHeight="1">
      <c r="A561" s="22">
        <v>553.0</v>
      </c>
      <c r="B561" s="22" t="s">
        <v>3680</v>
      </c>
      <c r="C561" s="22" t="s">
        <v>3681</v>
      </c>
      <c r="D561" s="66" t="s">
        <v>4064</v>
      </c>
      <c r="E561" s="22" t="s">
        <v>49</v>
      </c>
      <c r="F561" s="24" t="s">
        <v>69</v>
      </c>
      <c r="G561" s="24" t="s">
        <v>69</v>
      </c>
      <c r="H561" s="22" t="s">
        <v>2393</v>
      </c>
      <c r="I561" s="22" t="s">
        <v>2394</v>
      </c>
      <c r="J561" s="22" t="s">
        <v>74</v>
      </c>
      <c r="K561" s="22" t="s">
        <v>55</v>
      </c>
      <c r="L561" s="22" t="s">
        <v>56</v>
      </c>
      <c r="M561" s="22" t="s">
        <v>57</v>
      </c>
      <c r="N561" s="22" t="s">
        <v>58</v>
      </c>
      <c r="O561" s="22">
        <v>600.0</v>
      </c>
      <c r="P561" s="22">
        <v>850.0</v>
      </c>
      <c r="Q561" s="22" t="s">
        <v>59</v>
      </c>
      <c r="R561" s="22" t="s">
        <v>58</v>
      </c>
      <c r="S561" s="22" t="s">
        <v>58</v>
      </c>
      <c r="T561" s="22"/>
      <c r="U561" s="22"/>
      <c r="V561" s="22" t="s">
        <v>61</v>
      </c>
      <c r="W561" s="22" t="s">
        <v>58</v>
      </c>
      <c r="X561" s="22" t="s">
        <v>58</v>
      </c>
      <c r="Y561" s="22" t="s">
        <v>58</v>
      </c>
      <c r="Z561" s="22" t="s">
        <v>58</v>
      </c>
      <c r="AA561" s="22" t="s">
        <v>58</v>
      </c>
      <c r="AB561" s="22" t="s">
        <v>58</v>
      </c>
      <c r="AC561" s="22" t="s">
        <v>58</v>
      </c>
      <c r="AD561" s="22" t="s">
        <v>58</v>
      </c>
      <c r="AE561" s="22" t="s">
        <v>61</v>
      </c>
      <c r="AF561" s="22" t="s">
        <v>61</v>
      </c>
      <c r="AG561" s="22" t="s">
        <v>58</v>
      </c>
      <c r="AH561" s="22">
        <v>150.0</v>
      </c>
      <c r="AI561" s="22">
        <v>2000.0</v>
      </c>
      <c r="AJ561" s="22">
        <v>150.0</v>
      </c>
      <c r="AK561" s="22">
        <v>0.0</v>
      </c>
      <c r="AL561" s="22"/>
      <c r="AM561" s="22"/>
      <c r="AN561" s="24" t="s">
        <v>4000</v>
      </c>
      <c r="AO561" s="22"/>
    </row>
    <row r="562" ht="15.75" customHeight="1">
      <c r="A562" s="22">
        <v>554.0</v>
      </c>
      <c r="B562" s="22" t="s">
        <v>4066</v>
      </c>
      <c r="C562" s="22" t="s">
        <v>4067</v>
      </c>
      <c r="D562" s="66" t="s">
        <v>4068</v>
      </c>
      <c r="E562" s="22" t="s">
        <v>49</v>
      </c>
      <c r="F562" s="27" t="s">
        <v>4069</v>
      </c>
      <c r="G562" s="24" t="s">
        <v>69</v>
      </c>
      <c r="H562" s="22" t="s">
        <v>285</v>
      </c>
      <c r="I562" s="22" t="s">
        <v>286</v>
      </c>
      <c r="J562" s="22" t="s">
        <v>74</v>
      </c>
      <c r="K562" s="22" t="s">
        <v>55</v>
      </c>
      <c r="L562" s="22" t="s">
        <v>56</v>
      </c>
      <c r="M562" s="22" t="s">
        <v>57</v>
      </c>
      <c r="N562" s="22" t="s">
        <v>58</v>
      </c>
      <c r="O562" s="22">
        <v>2500.0</v>
      </c>
      <c r="P562" s="22">
        <v>3000.0</v>
      </c>
      <c r="Q562" s="22" t="s">
        <v>59</v>
      </c>
      <c r="R562" s="22" t="s">
        <v>58</v>
      </c>
      <c r="S562" s="22" t="s">
        <v>58</v>
      </c>
      <c r="T562" s="22"/>
      <c r="U562" s="22"/>
      <c r="V562" s="22" t="s">
        <v>61</v>
      </c>
      <c r="W562" s="22" t="s">
        <v>58</v>
      </c>
      <c r="X562" s="22" t="s">
        <v>58</v>
      </c>
      <c r="Y562" s="22" t="s">
        <v>58</v>
      </c>
      <c r="Z562" s="22" t="s">
        <v>58</v>
      </c>
      <c r="AA562" s="22" t="s">
        <v>58</v>
      </c>
      <c r="AB562" s="22" t="s">
        <v>58</v>
      </c>
      <c r="AC562" s="22" t="s">
        <v>58</v>
      </c>
      <c r="AD562" s="22" t="s">
        <v>58</v>
      </c>
      <c r="AE562" s="22" t="s">
        <v>61</v>
      </c>
      <c r="AF562" s="22" t="s">
        <v>61</v>
      </c>
      <c r="AG562" s="22" t="s">
        <v>58</v>
      </c>
      <c r="AH562" s="22">
        <v>50.0</v>
      </c>
      <c r="AI562" s="22">
        <v>100000.0</v>
      </c>
      <c r="AJ562" s="22">
        <v>50.0</v>
      </c>
      <c r="AK562" s="22">
        <v>0.0</v>
      </c>
      <c r="AL562" s="22"/>
      <c r="AM562" s="22"/>
      <c r="AN562" s="24" t="s">
        <v>4000</v>
      </c>
      <c r="AO562" s="22"/>
    </row>
    <row r="563" ht="15.75" customHeight="1">
      <c r="A563" s="22">
        <v>555.0</v>
      </c>
      <c r="B563" s="22" t="s">
        <v>1077</v>
      </c>
      <c r="C563" s="22" t="s">
        <v>1078</v>
      </c>
      <c r="D563" s="24" t="s">
        <v>69</v>
      </c>
      <c r="E563" s="22" t="s">
        <v>49</v>
      </c>
      <c r="F563" s="27" t="s">
        <v>4074</v>
      </c>
      <c r="G563" s="24" t="s">
        <v>69</v>
      </c>
      <c r="H563" s="22" t="s">
        <v>123</v>
      </c>
      <c r="I563" s="22" t="s">
        <v>124</v>
      </c>
      <c r="J563" s="22" t="s">
        <v>74</v>
      </c>
      <c r="K563" s="22" t="s">
        <v>55</v>
      </c>
      <c r="L563" s="22" t="s">
        <v>56</v>
      </c>
      <c r="M563" s="22" t="s">
        <v>57</v>
      </c>
      <c r="N563" s="22" t="s">
        <v>58</v>
      </c>
      <c r="O563" s="22">
        <v>900.0</v>
      </c>
      <c r="P563" s="22">
        <v>1200.0</v>
      </c>
      <c r="Q563" s="22" t="s">
        <v>59</v>
      </c>
      <c r="R563" s="22" t="s">
        <v>58</v>
      </c>
      <c r="S563" s="22" t="s">
        <v>58</v>
      </c>
      <c r="T563" s="22"/>
      <c r="U563" s="22"/>
      <c r="V563" s="22" t="s">
        <v>61</v>
      </c>
      <c r="W563" s="22" t="s">
        <v>58</v>
      </c>
      <c r="X563" s="22" t="s">
        <v>58</v>
      </c>
      <c r="Y563" s="22" t="s">
        <v>58</v>
      </c>
      <c r="Z563" s="22" t="s">
        <v>58</v>
      </c>
      <c r="AA563" s="22" t="s">
        <v>58</v>
      </c>
      <c r="AB563" s="22" t="s">
        <v>58</v>
      </c>
      <c r="AC563" s="22" t="s">
        <v>58</v>
      </c>
      <c r="AD563" s="22" t="s">
        <v>58</v>
      </c>
      <c r="AE563" s="22" t="s">
        <v>61</v>
      </c>
      <c r="AF563" s="22" t="s">
        <v>61</v>
      </c>
      <c r="AG563" s="22" t="s">
        <v>58</v>
      </c>
      <c r="AH563" s="22">
        <v>25.0</v>
      </c>
      <c r="AI563" s="22">
        <v>1000.0</v>
      </c>
      <c r="AJ563" s="22">
        <v>25.0</v>
      </c>
      <c r="AK563" s="22">
        <v>0.0</v>
      </c>
      <c r="AL563" s="22"/>
      <c r="AM563" s="22"/>
      <c r="AN563" s="24" t="s">
        <v>4000</v>
      </c>
      <c r="AO563" s="22"/>
    </row>
    <row r="564" ht="15.75" customHeight="1">
      <c r="A564" s="22">
        <v>556.0</v>
      </c>
      <c r="B564" s="22" t="s">
        <v>1294</v>
      </c>
      <c r="C564" s="22" t="s">
        <v>1295</v>
      </c>
      <c r="D564" s="66" t="s">
        <v>1296</v>
      </c>
      <c r="E564" s="22" t="s">
        <v>49</v>
      </c>
      <c r="F564" s="42" t="s">
        <v>4083</v>
      </c>
      <c r="G564" s="24" t="s">
        <v>69</v>
      </c>
      <c r="H564" s="22" t="s">
        <v>540</v>
      </c>
      <c r="I564" s="22" t="s">
        <v>541</v>
      </c>
      <c r="J564" s="22" t="s">
        <v>541</v>
      </c>
      <c r="K564" s="22" t="s">
        <v>55</v>
      </c>
      <c r="L564" s="22" t="s">
        <v>56</v>
      </c>
      <c r="M564" s="22" t="s">
        <v>57</v>
      </c>
      <c r="N564" s="22" t="s">
        <v>58</v>
      </c>
      <c r="O564" s="22">
        <v>1500.0</v>
      </c>
      <c r="P564" s="22">
        <v>1999.0</v>
      </c>
      <c r="Q564" s="22" t="s">
        <v>59</v>
      </c>
      <c r="R564" s="22" t="s">
        <v>58</v>
      </c>
      <c r="S564" s="22" t="s">
        <v>58</v>
      </c>
      <c r="T564" s="22"/>
      <c r="U564" s="22"/>
      <c r="V564" s="22" t="s">
        <v>61</v>
      </c>
      <c r="W564" s="22" t="s">
        <v>58</v>
      </c>
      <c r="X564" s="22" t="s">
        <v>58</v>
      </c>
      <c r="Y564" s="22" t="s">
        <v>58</v>
      </c>
      <c r="Z564" s="22" t="s">
        <v>58</v>
      </c>
      <c r="AA564" s="22" t="s">
        <v>58</v>
      </c>
      <c r="AB564" s="22" t="s">
        <v>58</v>
      </c>
      <c r="AC564" s="22" t="s">
        <v>58</v>
      </c>
      <c r="AD564" s="22" t="s">
        <v>58</v>
      </c>
      <c r="AE564" s="22" t="s">
        <v>61</v>
      </c>
      <c r="AF564" s="22" t="s">
        <v>61</v>
      </c>
      <c r="AG564" s="22" t="s">
        <v>58</v>
      </c>
      <c r="AH564" s="22">
        <v>100.0</v>
      </c>
      <c r="AI564" s="22">
        <v>1500.0</v>
      </c>
      <c r="AJ564" s="22">
        <v>100.0</v>
      </c>
      <c r="AK564" s="22">
        <v>0.0</v>
      </c>
      <c r="AL564" s="22"/>
      <c r="AM564" s="22"/>
      <c r="AN564" s="24" t="s">
        <v>4000</v>
      </c>
      <c r="AO564" s="22"/>
    </row>
    <row r="565" ht="15.75" customHeight="1">
      <c r="A565" s="22">
        <v>557.0</v>
      </c>
      <c r="B565" s="22" t="s">
        <v>782</v>
      </c>
      <c r="C565" s="22" t="s">
        <v>783</v>
      </c>
      <c r="D565" s="66" t="s">
        <v>786</v>
      </c>
      <c r="E565" s="22" t="s">
        <v>49</v>
      </c>
      <c r="F565" s="24" t="s">
        <v>69</v>
      </c>
      <c r="G565" s="24" t="s">
        <v>69</v>
      </c>
      <c r="H565" s="22" t="s">
        <v>147</v>
      </c>
      <c r="I565" s="22" t="s">
        <v>148</v>
      </c>
      <c r="J565" s="22" t="s">
        <v>148</v>
      </c>
      <c r="K565" s="22" t="s">
        <v>55</v>
      </c>
      <c r="L565" s="22" t="s">
        <v>56</v>
      </c>
      <c r="M565" s="22" t="s">
        <v>57</v>
      </c>
      <c r="N565" s="22" t="s">
        <v>58</v>
      </c>
      <c r="O565" s="22">
        <v>2300.0</v>
      </c>
      <c r="P565" s="22">
        <v>2500.0</v>
      </c>
      <c r="Q565" s="22" t="s">
        <v>59</v>
      </c>
      <c r="R565" s="22" t="s">
        <v>58</v>
      </c>
      <c r="S565" s="22" t="s">
        <v>58</v>
      </c>
      <c r="T565" s="22"/>
      <c r="U565" s="22"/>
      <c r="V565" s="22" t="s">
        <v>61</v>
      </c>
      <c r="W565" s="22" t="s">
        <v>58</v>
      </c>
      <c r="X565" s="22" t="s">
        <v>58</v>
      </c>
      <c r="Y565" s="22" t="s">
        <v>58</v>
      </c>
      <c r="Z565" s="22" t="s">
        <v>58</v>
      </c>
      <c r="AA565" s="22" t="s">
        <v>58</v>
      </c>
      <c r="AB565" s="22" t="s">
        <v>58</v>
      </c>
      <c r="AC565" s="22" t="s">
        <v>58</v>
      </c>
      <c r="AD565" s="22" t="s">
        <v>58</v>
      </c>
      <c r="AE565" s="22" t="s">
        <v>61</v>
      </c>
      <c r="AF565" s="22" t="s">
        <v>61</v>
      </c>
      <c r="AG565" s="22" t="s">
        <v>58</v>
      </c>
      <c r="AH565" s="22">
        <v>15.0</v>
      </c>
      <c r="AI565" s="22">
        <v>150.0</v>
      </c>
      <c r="AJ565" s="22">
        <v>15.0</v>
      </c>
      <c r="AK565" s="22">
        <v>0.0</v>
      </c>
      <c r="AL565" s="22"/>
      <c r="AM565" s="22"/>
      <c r="AN565" s="24" t="s">
        <v>4000</v>
      </c>
      <c r="AO565" s="22"/>
    </row>
    <row r="566" ht="15.75" customHeight="1">
      <c r="A566" s="22">
        <v>558.0</v>
      </c>
      <c r="B566" s="22" t="s">
        <v>3429</v>
      </c>
      <c r="C566" s="22" t="s">
        <v>3430</v>
      </c>
      <c r="D566" s="64" t="s">
        <v>4093</v>
      </c>
      <c r="E566" s="22" t="s">
        <v>49</v>
      </c>
      <c r="F566" s="42" t="s">
        <v>3431</v>
      </c>
      <c r="G566" s="24" t="s">
        <v>69</v>
      </c>
      <c r="H566" s="22" t="s">
        <v>303</v>
      </c>
      <c r="I566" s="22" t="s">
        <v>303</v>
      </c>
      <c r="J566" s="22" t="s">
        <v>74</v>
      </c>
      <c r="K566" s="22" t="s">
        <v>55</v>
      </c>
      <c r="L566" s="22" t="s">
        <v>56</v>
      </c>
      <c r="M566" s="22" t="s">
        <v>57</v>
      </c>
      <c r="N566" s="22" t="s">
        <v>58</v>
      </c>
      <c r="O566" s="22">
        <v>1100.0</v>
      </c>
      <c r="P566" s="22">
        <v>550.0</v>
      </c>
      <c r="Q566" s="22" t="s">
        <v>59</v>
      </c>
      <c r="R566" s="22" t="s">
        <v>58</v>
      </c>
      <c r="S566" s="22" t="s">
        <v>58</v>
      </c>
      <c r="T566" s="22"/>
      <c r="U566" s="22"/>
      <c r="V566" s="22" t="s">
        <v>61</v>
      </c>
      <c r="W566" s="22" t="s">
        <v>58</v>
      </c>
      <c r="X566" s="22" t="s">
        <v>58</v>
      </c>
      <c r="Y566" s="22" t="s">
        <v>58</v>
      </c>
      <c r="Z566" s="22" t="s">
        <v>58</v>
      </c>
      <c r="AA566" s="22" t="s">
        <v>58</v>
      </c>
      <c r="AB566" s="22" t="s">
        <v>58</v>
      </c>
      <c r="AC566" s="22" t="s">
        <v>58</v>
      </c>
      <c r="AD566" s="22" t="s">
        <v>58</v>
      </c>
      <c r="AE566" s="22" t="s">
        <v>61</v>
      </c>
      <c r="AF566" s="22" t="s">
        <v>61</v>
      </c>
      <c r="AG566" s="22" t="s">
        <v>58</v>
      </c>
      <c r="AH566" s="22">
        <v>100.0</v>
      </c>
      <c r="AI566" s="22">
        <v>0.0</v>
      </c>
      <c r="AJ566" s="22">
        <v>100.0</v>
      </c>
      <c r="AK566" s="22">
        <v>0.0</v>
      </c>
      <c r="AL566" s="22"/>
      <c r="AM566" s="22"/>
      <c r="AN566" s="24" t="s">
        <v>4000</v>
      </c>
      <c r="AO566" s="22"/>
    </row>
    <row r="567" ht="15.75" customHeight="1">
      <c r="A567" s="22">
        <v>559.0</v>
      </c>
      <c r="B567" s="22" t="s">
        <v>4076</v>
      </c>
      <c r="C567" s="22" t="s">
        <v>4077</v>
      </c>
      <c r="D567" s="66" t="s">
        <v>4095</v>
      </c>
      <c r="E567" s="22" t="s">
        <v>49</v>
      </c>
      <c r="F567" s="42" t="s">
        <v>4096</v>
      </c>
      <c r="G567" s="81" t="s">
        <v>4098</v>
      </c>
      <c r="H567" s="22" t="s">
        <v>1599</v>
      </c>
      <c r="I567" s="22" t="s">
        <v>1601</v>
      </c>
      <c r="J567" s="22" t="s">
        <v>74</v>
      </c>
      <c r="K567" s="22" t="s">
        <v>55</v>
      </c>
      <c r="L567" s="22" t="s">
        <v>56</v>
      </c>
      <c r="M567" s="22" t="s">
        <v>57</v>
      </c>
      <c r="N567" s="22" t="s">
        <v>58</v>
      </c>
      <c r="O567" s="22">
        <v>250.0</v>
      </c>
      <c r="P567" s="22"/>
      <c r="Q567" s="22" t="s">
        <v>59</v>
      </c>
      <c r="R567" s="22" t="s">
        <v>58</v>
      </c>
      <c r="S567" s="22" t="s">
        <v>58</v>
      </c>
      <c r="T567" s="22"/>
      <c r="U567" s="22"/>
      <c r="V567" s="22" t="s">
        <v>61</v>
      </c>
      <c r="W567" s="22" t="s">
        <v>58</v>
      </c>
      <c r="X567" s="22" t="s">
        <v>58</v>
      </c>
      <c r="Y567" s="22" t="s">
        <v>58</v>
      </c>
      <c r="Z567" s="22" t="s">
        <v>58</v>
      </c>
      <c r="AA567" s="22" t="s">
        <v>58</v>
      </c>
      <c r="AB567" s="22" t="s">
        <v>58</v>
      </c>
      <c r="AC567" s="22" t="s">
        <v>58</v>
      </c>
      <c r="AD567" s="22" t="s">
        <v>58</v>
      </c>
      <c r="AE567" s="22" t="s">
        <v>61</v>
      </c>
      <c r="AF567" s="22" t="s">
        <v>61</v>
      </c>
      <c r="AG567" s="22" t="s">
        <v>58</v>
      </c>
      <c r="AH567" s="22">
        <v>201.0</v>
      </c>
      <c r="AI567" s="22">
        <v>1201.0</v>
      </c>
      <c r="AJ567" s="22">
        <v>201.0</v>
      </c>
      <c r="AK567" s="22">
        <v>0.0</v>
      </c>
      <c r="AL567" s="22"/>
      <c r="AM567" s="22"/>
      <c r="AN567" s="22"/>
      <c r="AO567" s="22"/>
    </row>
    <row r="568" ht="15.75" customHeight="1">
      <c r="A568" s="22">
        <v>560.0</v>
      </c>
      <c r="B568" s="22" t="s">
        <v>4099</v>
      </c>
      <c r="C568" s="22" t="s">
        <v>4100</v>
      </c>
      <c r="D568" s="66" t="s">
        <v>4101</v>
      </c>
      <c r="E568" s="22" t="s">
        <v>49</v>
      </c>
      <c r="F568" s="42" t="s">
        <v>3454</v>
      </c>
      <c r="G568" s="81" t="s">
        <v>4103</v>
      </c>
      <c r="H568" s="22" t="s">
        <v>2541</v>
      </c>
      <c r="I568" s="22" t="s">
        <v>2542</v>
      </c>
      <c r="J568" s="22" t="s">
        <v>74</v>
      </c>
      <c r="K568" s="22" t="s">
        <v>55</v>
      </c>
      <c r="L568" s="22" t="s">
        <v>56</v>
      </c>
      <c r="M568" s="22" t="s">
        <v>57</v>
      </c>
      <c r="N568" s="22" t="s">
        <v>58</v>
      </c>
      <c r="O568" s="22">
        <v>2500.0</v>
      </c>
      <c r="P568" s="22">
        <v>2500.0</v>
      </c>
      <c r="Q568" s="22" t="s">
        <v>59</v>
      </c>
      <c r="R568" s="22" t="s">
        <v>58</v>
      </c>
      <c r="S568" s="22" t="s">
        <v>58</v>
      </c>
      <c r="T568" s="22"/>
      <c r="U568" s="22"/>
      <c r="V568" s="22" t="s">
        <v>61</v>
      </c>
      <c r="W568" s="22" t="s">
        <v>58</v>
      </c>
      <c r="X568" s="22" t="s">
        <v>58</v>
      </c>
      <c r="Y568" s="22" t="s">
        <v>58</v>
      </c>
      <c r="Z568" s="22" t="s">
        <v>58</v>
      </c>
      <c r="AA568" s="22" t="s">
        <v>58</v>
      </c>
      <c r="AB568" s="22" t="s">
        <v>58</v>
      </c>
      <c r="AC568" s="22" t="s">
        <v>58</v>
      </c>
      <c r="AD568" s="22" t="s">
        <v>58</v>
      </c>
      <c r="AE568" s="22" t="s">
        <v>61</v>
      </c>
      <c r="AF568" s="22" t="s">
        <v>61</v>
      </c>
      <c r="AG568" s="22" t="s">
        <v>58</v>
      </c>
      <c r="AH568" s="22">
        <v>250.0</v>
      </c>
      <c r="AI568" s="22">
        <v>2000.0</v>
      </c>
      <c r="AJ568" s="22">
        <v>250.0</v>
      </c>
      <c r="AK568" s="22">
        <v>0.0</v>
      </c>
      <c r="AL568" s="22"/>
      <c r="AM568" s="22"/>
      <c r="AN568" s="22"/>
      <c r="AO568" s="22"/>
    </row>
    <row r="569" ht="15.75" customHeight="1">
      <c r="A569" s="22">
        <v>561.0</v>
      </c>
      <c r="B569" s="22" t="s">
        <v>4105</v>
      </c>
      <c r="C569" s="22" t="s">
        <v>4106</v>
      </c>
      <c r="D569" s="66" t="s">
        <v>2500</v>
      </c>
      <c r="E569" s="22" t="s">
        <v>49</v>
      </c>
      <c r="F569" s="42" t="s">
        <v>1962</v>
      </c>
      <c r="G569" s="81" t="s">
        <v>1964</v>
      </c>
      <c r="H569" s="22" t="s">
        <v>1464</v>
      </c>
      <c r="I569" s="22" t="s">
        <v>1465</v>
      </c>
      <c r="J569" s="22" t="s">
        <v>74</v>
      </c>
      <c r="K569" s="22" t="s">
        <v>55</v>
      </c>
      <c r="L569" s="22" t="s">
        <v>56</v>
      </c>
      <c r="M569" s="22" t="s">
        <v>57</v>
      </c>
      <c r="N569" s="22" t="s">
        <v>58</v>
      </c>
      <c r="O569" s="22">
        <v>1000.0</v>
      </c>
      <c r="P569" s="22">
        <v>1500.0</v>
      </c>
      <c r="Q569" s="22" t="s">
        <v>59</v>
      </c>
      <c r="R569" s="22" t="s">
        <v>58</v>
      </c>
      <c r="S569" s="22" t="s">
        <v>58</v>
      </c>
      <c r="T569" s="22"/>
      <c r="U569" s="22"/>
      <c r="V569" s="22" t="s">
        <v>61</v>
      </c>
      <c r="W569" s="22" t="s">
        <v>58</v>
      </c>
      <c r="X569" s="22" t="s">
        <v>58</v>
      </c>
      <c r="Y569" s="22" t="s">
        <v>58</v>
      </c>
      <c r="Z569" s="22" t="s">
        <v>58</v>
      </c>
      <c r="AA569" s="22" t="s">
        <v>58</v>
      </c>
      <c r="AB569" s="22" t="s">
        <v>58</v>
      </c>
      <c r="AC569" s="22" t="s">
        <v>58</v>
      </c>
      <c r="AD569" s="22" t="s">
        <v>58</v>
      </c>
      <c r="AE569" s="22" t="s">
        <v>61</v>
      </c>
      <c r="AF569" s="22" t="s">
        <v>61</v>
      </c>
      <c r="AG569" s="22" t="s">
        <v>58</v>
      </c>
      <c r="AH569" s="22">
        <v>150.0</v>
      </c>
      <c r="AI569" s="22">
        <v>5000.0</v>
      </c>
      <c r="AJ569" s="22">
        <v>150.0</v>
      </c>
      <c r="AK569" s="22">
        <v>0.0</v>
      </c>
      <c r="AL569" s="22"/>
      <c r="AM569" s="22"/>
      <c r="AN569" s="22"/>
      <c r="AO569" s="22"/>
    </row>
    <row r="570" ht="15.75" customHeight="1">
      <c r="A570" s="22">
        <v>562.0</v>
      </c>
      <c r="B570" s="22" t="s">
        <v>4110</v>
      </c>
      <c r="C570" s="22" t="s">
        <v>4111</v>
      </c>
      <c r="D570" s="66" t="s">
        <v>4112</v>
      </c>
      <c r="E570" s="22" t="s">
        <v>49</v>
      </c>
      <c r="F570" s="24"/>
      <c r="G570" s="22"/>
      <c r="H570" s="22" t="s">
        <v>142</v>
      </c>
      <c r="I570" s="22" t="s">
        <v>144</v>
      </c>
      <c r="J570" s="22" t="s">
        <v>74</v>
      </c>
      <c r="K570" s="22" t="s">
        <v>55</v>
      </c>
      <c r="L570" s="22" t="s">
        <v>56</v>
      </c>
      <c r="M570" s="22" t="s">
        <v>57</v>
      </c>
      <c r="N570" s="22" t="s">
        <v>58</v>
      </c>
      <c r="O570" s="22">
        <v>700.0</v>
      </c>
      <c r="P570" s="22">
        <v>1200.0</v>
      </c>
      <c r="Q570" s="22" t="s">
        <v>59</v>
      </c>
      <c r="R570" s="22" t="s">
        <v>58</v>
      </c>
      <c r="S570" s="22" t="s">
        <v>58</v>
      </c>
      <c r="T570" s="22"/>
      <c r="U570" s="22"/>
      <c r="V570" s="22" t="s">
        <v>61</v>
      </c>
      <c r="W570" s="22" t="s">
        <v>58</v>
      </c>
      <c r="X570" s="22" t="s">
        <v>58</v>
      </c>
      <c r="Y570" s="22" t="s">
        <v>58</v>
      </c>
      <c r="Z570" s="22" t="s">
        <v>58</v>
      </c>
      <c r="AA570" s="22" t="s">
        <v>58</v>
      </c>
      <c r="AB570" s="22" t="s">
        <v>58</v>
      </c>
      <c r="AC570" s="22" t="s">
        <v>58</v>
      </c>
      <c r="AD570" s="22" t="s">
        <v>58</v>
      </c>
      <c r="AE570" s="22" t="s">
        <v>61</v>
      </c>
      <c r="AF570" s="22" t="s">
        <v>61</v>
      </c>
      <c r="AG570" s="22" t="s">
        <v>58</v>
      </c>
      <c r="AH570" s="22">
        <v>300.0</v>
      </c>
      <c r="AI570" s="22">
        <v>60.0</v>
      </c>
      <c r="AJ570" s="22">
        <v>300.0</v>
      </c>
      <c r="AK570" s="22">
        <v>0.0</v>
      </c>
      <c r="AL570" s="22"/>
      <c r="AM570" s="22"/>
      <c r="AN570" s="22"/>
      <c r="AO570" s="22"/>
    </row>
    <row r="571" ht="15.75" customHeight="1">
      <c r="A571" s="22">
        <v>563.0</v>
      </c>
      <c r="B571" s="22" t="s">
        <v>4114</v>
      </c>
      <c r="C571" s="22" t="s">
        <v>4115</v>
      </c>
      <c r="D571" s="66" t="s">
        <v>4116</v>
      </c>
      <c r="E571" s="22" t="s">
        <v>49</v>
      </c>
      <c r="F571" s="42" t="s">
        <v>4117</v>
      </c>
      <c r="G571" s="81" t="s">
        <v>4118</v>
      </c>
      <c r="H571" s="22" t="s">
        <v>1110</v>
      </c>
      <c r="I571" s="22" t="s">
        <v>1111</v>
      </c>
      <c r="J571" s="22" t="s">
        <v>74</v>
      </c>
      <c r="K571" s="22" t="s">
        <v>55</v>
      </c>
      <c r="L571" s="22" t="s">
        <v>56</v>
      </c>
      <c r="M571" s="22" t="s">
        <v>57</v>
      </c>
      <c r="N571" s="22" t="s">
        <v>58</v>
      </c>
      <c r="O571" s="22">
        <v>500.0</v>
      </c>
      <c r="P571" s="22">
        <v>800.0</v>
      </c>
      <c r="Q571" s="22" t="s">
        <v>59</v>
      </c>
      <c r="R571" s="22" t="s">
        <v>58</v>
      </c>
      <c r="S571" s="22" t="s">
        <v>58</v>
      </c>
      <c r="T571" s="22"/>
      <c r="U571" s="22"/>
      <c r="V571" s="22" t="s">
        <v>61</v>
      </c>
      <c r="W571" s="22" t="s">
        <v>58</v>
      </c>
      <c r="X571" s="22" t="s">
        <v>58</v>
      </c>
      <c r="Y571" s="22" t="s">
        <v>58</v>
      </c>
      <c r="Z571" s="22" t="s">
        <v>58</v>
      </c>
      <c r="AA571" s="22" t="s">
        <v>58</v>
      </c>
      <c r="AB571" s="22" t="s">
        <v>58</v>
      </c>
      <c r="AC571" s="22" t="s">
        <v>58</v>
      </c>
      <c r="AD571" s="22" t="s">
        <v>58</v>
      </c>
      <c r="AE571" s="22" t="s">
        <v>61</v>
      </c>
      <c r="AF571" s="22" t="s">
        <v>61</v>
      </c>
      <c r="AG571" s="22" t="s">
        <v>58</v>
      </c>
      <c r="AH571" s="22">
        <v>300.0</v>
      </c>
      <c r="AI571" s="22">
        <v>500.0</v>
      </c>
      <c r="AJ571" s="22">
        <v>300.0</v>
      </c>
      <c r="AK571" s="22">
        <v>0.0</v>
      </c>
      <c r="AL571" s="22"/>
      <c r="AM571" s="22"/>
      <c r="AN571" s="22"/>
      <c r="AO571" s="22"/>
    </row>
    <row r="572" ht="15.75" customHeight="1">
      <c r="A572" s="22">
        <v>564.0</v>
      </c>
      <c r="B572" s="22" t="s">
        <v>3978</v>
      </c>
      <c r="C572" s="22" t="s">
        <v>3979</v>
      </c>
      <c r="D572" s="66" t="s">
        <v>3980</v>
      </c>
      <c r="E572" s="22" t="s">
        <v>49</v>
      </c>
      <c r="F572" s="42" t="s">
        <v>4120</v>
      </c>
      <c r="G572" s="76" t="s">
        <v>4124</v>
      </c>
      <c r="H572" s="22" t="s">
        <v>3983</v>
      </c>
      <c r="I572" s="22" t="s">
        <v>3984</v>
      </c>
      <c r="J572" s="22" t="s">
        <v>74</v>
      </c>
      <c r="K572" s="22" t="s">
        <v>55</v>
      </c>
      <c r="L572" s="22" t="s">
        <v>56</v>
      </c>
      <c r="M572" s="22" t="s">
        <v>57</v>
      </c>
      <c r="N572" s="22" t="s">
        <v>58</v>
      </c>
      <c r="O572" s="22">
        <v>900.0</v>
      </c>
      <c r="P572" s="22">
        <v>1100.0</v>
      </c>
      <c r="Q572" s="22" t="s">
        <v>59</v>
      </c>
      <c r="R572" s="22" t="s">
        <v>58</v>
      </c>
      <c r="S572" s="22" t="s">
        <v>58</v>
      </c>
      <c r="T572" s="22"/>
      <c r="U572" s="22"/>
      <c r="V572" s="22" t="s">
        <v>61</v>
      </c>
      <c r="W572" s="22" t="s">
        <v>58</v>
      </c>
      <c r="X572" s="22" t="s">
        <v>58</v>
      </c>
      <c r="Y572" s="22" t="s">
        <v>58</v>
      </c>
      <c r="Z572" s="22" t="s">
        <v>58</v>
      </c>
      <c r="AA572" s="22" t="s">
        <v>58</v>
      </c>
      <c r="AB572" s="22" t="s">
        <v>58</v>
      </c>
      <c r="AC572" s="22" t="s">
        <v>58</v>
      </c>
      <c r="AD572" s="22" t="s">
        <v>58</v>
      </c>
      <c r="AE572" s="22" t="s">
        <v>61</v>
      </c>
      <c r="AF572" s="22" t="s">
        <v>61</v>
      </c>
      <c r="AG572" s="22" t="s">
        <v>58</v>
      </c>
      <c r="AH572" s="22">
        <v>50.0</v>
      </c>
      <c r="AI572" s="22">
        <v>2000.0</v>
      </c>
      <c r="AJ572" s="22">
        <v>50.0</v>
      </c>
      <c r="AK572" s="22">
        <v>0.0</v>
      </c>
      <c r="AL572" s="22"/>
      <c r="AM572" s="22"/>
      <c r="AN572" s="22"/>
      <c r="AO572" s="22"/>
    </row>
    <row r="573" ht="15.75" customHeight="1">
      <c r="A573" s="22">
        <v>565.0</v>
      </c>
      <c r="B573" s="22" t="s">
        <v>749</v>
      </c>
      <c r="C573" s="22" t="s">
        <v>751</v>
      </c>
      <c r="D573" s="24" t="s">
        <v>69</v>
      </c>
      <c r="E573" s="22" t="s">
        <v>49</v>
      </c>
      <c r="F573" s="42" t="s">
        <v>4127</v>
      </c>
      <c r="G573" s="82">
        <v>9.372742808E9</v>
      </c>
      <c r="H573" s="22" t="s">
        <v>75</v>
      </c>
      <c r="I573" s="22" t="s">
        <v>76</v>
      </c>
      <c r="J573" s="22" t="s">
        <v>76</v>
      </c>
      <c r="K573" s="22" t="s">
        <v>55</v>
      </c>
      <c r="L573" s="22" t="s">
        <v>56</v>
      </c>
      <c r="M573" s="22" t="s">
        <v>57</v>
      </c>
      <c r="N573" s="22" t="s">
        <v>58</v>
      </c>
      <c r="O573" s="22">
        <v>800.0</v>
      </c>
      <c r="P573" s="22">
        <v>1199.0</v>
      </c>
      <c r="Q573" s="22" t="s">
        <v>59</v>
      </c>
      <c r="R573" s="22" t="s">
        <v>58</v>
      </c>
      <c r="S573" s="22" t="s">
        <v>58</v>
      </c>
      <c r="T573" s="22"/>
      <c r="U573" s="22"/>
      <c r="V573" s="22" t="s">
        <v>61</v>
      </c>
      <c r="W573" s="22" t="s">
        <v>58</v>
      </c>
      <c r="X573" s="22" t="s">
        <v>58</v>
      </c>
      <c r="Y573" s="22" t="s">
        <v>58</v>
      </c>
      <c r="Z573" s="22" t="s">
        <v>58</v>
      </c>
      <c r="AA573" s="22" t="s">
        <v>58</v>
      </c>
      <c r="AB573" s="22" t="s">
        <v>58</v>
      </c>
      <c r="AC573" s="22" t="s">
        <v>58</v>
      </c>
      <c r="AD573" s="22" t="s">
        <v>58</v>
      </c>
      <c r="AE573" s="22" t="s">
        <v>61</v>
      </c>
      <c r="AF573" s="22" t="s">
        <v>61</v>
      </c>
      <c r="AG573" s="22" t="s">
        <v>58</v>
      </c>
      <c r="AH573" s="22">
        <v>40.0</v>
      </c>
      <c r="AI573" s="22">
        <v>550.0</v>
      </c>
      <c r="AJ573" s="22">
        <v>40.0</v>
      </c>
      <c r="AK573" s="22">
        <v>0.0</v>
      </c>
      <c r="AL573" s="22"/>
      <c r="AM573" s="22"/>
      <c r="AN573" s="22"/>
      <c r="AO573" s="22"/>
    </row>
    <row r="574" ht="15.75" customHeight="1">
      <c r="A574" s="22">
        <v>566.0</v>
      </c>
      <c r="B574" s="22" t="s">
        <v>105</v>
      </c>
      <c r="C574" s="22" t="s">
        <v>106</v>
      </c>
      <c r="D574" s="66" t="s">
        <v>110</v>
      </c>
      <c r="E574" s="22" t="s">
        <v>49</v>
      </c>
      <c r="F574" s="42" t="s">
        <v>3745</v>
      </c>
      <c r="G574" s="82">
        <v>9.910703048E9</v>
      </c>
      <c r="H574" s="22" t="s">
        <v>115</v>
      </c>
      <c r="I574" s="22" t="s">
        <v>116</v>
      </c>
      <c r="J574" s="22" t="s">
        <v>116</v>
      </c>
      <c r="K574" s="22" t="s">
        <v>55</v>
      </c>
      <c r="L574" s="22" t="s">
        <v>56</v>
      </c>
      <c r="M574" s="22" t="s">
        <v>57</v>
      </c>
      <c r="N574" s="22" t="s">
        <v>58</v>
      </c>
      <c r="O574" s="22">
        <v>294.0</v>
      </c>
      <c r="P574" s="22"/>
      <c r="Q574" s="22" t="s">
        <v>59</v>
      </c>
      <c r="R574" s="22" t="s">
        <v>58</v>
      </c>
      <c r="S574" s="22" t="s">
        <v>58</v>
      </c>
      <c r="T574" s="22"/>
      <c r="U574" s="22"/>
      <c r="V574" s="22" t="s">
        <v>61</v>
      </c>
      <c r="W574" s="22" t="s">
        <v>58</v>
      </c>
      <c r="X574" s="22" t="s">
        <v>58</v>
      </c>
      <c r="Y574" s="22" t="s">
        <v>58</v>
      </c>
      <c r="Z574" s="22" t="s">
        <v>58</v>
      </c>
      <c r="AA574" s="22" t="s">
        <v>58</v>
      </c>
      <c r="AB574" s="22" t="s">
        <v>58</v>
      </c>
      <c r="AC574" s="22" t="s">
        <v>58</v>
      </c>
      <c r="AD574" s="22" t="s">
        <v>58</v>
      </c>
      <c r="AE574" s="22" t="s">
        <v>61</v>
      </c>
      <c r="AF574" s="22" t="s">
        <v>61</v>
      </c>
      <c r="AG574" s="22" t="s">
        <v>58</v>
      </c>
      <c r="AH574" s="22">
        <v>10.0</v>
      </c>
      <c r="AI574" s="22">
        <v>250.0</v>
      </c>
      <c r="AJ574" s="22">
        <v>10.0</v>
      </c>
      <c r="AK574" s="22">
        <v>0.0</v>
      </c>
      <c r="AL574" s="22"/>
      <c r="AM574" s="22"/>
      <c r="AN574" s="22"/>
      <c r="AO574" s="22"/>
    </row>
    <row r="575" ht="15.75" customHeight="1">
      <c r="A575" s="22">
        <v>567.0</v>
      </c>
      <c r="B575" s="22" t="s">
        <v>4130</v>
      </c>
      <c r="C575" s="22" t="s">
        <v>4132</v>
      </c>
      <c r="D575" s="24" t="s">
        <v>69</v>
      </c>
      <c r="E575" s="22" t="s">
        <v>49</v>
      </c>
      <c r="F575" s="42" t="s">
        <v>4133</v>
      </c>
      <c r="G575" s="81" t="s">
        <v>4134</v>
      </c>
      <c r="H575" s="22" t="s">
        <v>586</v>
      </c>
      <c r="I575" s="22" t="s">
        <v>587</v>
      </c>
      <c r="J575" s="22" t="s">
        <v>74</v>
      </c>
      <c r="K575" s="22" t="s">
        <v>55</v>
      </c>
      <c r="L575" s="22" t="s">
        <v>56</v>
      </c>
      <c r="M575" s="22" t="s">
        <v>57</v>
      </c>
      <c r="N575" s="22" t="s">
        <v>58</v>
      </c>
      <c r="O575" s="22">
        <v>850.0</v>
      </c>
      <c r="P575" s="22">
        <v>950.0</v>
      </c>
      <c r="Q575" s="22" t="s">
        <v>59</v>
      </c>
      <c r="R575" s="22" t="s">
        <v>58</v>
      </c>
      <c r="S575" s="22" t="s">
        <v>58</v>
      </c>
      <c r="T575" s="22"/>
      <c r="U575" s="22"/>
      <c r="V575" s="22" t="s">
        <v>61</v>
      </c>
      <c r="W575" s="22" t="s">
        <v>58</v>
      </c>
      <c r="X575" s="22" t="s">
        <v>58</v>
      </c>
      <c r="Y575" s="22" t="s">
        <v>58</v>
      </c>
      <c r="Z575" s="22" t="s">
        <v>58</v>
      </c>
      <c r="AA575" s="22" t="s">
        <v>58</v>
      </c>
      <c r="AB575" s="22" t="s">
        <v>58</v>
      </c>
      <c r="AC575" s="22" t="s">
        <v>58</v>
      </c>
      <c r="AD575" s="22" t="s">
        <v>58</v>
      </c>
      <c r="AE575" s="22" t="s">
        <v>61</v>
      </c>
      <c r="AF575" s="22" t="s">
        <v>61</v>
      </c>
      <c r="AG575" s="22" t="s">
        <v>58</v>
      </c>
      <c r="AH575" s="22">
        <v>250.0</v>
      </c>
      <c r="AI575" s="22">
        <v>2500.0</v>
      </c>
      <c r="AJ575" s="22">
        <v>250.0</v>
      </c>
      <c r="AK575" s="22">
        <v>0.0</v>
      </c>
      <c r="AL575" s="22"/>
      <c r="AM575" s="22"/>
      <c r="AN575" s="22"/>
      <c r="AO575" s="22"/>
    </row>
    <row r="576" ht="15.75" customHeight="1">
      <c r="A576" s="22">
        <v>568.0</v>
      </c>
      <c r="B576" s="22" t="s">
        <v>3626</v>
      </c>
      <c r="C576" s="22" t="s">
        <v>3627</v>
      </c>
      <c r="D576" s="66" t="s">
        <v>3628</v>
      </c>
      <c r="E576" s="22" t="s">
        <v>49</v>
      </c>
      <c r="F576" s="42" t="s">
        <v>3516</v>
      </c>
      <c r="G576" s="82">
        <v>9.211800627E9</v>
      </c>
      <c r="H576" s="22" t="s">
        <v>142</v>
      </c>
      <c r="I576" s="22" t="s">
        <v>144</v>
      </c>
      <c r="J576" s="22" t="s">
        <v>74</v>
      </c>
      <c r="K576" s="22" t="s">
        <v>55</v>
      </c>
      <c r="L576" s="22" t="s">
        <v>56</v>
      </c>
      <c r="M576" s="22" t="s">
        <v>57</v>
      </c>
      <c r="N576" s="22" t="s">
        <v>58</v>
      </c>
      <c r="O576" s="22">
        <v>700.0</v>
      </c>
      <c r="P576" s="22">
        <v>700.0</v>
      </c>
      <c r="Q576" s="22" t="s">
        <v>59</v>
      </c>
      <c r="R576" s="22" t="s">
        <v>58</v>
      </c>
      <c r="S576" s="22" t="s">
        <v>58</v>
      </c>
      <c r="T576" s="22"/>
      <c r="U576" s="22"/>
      <c r="V576" s="22" t="s">
        <v>61</v>
      </c>
      <c r="W576" s="22" t="s">
        <v>58</v>
      </c>
      <c r="X576" s="22" t="s">
        <v>58</v>
      </c>
      <c r="Y576" s="22" t="s">
        <v>58</v>
      </c>
      <c r="Z576" s="22" t="s">
        <v>58</v>
      </c>
      <c r="AA576" s="22" t="s">
        <v>58</v>
      </c>
      <c r="AB576" s="22" t="s">
        <v>58</v>
      </c>
      <c r="AC576" s="22" t="s">
        <v>58</v>
      </c>
      <c r="AD576" s="22" t="s">
        <v>58</v>
      </c>
      <c r="AE576" s="22" t="s">
        <v>61</v>
      </c>
      <c r="AF576" s="22" t="s">
        <v>61</v>
      </c>
      <c r="AG576" s="22" t="s">
        <v>58</v>
      </c>
      <c r="AH576" s="22">
        <v>50.0</v>
      </c>
      <c r="AI576" s="22">
        <v>1000.0</v>
      </c>
      <c r="AJ576" s="22">
        <v>50.0</v>
      </c>
      <c r="AK576" s="22">
        <v>0.0</v>
      </c>
      <c r="AL576" s="22"/>
      <c r="AM576" s="22"/>
      <c r="AN576" s="22"/>
      <c r="AO576" s="22"/>
    </row>
    <row r="577" ht="15.75" customHeight="1">
      <c r="A577" s="22">
        <v>569.0</v>
      </c>
      <c r="B577" s="22" t="s">
        <v>4140</v>
      </c>
      <c r="C577" s="22" t="s">
        <v>4141</v>
      </c>
      <c r="D577" s="22" t="s">
        <v>4142</v>
      </c>
      <c r="E577" s="22" t="s">
        <v>49</v>
      </c>
      <c r="F577" s="42" t="s">
        <v>4143</v>
      </c>
      <c r="G577" s="24" t="s">
        <v>69</v>
      </c>
      <c r="H577" s="22" t="s">
        <v>303</v>
      </c>
      <c r="I577" s="22" t="s">
        <v>303</v>
      </c>
      <c r="J577" s="22" t="s">
        <v>74</v>
      </c>
      <c r="K577" s="22" t="s">
        <v>55</v>
      </c>
      <c r="L577" s="22" t="s">
        <v>56</v>
      </c>
      <c r="M577" s="22" t="s">
        <v>57</v>
      </c>
      <c r="N577" s="22" t="s">
        <v>58</v>
      </c>
      <c r="O577" s="22">
        <v>1300.0</v>
      </c>
      <c r="P577" s="22">
        <v>1500.0</v>
      </c>
      <c r="Q577" s="22" t="s">
        <v>59</v>
      </c>
      <c r="R577" s="22" t="s">
        <v>58</v>
      </c>
      <c r="S577" s="22" t="s">
        <v>58</v>
      </c>
      <c r="T577" s="24" t="s">
        <v>4144</v>
      </c>
      <c r="U577" s="22"/>
      <c r="V577" s="22" t="s">
        <v>61</v>
      </c>
      <c r="W577" s="22" t="s">
        <v>58</v>
      </c>
      <c r="X577" s="22" t="s">
        <v>58</v>
      </c>
      <c r="Y577" s="22" t="s">
        <v>58</v>
      </c>
      <c r="Z577" s="22" t="s">
        <v>58</v>
      </c>
      <c r="AA577" s="22" t="s">
        <v>58</v>
      </c>
      <c r="AB577" s="22" t="s">
        <v>58</v>
      </c>
      <c r="AC577" s="22" t="s">
        <v>58</v>
      </c>
      <c r="AD577" s="22" t="s">
        <v>58</v>
      </c>
      <c r="AE577" s="22" t="s">
        <v>61</v>
      </c>
      <c r="AF577" s="22" t="s">
        <v>61</v>
      </c>
      <c r="AG577" s="22" t="s">
        <v>58</v>
      </c>
      <c r="AH577" s="22">
        <v>250.0</v>
      </c>
      <c r="AI577" s="22">
        <v>5000.0</v>
      </c>
      <c r="AJ577" s="22">
        <v>250.0</v>
      </c>
      <c r="AK577" s="22">
        <v>0.0</v>
      </c>
      <c r="AL577" s="22"/>
      <c r="AM577" s="22"/>
      <c r="AN577" s="22"/>
      <c r="AO577" s="22"/>
    </row>
    <row r="578" ht="15.75" customHeight="1">
      <c r="A578" s="22">
        <v>570.0</v>
      </c>
      <c r="B578" s="22" t="s">
        <v>648</v>
      </c>
      <c r="C578" s="22" t="s">
        <v>649</v>
      </c>
      <c r="D578" s="66" t="s">
        <v>650</v>
      </c>
      <c r="E578" s="22" t="s">
        <v>49</v>
      </c>
      <c r="F578" s="42" t="s">
        <v>4145</v>
      </c>
      <c r="G578" s="82">
        <v>9.8117517E9</v>
      </c>
      <c r="H578" s="22" t="s">
        <v>147</v>
      </c>
      <c r="I578" s="22" t="s">
        <v>148</v>
      </c>
      <c r="J578" s="22" t="s">
        <v>148</v>
      </c>
      <c r="K578" s="22" t="s">
        <v>55</v>
      </c>
      <c r="L578" s="22" t="s">
        <v>56</v>
      </c>
      <c r="M578" s="22" t="s">
        <v>57</v>
      </c>
      <c r="N578" s="22" t="s">
        <v>58</v>
      </c>
      <c r="O578" s="22">
        <v>800.0</v>
      </c>
      <c r="P578" s="22"/>
      <c r="Q578" s="22" t="s">
        <v>59</v>
      </c>
      <c r="R578" s="22" t="s">
        <v>58</v>
      </c>
      <c r="S578" s="22" t="s">
        <v>58</v>
      </c>
      <c r="T578" s="22"/>
      <c r="U578" s="22"/>
      <c r="V578" s="22" t="s">
        <v>61</v>
      </c>
      <c r="W578" s="22" t="s">
        <v>58</v>
      </c>
      <c r="X578" s="22" t="s">
        <v>58</v>
      </c>
      <c r="Y578" s="22" t="s">
        <v>58</v>
      </c>
      <c r="Z578" s="22" t="s">
        <v>58</v>
      </c>
      <c r="AA578" s="22" t="s">
        <v>58</v>
      </c>
      <c r="AB578" s="22" t="s">
        <v>58</v>
      </c>
      <c r="AC578" s="22" t="s">
        <v>58</v>
      </c>
      <c r="AD578" s="22" t="s">
        <v>58</v>
      </c>
      <c r="AE578" s="22" t="s">
        <v>61</v>
      </c>
      <c r="AF578" s="22" t="s">
        <v>61</v>
      </c>
      <c r="AG578" s="22" t="s">
        <v>58</v>
      </c>
      <c r="AH578" s="22">
        <v>200.0</v>
      </c>
      <c r="AI578" s="22">
        <v>2500.0</v>
      </c>
      <c r="AJ578" s="22">
        <v>200.0</v>
      </c>
      <c r="AK578" s="22">
        <v>0.0</v>
      </c>
      <c r="AL578" s="22"/>
      <c r="AM578" s="22"/>
      <c r="AN578" s="22"/>
      <c r="AO578" s="22"/>
    </row>
    <row r="579" ht="15.75" customHeight="1">
      <c r="A579" s="22">
        <v>571.0</v>
      </c>
      <c r="B579" s="22" t="s">
        <v>1701</v>
      </c>
      <c r="C579" s="22" t="s">
        <v>1702</v>
      </c>
      <c r="D579" s="66" t="s">
        <v>1703</v>
      </c>
      <c r="E579" s="22" t="s">
        <v>49</v>
      </c>
      <c r="F579" s="42" t="s">
        <v>4147</v>
      </c>
      <c r="G579" s="71" t="s">
        <v>4149</v>
      </c>
      <c r="H579" s="22" t="s">
        <v>389</v>
      </c>
      <c r="I579" s="22" t="s">
        <v>390</v>
      </c>
      <c r="J579" s="22" t="s">
        <v>390</v>
      </c>
      <c r="K579" s="22" t="s">
        <v>55</v>
      </c>
      <c r="L579" s="22" t="s">
        <v>56</v>
      </c>
      <c r="M579" s="22" t="s">
        <v>57</v>
      </c>
      <c r="N579" s="22" t="s">
        <v>58</v>
      </c>
      <c r="O579" s="22">
        <v>700.0</v>
      </c>
      <c r="P579" s="22">
        <v>900.0</v>
      </c>
      <c r="Q579" s="22" t="s">
        <v>59</v>
      </c>
      <c r="R579" s="22" t="s">
        <v>58</v>
      </c>
      <c r="S579" s="22" t="s">
        <v>58</v>
      </c>
      <c r="T579" s="22"/>
      <c r="U579" s="22"/>
      <c r="V579" s="22" t="s">
        <v>61</v>
      </c>
      <c r="W579" s="22" t="s">
        <v>58</v>
      </c>
      <c r="X579" s="22" t="s">
        <v>58</v>
      </c>
      <c r="Y579" s="22" t="s">
        <v>58</v>
      </c>
      <c r="Z579" s="22" t="s">
        <v>58</v>
      </c>
      <c r="AA579" s="22" t="s">
        <v>58</v>
      </c>
      <c r="AB579" s="22" t="s">
        <v>58</v>
      </c>
      <c r="AC579" s="22" t="s">
        <v>58</v>
      </c>
      <c r="AD579" s="22" t="s">
        <v>58</v>
      </c>
      <c r="AE579" s="22" t="s">
        <v>61</v>
      </c>
      <c r="AF579" s="22" t="s">
        <v>61</v>
      </c>
      <c r="AG579" s="22" t="s">
        <v>58</v>
      </c>
      <c r="AH579" s="22">
        <v>100.0</v>
      </c>
      <c r="AI579" s="22">
        <v>5000.0</v>
      </c>
      <c r="AJ579" s="22">
        <v>100.0</v>
      </c>
      <c r="AK579" s="22">
        <v>0.0</v>
      </c>
      <c r="AL579" s="22"/>
      <c r="AM579" s="22"/>
      <c r="AN579" s="22"/>
      <c r="AO579" s="22"/>
    </row>
    <row r="580" ht="15.75" customHeight="1">
      <c r="A580" s="22">
        <v>572.0</v>
      </c>
      <c r="B580" s="22" t="s">
        <v>990</v>
      </c>
      <c r="C580" s="22" t="s">
        <v>992</v>
      </c>
      <c r="D580" s="66" t="s">
        <v>4151</v>
      </c>
      <c r="E580" s="22" t="s">
        <v>49</v>
      </c>
      <c r="F580" s="24" t="s">
        <v>69</v>
      </c>
      <c r="G580" s="24" t="s">
        <v>69</v>
      </c>
      <c r="H580" s="22" t="s">
        <v>123</v>
      </c>
      <c r="I580" s="22" t="s">
        <v>124</v>
      </c>
      <c r="J580" s="22" t="s">
        <v>74</v>
      </c>
      <c r="K580" s="22" t="s">
        <v>55</v>
      </c>
      <c r="L580" s="22" t="s">
        <v>56</v>
      </c>
      <c r="M580" s="22" t="s">
        <v>57</v>
      </c>
      <c r="N580" s="22" t="s">
        <v>58</v>
      </c>
      <c r="O580" s="22">
        <v>850.0</v>
      </c>
      <c r="P580" s="22"/>
      <c r="Q580" s="22" t="s">
        <v>59</v>
      </c>
      <c r="R580" s="22" t="s">
        <v>58</v>
      </c>
      <c r="S580" s="22" t="s">
        <v>58</v>
      </c>
      <c r="T580" s="22"/>
      <c r="U580" s="22"/>
      <c r="V580" s="22" t="s">
        <v>61</v>
      </c>
      <c r="W580" s="22" t="s">
        <v>58</v>
      </c>
      <c r="X580" s="22" t="s">
        <v>58</v>
      </c>
      <c r="Y580" s="22" t="s">
        <v>58</v>
      </c>
      <c r="Z580" s="22" t="s">
        <v>58</v>
      </c>
      <c r="AA580" s="22" t="s">
        <v>58</v>
      </c>
      <c r="AB580" s="22" t="s">
        <v>58</v>
      </c>
      <c r="AC580" s="22" t="s">
        <v>58</v>
      </c>
      <c r="AD580" s="22" t="s">
        <v>58</v>
      </c>
      <c r="AE580" s="22" t="s">
        <v>61</v>
      </c>
      <c r="AF580" s="22" t="s">
        <v>61</v>
      </c>
      <c r="AG580" s="22" t="s">
        <v>58</v>
      </c>
      <c r="AH580" s="22">
        <v>200.0</v>
      </c>
      <c r="AI580" s="22">
        <v>5000.0</v>
      </c>
      <c r="AJ580" s="22">
        <v>200.0</v>
      </c>
      <c r="AK580" s="22">
        <v>0.0</v>
      </c>
      <c r="AL580" s="22"/>
      <c r="AM580" s="22"/>
      <c r="AN580" s="22"/>
      <c r="AO580" s="22"/>
    </row>
    <row r="581" ht="15.75" customHeight="1">
      <c r="A581" s="22">
        <v>573.0</v>
      </c>
      <c r="B581" s="22" t="s">
        <v>3636</v>
      </c>
      <c r="C581" s="22" t="s">
        <v>3637</v>
      </c>
      <c r="D581" s="22" t="s">
        <v>3638</v>
      </c>
      <c r="E581" s="22" t="s">
        <v>49</v>
      </c>
      <c r="F581" s="42" t="s">
        <v>4155</v>
      </c>
      <c r="G581" s="54">
        <v>8.58685614E9</v>
      </c>
      <c r="H581" s="22" t="s">
        <v>303</v>
      </c>
      <c r="I581" s="22" t="s">
        <v>303</v>
      </c>
      <c r="J581" s="22" t="s">
        <v>74</v>
      </c>
      <c r="K581" s="22" t="s">
        <v>55</v>
      </c>
      <c r="L581" s="22" t="s">
        <v>56</v>
      </c>
      <c r="M581" s="22" t="s">
        <v>57</v>
      </c>
      <c r="N581" s="22" t="s">
        <v>58</v>
      </c>
      <c r="O581" s="22">
        <v>400.0</v>
      </c>
      <c r="P581" s="22">
        <v>550.0</v>
      </c>
      <c r="Q581" s="22" t="s">
        <v>59</v>
      </c>
      <c r="R581" s="22" t="s">
        <v>58</v>
      </c>
      <c r="S581" s="22" t="s">
        <v>58</v>
      </c>
      <c r="T581" s="22"/>
      <c r="U581" s="22"/>
      <c r="V581" s="22" t="s">
        <v>61</v>
      </c>
      <c r="W581" s="22" t="s">
        <v>58</v>
      </c>
      <c r="X581" s="22" t="s">
        <v>58</v>
      </c>
      <c r="Y581" s="22" t="s">
        <v>58</v>
      </c>
      <c r="Z581" s="22" t="s">
        <v>58</v>
      </c>
      <c r="AA581" s="22" t="s">
        <v>58</v>
      </c>
      <c r="AB581" s="22" t="s">
        <v>58</v>
      </c>
      <c r="AC581" s="22" t="s">
        <v>58</v>
      </c>
      <c r="AD581" s="22" t="s">
        <v>58</v>
      </c>
      <c r="AE581" s="22" t="s">
        <v>61</v>
      </c>
      <c r="AF581" s="22" t="s">
        <v>61</v>
      </c>
      <c r="AG581" s="22" t="s">
        <v>58</v>
      </c>
      <c r="AH581" s="22">
        <v>30.0</v>
      </c>
      <c r="AI581" s="22">
        <v>125.0</v>
      </c>
      <c r="AJ581" s="22">
        <v>30.0</v>
      </c>
      <c r="AK581" s="22">
        <v>0.0</v>
      </c>
      <c r="AL581" s="22"/>
      <c r="AM581" s="22"/>
      <c r="AN581" s="22"/>
      <c r="AO581" s="22"/>
    </row>
    <row r="582" ht="15.75" customHeight="1">
      <c r="A582" s="22">
        <v>574.0</v>
      </c>
      <c r="B582" s="22" t="s">
        <v>4158</v>
      </c>
      <c r="C582" s="22" t="s">
        <v>4159</v>
      </c>
      <c r="D582" s="66" t="s">
        <v>4160</v>
      </c>
      <c r="E582" s="22" t="s">
        <v>49</v>
      </c>
      <c r="F582" s="42" t="s">
        <v>4161</v>
      </c>
      <c r="G582" s="24" t="s">
        <v>4165</v>
      </c>
      <c r="H582" s="22" t="s">
        <v>4166</v>
      </c>
      <c r="I582" s="22" t="s">
        <v>4167</v>
      </c>
      <c r="J582" s="22" t="s">
        <v>74</v>
      </c>
      <c r="K582" s="22" t="s">
        <v>55</v>
      </c>
      <c r="L582" s="22" t="s">
        <v>56</v>
      </c>
      <c r="M582" s="22" t="s">
        <v>57</v>
      </c>
      <c r="N582" s="22" t="s">
        <v>58</v>
      </c>
      <c r="O582" s="22">
        <v>1100.0</v>
      </c>
      <c r="P582" s="22"/>
      <c r="Q582" s="22" t="s">
        <v>59</v>
      </c>
      <c r="R582" s="22" t="s">
        <v>58</v>
      </c>
      <c r="S582" s="22" t="s">
        <v>58</v>
      </c>
      <c r="T582" s="22"/>
      <c r="U582" s="22"/>
      <c r="V582" s="22" t="s">
        <v>61</v>
      </c>
      <c r="W582" s="22" t="s">
        <v>58</v>
      </c>
      <c r="X582" s="22" t="s">
        <v>58</v>
      </c>
      <c r="Y582" s="22" t="s">
        <v>58</v>
      </c>
      <c r="Z582" s="22" t="s">
        <v>58</v>
      </c>
      <c r="AA582" s="22" t="s">
        <v>58</v>
      </c>
      <c r="AB582" s="22" t="s">
        <v>58</v>
      </c>
      <c r="AC582" s="22" t="s">
        <v>58</v>
      </c>
      <c r="AD582" s="22" t="s">
        <v>58</v>
      </c>
      <c r="AE582" s="22" t="s">
        <v>61</v>
      </c>
      <c r="AF582" s="22" t="s">
        <v>61</v>
      </c>
      <c r="AG582" s="22" t="s">
        <v>58</v>
      </c>
      <c r="AH582" s="22">
        <v>100.0</v>
      </c>
      <c r="AI582" s="22">
        <v>100000.0</v>
      </c>
      <c r="AJ582" s="22">
        <v>100.0</v>
      </c>
      <c r="AK582" s="22">
        <v>0.0</v>
      </c>
      <c r="AL582" s="22"/>
      <c r="AM582" s="22"/>
      <c r="AN582" s="22"/>
      <c r="AO582" s="22"/>
    </row>
    <row r="583" ht="15.75" customHeight="1">
      <c r="A583" s="22">
        <v>575.0</v>
      </c>
      <c r="B583" s="22" t="s">
        <v>4168</v>
      </c>
      <c r="C583" s="22" t="s">
        <v>4169</v>
      </c>
      <c r="D583" s="66" t="s">
        <v>4171</v>
      </c>
      <c r="E583" s="22" t="s">
        <v>49</v>
      </c>
      <c r="F583" s="27" t="s">
        <v>4172</v>
      </c>
      <c r="G583" s="24" t="s">
        <v>4173</v>
      </c>
      <c r="H583" s="22" t="s">
        <v>513</v>
      </c>
      <c r="I583" s="22" t="s">
        <v>514</v>
      </c>
      <c r="J583" s="22" t="s">
        <v>74</v>
      </c>
      <c r="K583" s="22" t="s">
        <v>55</v>
      </c>
      <c r="L583" s="22" t="s">
        <v>56</v>
      </c>
      <c r="M583" s="22" t="s">
        <v>57</v>
      </c>
      <c r="N583" s="22" t="s">
        <v>58</v>
      </c>
      <c r="O583" s="22">
        <v>800.0</v>
      </c>
      <c r="P583" s="22"/>
      <c r="Q583" s="22" t="s">
        <v>59</v>
      </c>
      <c r="R583" s="22" t="s">
        <v>58</v>
      </c>
      <c r="S583" s="22" t="s">
        <v>58</v>
      </c>
      <c r="T583" s="22"/>
      <c r="U583" s="22"/>
      <c r="V583" s="22" t="s">
        <v>61</v>
      </c>
      <c r="W583" s="22" t="s">
        <v>58</v>
      </c>
      <c r="X583" s="22" t="s">
        <v>58</v>
      </c>
      <c r="Y583" s="22" t="s">
        <v>58</v>
      </c>
      <c r="Z583" s="22" t="s">
        <v>58</v>
      </c>
      <c r="AA583" s="22" t="s">
        <v>58</v>
      </c>
      <c r="AB583" s="22" t="s">
        <v>58</v>
      </c>
      <c r="AC583" s="22" t="s">
        <v>58</v>
      </c>
      <c r="AD583" s="22" t="s">
        <v>58</v>
      </c>
      <c r="AE583" s="22" t="s">
        <v>61</v>
      </c>
      <c r="AF583" s="22" t="s">
        <v>61</v>
      </c>
      <c r="AG583" s="22" t="s">
        <v>58</v>
      </c>
      <c r="AH583" s="22">
        <v>100.0</v>
      </c>
      <c r="AI583" s="22">
        <v>5000.0</v>
      </c>
      <c r="AJ583" s="22">
        <v>100.0</v>
      </c>
      <c r="AK583" s="22">
        <v>0.0</v>
      </c>
      <c r="AL583" s="22"/>
      <c r="AM583" s="22"/>
      <c r="AN583" s="22"/>
      <c r="AO583" s="22"/>
    </row>
    <row r="584" ht="15.75" customHeight="1">
      <c r="A584" s="22">
        <v>576.0</v>
      </c>
      <c r="B584" s="22" t="s">
        <v>3959</v>
      </c>
      <c r="C584" s="22" t="s">
        <v>3960</v>
      </c>
      <c r="D584" s="66" t="s">
        <v>4174</v>
      </c>
      <c r="E584" s="22" t="s">
        <v>49</v>
      </c>
      <c r="F584" s="42" t="s">
        <v>4175</v>
      </c>
      <c r="G584" s="24" t="s">
        <v>69</v>
      </c>
      <c r="H584" s="22" t="s">
        <v>1464</v>
      </c>
      <c r="I584" s="22" t="s">
        <v>1465</v>
      </c>
      <c r="J584" s="22" t="s">
        <v>74</v>
      </c>
      <c r="K584" s="22" t="s">
        <v>55</v>
      </c>
      <c r="L584" s="22" t="s">
        <v>56</v>
      </c>
      <c r="M584" s="22" t="s">
        <v>57</v>
      </c>
      <c r="N584" s="22" t="s">
        <v>58</v>
      </c>
      <c r="O584" s="22">
        <v>500.0</v>
      </c>
      <c r="P584" s="22">
        <v>600.0</v>
      </c>
      <c r="Q584" s="22" t="s">
        <v>59</v>
      </c>
      <c r="R584" s="22" t="s">
        <v>58</v>
      </c>
      <c r="S584" s="22" t="s">
        <v>58</v>
      </c>
      <c r="T584" s="22"/>
      <c r="U584" s="22"/>
      <c r="V584" s="22" t="s">
        <v>61</v>
      </c>
      <c r="W584" s="22" t="s">
        <v>58</v>
      </c>
      <c r="X584" s="22" t="s">
        <v>58</v>
      </c>
      <c r="Y584" s="22" t="s">
        <v>58</v>
      </c>
      <c r="Z584" s="22" t="s">
        <v>58</v>
      </c>
      <c r="AA584" s="22" t="s">
        <v>58</v>
      </c>
      <c r="AB584" s="22" t="s">
        <v>58</v>
      </c>
      <c r="AC584" s="22" t="s">
        <v>58</v>
      </c>
      <c r="AD584" s="22" t="s">
        <v>58</v>
      </c>
      <c r="AE584" s="22" t="s">
        <v>61</v>
      </c>
      <c r="AF584" s="22" t="s">
        <v>61</v>
      </c>
      <c r="AG584" s="22" t="s">
        <v>58</v>
      </c>
      <c r="AH584" s="22">
        <v>100.0</v>
      </c>
      <c r="AI584" s="22">
        <v>5000.0</v>
      </c>
      <c r="AJ584" s="22">
        <v>100.0</v>
      </c>
      <c r="AK584" s="22">
        <v>0.0</v>
      </c>
      <c r="AL584" s="22"/>
      <c r="AM584" s="22"/>
      <c r="AN584" s="24" t="s">
        <v>4000</v>
      </c>
      <c r="AO584" s="22"/>
    </row>
    <row r="585" ht="15.75" customHeight="1">
      <c r="A585" s="22">
        <v>577.0</v>
      </c>
      <c r="B585" s="22" t="s">
        <v>242</v>
      </c>
      <c r="C585" s="22" t="s">
        <v>244</v>
      </c>
      <c r="D585" s="66" t="s">
        <v>4177</v>
      </c>
      <c r="E585" s="22" t="s">
        <v>49</v>
      </c>
      <c r="F585" s="42" t="s">
        <v>952</v>
      </c>
      <c r="G585" s="24" t="s">
        <v>69</v>
      </c>
      <c r="H585" s="22" t="s">
        <v>147</v>
      </c>
      <c r="I585" s="22" t="s">
        <v>148</v>
      </c>
      <c r="J585" s="22" t="s">
        <v>148</v>
      </c>
      <c r="K585" s="22" t="s">
        <v>55</v>
      </c>
      <c r="L585" s="22" t="s">
        <v>56</v>
      </c>
      <c r="M585" s="22" t="s">
        <v>57</v>
      </c>
      <c r="N585" s="22" t="s">
        <v>58</v>
      </c>
      <c r="O585" s="22">
        <v>800.0</v>
      </c>
      <c r="P585" s="22">
        <v>1000.0</v>
      </c>
      <c r="Q585" s="22" t="s">
        <v>59</v>
      </c>
      <c r="R585" s="22" t="s">
        <v>58</v>
      </c>
      <c r="S585" s="22" t="s">
        <v>58</v>
      </c>
      <c r="T585" s="22"/>
      <c r="U585" s="22"/>
      <c r="V585" s="22" t="s">
        <v>61</v>
      </c>
      <c r="W585" s="22" t="s">
        <v>58</v>
      </c>
      <c r="X585" s="22" t="s">
        <v>58</v>
      </c>
      <c r="Y585" s="22" t="s">
        <v>58</v>
      </c>
      <c r="Z585" s="22" t="s">
        <v>58</v>
      </c>
      <c r="AA585" s="22" t="s">
        <v>58</v>
      </c>
      <c r="AB585" s="22" t="s">
        <v>58</v>
      </c>
      <c r="AC585" s="22" t="s">
        <v>58</v>
      </c>
      <c r="AD585" s="22" t="s">
        <v>58</v>
      </c>
      <c r="AE585" s="22" t="s">
        <v>61</v>
      </c>
      <c r="AF585" s="22" t="s">
        <v>61</v>
      </c>
      <c r="AG585" s="22" t="s">
        <v>58</v>
      </c>
      <c r="AH585" s="22">
        <v>40.0</v>
      </c>
      <c r="AI585" s="22">
        <v>700.0</v>
      </c>
      <c r="AJ585" s="22">
        <v>40.0</v>
      </c>
      <c r="AK585" s="22">
        <v>0.0</v>
      </c>
      <c r="AL585" s="22"/>
      <c r="AM585" s="22"/>
      <c r="AN585" s="24" t="s">
        <v>4000</v>
      </c>
      <c r="AO585" s="22"/>
    </row>
    <row r="586" ht="15.75" customHeight="1">
      <c r="A586" s="22">
        <v>578.0</v>
      </c>
      <c r="B586" s="22" t="s">
        <v>4182</v>
      </c>
      <c r="C586" s="22" t="s">
        <v>4183</v>
      </c>
      <c r="D586" s="66" t="s">
        <v>4186</v>
      </c>
      <c r="E586" s="22" t="s">
        <v>49</v>
      </c>
      <c r="F586" s="24" t="s">
        <v>69</v>
      </c>
      <c r="G586" s="129" t="s">
        <v>4187</v>
      </c>
      <c r="H586" s="22" t="s">
        <v>1020</v>
      </c>
      <c r="I586" s="22" t="s">
        <v>587</v>
      </c>
      <c r="J586" s="22" t="s">
        <v>74</v>
      </c>
      <c r="K586" s="22" t="s">
        <v>55</v>
      </c>
      <c r="L586" s="22" t="s">
        <v>56</v>
      </c>
      <c r="M586" s="22" t="s">
        <v>57</v>
      </c>
      <c r="N586" s="22" t="s">
        <v>58</v>
      </c>
      <c r="O586" s="22">
        <v>300.0</v>
      </c>
      <c r="P586" s="22">
        <v>300.0</v>
      </c>
      <c r="Q586" s="22" t="s">
        <v>59</v>
      </c>
      <c r="R586" s="22" t="s">
        <v>58</v>
      </c>
      <c r="S586" s="22" t="s">
        <v>58</v>
      </c>
      <c r="T586" s="22"/>
      <c r="U586" s="22"/>
      <c r="V586" s="22" t="s">
        <v>61</v>
      </c>
      <c r="W586" s="22" t="s">
        <v>58</v>
      </c>
      <c r="X586" s="22" t="s">
        <v>58</v>
      </c>
      <c r="Y586" s="22" t="s">
        <v>58</v>
      </c>
      <c r="Z586" s="22" t="s">
        <v>58</v>
      </c>
      <c r="AA586" s="22" t="s">
        <v>58</v>
      </c>
      <c r="AB586" s="22" t="s">
        <v>58</v>
      </c>
      <c r="AC586" s="22" t="s">
        <v>58</v>
      </c>
      <c r="AD586" s="22" t="s">
        <v>58</v>
      </c>
      <c r="AE586" s="22" t="s">
        <v>61</v>
      </c>
      <c r="AF586" s="22" t="s">
        <v>61</v>
      </c>
      <c r="AG586" s="22" t="s">
        <v>58</v>
      </c>
      <c r="AH586" s="22">
        <v>30.0</v>
      </c>
      <c r="AI586" s="22">
        <v>1000.0</v>
      </c>
      <c r="AJ586" s="22">
        <v>30.0</v>
      </c>
      <c r="AK586" s="22">
        <v>0.0</v>
      </c>
      <c r="AL586" s="22"/>
      <c r="AM586" s="22"/>
      <c r="AN586" s="24" t="s">
        <v>4000</v>
      </c>
      <c r="AO586" s="22"/>
    </row>
    <row r="587" ht="15.75" customHeight="1">
      <c r="A587" s="22">
        <v>579.0</v>
      </c>
      <c r="B587" s="22" t="s">
        <v>905</v>
      </c>
      <c r="C587" s="22" t="s">
        <v>906</v>
      </c>
      <c r="D587" s="66" t="s">
        <v>907</v>
      </c>
      <c r="E587" s="22" t="s">
        <v>49</v>
      </c>
      <c r="F587" s="24" t="s">
        <v>69</v>
      </c>
      <c r="G587" s="129" t="s">
        <v>4192</v>
      </c>
      <c r="H587" s="22" t="s">
        <v>75</v>
      </c>
      <c r="I587" s="22" t="s">
        <v>76</v>
      </c>
      <c r="J587" s="22" t="s">
        <v>76</v>
      </c>
      <c r="K587" s="22" t="s">
        <v>55</v>
      </c>
      <c r="L587" s="22" t="s">
        <v>56</v>
      </c>
      <c r="M587" s="22" t="s">
        <v>57</v>
      </c>
      <c r="N587" s="22" t="s">
        <v>58</v>
      </c>
      <c r="O587" s="22">
        <v>699.0</v>
      </c>
      <c r="P587" s="22">
        <v>999.0</v>
      </c>
      <c r="Q587" s="22" t="s">
        <v>59</v>
      </c>
      <c r="R587" s="22" t="s">
        <v>58</v>
      </c>
      <c r="S587" s="22" t="s">
        <v>58</v>
      </c>
      <c r="T587" s="22"/>
      <c r="U587" s="22"/>
      <c r="V587" s="22" t="s">
        <v>61</v>
      </c>
      <c r="W587" s="22" t="s">
        <v>58</v>
      </c>
      <c r="X587" s="22" t="s">
        <v>58</v>
      </c>
      <c r="Y587" s="22" t="s">
        <v>58</v>
      </c>
      <c r="Z587" s="22" t="s">
        <v>58</v>
      </c>
      <c r="AA587" s="22" t="s">
        <v>58</v>
      </c>
      <c r="AB587" s="22" t="s">
        <v>58</v>
      </c>
      <c r="AC587" s="22" t="s">
        <v>58</v>
      </c>
      <c r="AD587" s="22" t="s">
        <v>58</v>
      </c>
      <c r="AE587" s="22" t="s">
        <v>61</v>
      </c>
      <c r="AF587" s="22" t="s">
        <v>61</v>
      </c>
      <c r="AG587" s="22" t="s">
        <v>58</v>
      </c>
      <c r="AH587" s="22">
        <v>20.0</v>
      </c>
      <c r="AI587" s="22">
        <v>500.0</v>
      </c>
      <c r="AJ587" s="22">
        <v>20.0</v>
      </c>
      <c r="AK587" s="22">
        <v>0.0</v>
      </c>
      <c r="AL587" s="22"/>
      <c r="AM587" s="22"/>
      <c r="AN587" s="24" t="s">
        <v>4000</v>
      </c>
      <c r="AO587" s="22"/>
    </row>
    <row r="588" ht="15.75" customHeight="1">
      <c r="A588" s="22">
        <v>580.0</v>
      </c>
      <c r="B588" s="22" t="s">
        <v>1413</v>
      </c>
      <c r="C588" s="22" t="s">
        <v>1414</v>
      </c>
      <c r="D588" s="24" t="s">
        <v>69</v>
      </c>
      <c r="E588" s="22" t="s">
        <v>49</v>
      </c>
      <c r="F588" s="42" t="s">
        <v>4195</v>
      </c>
      <c r="G588" s="24" t="s">
        <v>69</v>
      </c>
      <c r="H588" s="22" t="s">
        <v>389</v>
      </c>
      <c r="I588" s="22" t="s">
        <v>390</v>
      </c>
      <c r="J588" s="22" t="s">
        <v>390</v>
      </c>
      <c r="K588" s="22" t="s">
        <v>55</v>
      </c>
      <c r="L588" s="22" t="s">
        <v>56</v>
      </c>
      <c r="M588" s="22" t="s">
        <v>57</v>
      </c>
      <c r="N588" s="22" t="s">
        <v>58</v>
      </c>
      <c r="O588" s="22">
        <v>800.0</v>
      </c>
      <c r="P588" s="22"/>
      <c r="Q588" s="22" t="s">
        <v>59</v>
      </c>
      <c r="R588" s="22" t="s">
        <v>58</v>
      </c>
      <c r="S588" s="22" t="s">
        <v>58</v>
      </c>
      <c r="T588" s="22"/>
      <c r="U588" s="22"/>
      <c r="V588" s="22" t="s">
        <v>61</v>
      </c>
      <c r="W588" s="22" t="s">
        <v>58</v>
      </c>
      <c r="X588" s="22" t="s">
        <v>58</v>
      </c>
      <c r="Y588" s="22" t="s">
        <v>58</v>
      </c>
      <c r="Z588" s="22" t="s">
        <v>58</v>
      </c>
      <c r="AA588" s="22" t="s">
        <v>58</v>
      </c>
      <c r="AB588" s="22" t="s">
        <v>58</v>
      </c>
      <c r="AC588" s="22" t="s">
        <v>58</v>
      </c>
      <c r="AD588" s="22" t="s">
        <v>58</v>
      </c>
      <c r="AE588" s="22" t="s">
        <v>61</v>
      </c>
      <c r="AF588" s="22" t="s">
        <v>61</v>
      </c>
      <c r="AG588" s="22" t="s">
        <v>58</v>
      </c>
      <c r="AH588" s="22">
        <v>50.0</v>
      </c>
      <c r="AI588" s="22">
        <v>1000.0</v>
      </c>
      <c r="AJ588" s="22">
        <v>50.0</v>
      </c>
      <c r="AK588" s="22">
        <v>0.0</v>
      </c>
      <c r="AL588" s="22"/>
      <c r="AM588" s="22"/>
      <c r="AN588" s="24" t="s">
        <v>4000</v>
      </c>
      <c r="AO588" s="22"/>
    </row>
    <row r="589" ht="15.75" customHeight="1">
      <c r="A589" s="15">
        <v>581.0</v>
      </c>
      <c r="B589" s="15" t="s">
        <v>3267</v>
      </c>
      <c r="C589" s="15" t="s">
        <v>3268</v>
      </c>
      <c r="D589" s="48" t="s">
        <v>3369</v>
      </c>
      <c r="E589" s="15" t="s">
        <v>49</v>
      </c>
      <c r="F589" s="49" t="s">
        <v>4199</v>
      </c>
      <c r="G589" s="15" t="s">
        <v>4201</v>
      </c>
      <c r="H589" s="15" t="s">
        <v>72</v>
      </c>
      <c r="I589" s="15" t="s">
        <v>73</v>
      </c>
      <c r="J589" s="15" t="s">
        <v>74</v>
      </c>
      <c r="K589" s="15" t="s">
        <v>55</v>
      </c>
      <c r="L589" s="15" t="s">
        <v>56</v>
      </c>
      <c r="M589" s="15" t="s">
        <v>57</v>
      </c>
      <c r="N589" s="15" t="s">
        <v>58</v>
      </c>
      <c r="O589" s="15">
        <v>1400.0</v>
      </c>
      <c r="P589" s="15">
        <v>1800.0</v>
      </c>
      <c r="Q589" s="15" t="s">
        <v>59</v>
      </c>
      <c r="R589" s="15" t="s">
        <v>58</v>
      </c>
      <c r="S589" s="15" t="s">
        <v>58</v>
      </c>
      <c r="T589" s="15"/>
      <c r="U589" s="15"/>
      <c r="V589" s="15" t="s">
        <v>61</v>
      </c>
      <c r="W589" s="15" t="s">
        <v>58</v>
      </c>
      <c r="X589" s="15" t="s">
        <v>58</v>
      </c>
      <c r="Y589" s="15" t="s">
        <v>58</v>
      </c>
      <c r="Z589" s="15" t="s">
        <v>58</v>
      </c>
      <c r="AA589" s="15" t="s">
        <v>58</v>
      </c>
      <c r="AB589" s="15" t="s">
        <v>58</v>
      </c>
      <c r="AC589" s="15" t="s">
        <v>58</v>
      </c>
      <c r="AD589" s="15" t="s">
        <v>58</v>
      </c>
      <c r="AE589" s="15" t="s">
        <v>61</v>
      </c>
      <c r="AF589" s="15" t="s">
        <v>61</v>
      </c>
      <c r="AG589" s="15" t="s">
        <v>58</v>
      </c>
      <c r="AH589" s="15">
        <v>50.0</v>
      </c>
      <c r="AI589" s="15">
        <v>3000.0</v>
      </c>
      <c r="AJ589" s="15">
        <v>50.0</v>
      </c>
      <c r="AK589" s="15">
        <v>0.0</v>
      </c>
      <c r="AL589" s="15"/>
      <c r="AM589" s="15"/>
      <c r="AN589" s="16" t="s">
        <v>757</v>
      </c>
      <c r="AO589" s="21">
        <v>2.0</v>
      </c>
    </row>
    <row r="590" ht="15.75" customHeight="1">
      <c r="A590" s="22">
        <v>582.0</v>
      </c>
      <c r="B590" s="22" t="s">
        <v>4208</v>
      </c>
      <c r="C590" s="22" t="s">
        <v>4209</v>
      </c>
      <c r="D590" s="66" t="s">
        <v>4210</v>
      </c>
      <c r="E590" s="22" t="s">
        <v>49</v>
      </c>
      <c r="F590" s="42" t="s">
        <v>4211</v>
      </c>
      <c r="G590" s="24" t="s">
        <v>69</v>
      </c>
      <c r="H590" s="22" t="s">
        <v>1464</v>
      </c>
      <c r="I590" s="22" t="s">
        <v>1465</v>
      </c>
      <c r="J590" s="22" t="s">
        <v>74</v>
      </c>
      <c r="K590" s="22" t="s">
        <v>55</v>
      </c>
      <c r="L590" s="22" t="s">
        <v>56</v>
      </c>
      <c r="M590" s="22" t="s">
        <v>57</v>
      </c>
      <c r="N590" s="22" t="s">
        <v>58</v>
      </c>
      <c r="O590" s="22">
        <v>1200.0</v>
      </c>
      <c r="P590" s="22">
        <v>1500.0</v>
      </c>
      <c r="Q590" s="22" t="s">
        <v>59</v>
      </c>
      <c r="R590" s="22" t="s">
        <v>58</v>
      </c>
      <c r="S590" s="22" t="s">
        <v>58</v>
      </c>
      <c r="T590" s="22"/>
      <c r="U590" s="22"/>
      <c r="V590" s="22" t="s">
        <v>61</v>
      </c>
      <c r="W590" s="22" t="s">
        <v>58</v>
      </c>
      <c r="X590" s="22" t="s">
        <v>58</v>
      </c>
      <c r="Y590" s="22" t="s">
        <v>58</v>
      </c>
      <c r="Z590" s="22" t="s">
        <v>58</v>
      </c>
      <c r="AA590" s="22" t="s">
        <v>58</v>
      </c>
      <c r="AB590" s="22" t="s">
        <v>58</v>
      </c>
      <c r="AC590" s="22" t="s">
        <v>58</v>
      </c>
      <c r="AD590" s="22" t="s">
        <v>58</v>
      </c>
      <c r="AE590" s="22" t="s">
        <v>61</v>
      </c>
      <c r="AF590" s="22" t="s">
        <v>61</v>
      </c>
      <c r="AG590" s="22" t="s">
        <v>58</v>
      </c>
      <c r="AH590" s="22">
        <v>50.0</v>
      </c>
      <c r="AI590" s="22">
        <v>5000.0</v>
      </c>
      <c r="AJ590" s="22">
        <v>50.0</v>
      </c>
      <c r="AK590" s="22">
        <v>0.0</v>
      </c>
      <c r="AL590" s="22"/>
      <c r="AM590" s="22"/>
      <c r="AN590" s="24" t="s">
        <v>4000</v>
      </c>
      <c r="AO590" s="22"/>
    </row>
    <row r="591" ht="15.75" customHeight="1">
      <c r="A591" s="22">
        <v>583.0</v>
      </c>
      <c r="B591" s="22" t="s">
        <v>4214</v>
      </c>
      <c r="C591" s="22" t="s">
        <v>4216</v>
      </c>
      <c r="D591" s="66" t="s">
        <v>4217</v>
      </c>
      <c r="E591" s="22" t="s">
        <v>49</v>
      </c>
      <c r="F591" s="42" t="s">
        <v>4218</v>
      </c>
      <c r="G591" s="24" t="s">
        <v>69</v>
      </c>
      <c r="H591" s="22" t="s">
        <v>142</v>
      </c>
      <c r="I591" s="22" t="s">
        <v>144</v>
      </c>
      <c r="J591" s="22" t="s">
        <v>74</v>
      </c>
      <c r="K591" s="22" t="s">
        <v>55</v>
      </c>
      <c r="L591" s="22" t="s">
        <v>56</v>
      </c>
      <c r="M591" s="22" t="s">
        <v>57</v>
      </c>
      <c r="N591" s="22" t="s">
        <v>58</v>
      </c>
      <c r="O591" s="22">
        <v>800.0</v>
      </c>
      <c r="P591" s="22">
        <v>1200.0</v>
      </c>
      <c r="Q591" s="22" t="s">
        <v>59</v>
      </c>
      <c r="R591" s="22" t="s">
        <v>58</v>
      </c>
      <c r="S591" s="22" t="s">
        <v>58</v>
      </c>
      <c r="T591" s="22"/>
      <c r="U591" s="22"/>
      <c r="V591" s="22" t="s">
        <v>61</v>
      </c>
      <c r="W591" s="22" t="s">
        <v>58</v>
      </c>
      <c r="X591" s="22" t="s">
        <v>58</v>
      </c>
      <c r="Y591" s="22" t="s">
        <v>58</v>
      </c>
      <c r="Z591" s="22" t="s">
        <v>58</v>
      </c>
      <c r="AA591" s="22" t="s">
        <v>58</v>
      </c>
      <c r="AB591" s="22" t="s">
        <v>58</v>
      </c>
      <c r="AC591" s="22" t="s">
        <v>58</v>
      </c>
      <c r="AD591" s="22" t="s">
        <v>58</v>
      </c>
      <c r="AE591" s="22" t="s">
        <v>61</v>
      </c>
      <c r="AF591" s="22" t="s">
        <v>61</v>
      </c>
      <c r="AG591" s="22" t="s">
        <v>58</v>
      </c>
      <c r="AH591" s="22">
        <v>300.0</v>
      </c>
      <c r="AI591" s="22">
        <v>1000.0</v>
      </c>
      <c r="AJ591" s="22">
        <v>300.0</v>
      </c>
      <c r="AK591" s="22">
        <v>0.0</v>
      </c>
      <c r="AL591" s="22"/>
      <c r="AM591" s="22"/>
      <c r="AN591" s="24" t="s">
        <v>4000</v>
      </c>
      <c r="AO591" s="22"/>
    </row>
    <row r="592" ht="15.75" customHeight="1">
      <c r="A592" s="22">
        <v>584.0</v>
      </c>
      <c r="B592" s="22" t="s">
        <v>3062</v>
      </c>
      <c r="C592" s="22" t="s">
        <v>3063</v>
      </c>
      <c r="D592" s="66" t="s">
        <v>4219</v>
      </c>
      <c r="E592" s="22" t="s">
        <v>49</v>
      </c>
      <c r="F592" s="42" t="s">
        <v>4220</v>
      </c>
      <c r="G592" s="24" t="s">
        <v>69</v>
      </c>
      <c r="H592" s="22" t="s">
        <v>142</v>
      </c>
      <c r="I592" s="22" t="s">
        <v>144</v>
      </c>
      <c r="J592" s="22" t="s">
        <v>74</v>
      </c>
      <c r="K592" s="22" t="s">
        <v>55</v>
      </c>
      <c r="L592" s="22" t="s">
        <v>56</v>
      </c>
      <c r="M592" s="22" t="s">
        <v>57</v>
      </c>
      <c r="N592" s="22" t="s">
        <v>58</v>
      </c>
      <c r="O592" s="22">
        <v>850.0</v>
      </c>
      <c r="P592" s="22">
        <v>950.0</v>
      </c>
      <c r="Q592" s="22" t="s">
        <v>59</v>
      </c>
      <c r="R592" s="22" t="s">
        <v>58</v>
      </c>
      <c r="S592" s="22" t="s">
        <v>58</v>
      </c>
      <c r="T592" s="22"/>
      <c r="U592" s="22"/>
      <c r="V592" s="22" t="s">
        <v>61</v>
      </c>
      <c r="W592" s="22" t="s">
        <v>58</v>
      </c>
      <c r="X592" s="22" t="s">
        <v>58</v>
      </c>
      <c r="Y592" s="22" t="s">
        <v>58</v>
      </c>
      <c r="Z592" s="22" t="s">
        <v>58</v>
      </c>
      <c r="AA592" s="22" t="s">
        <v>58</v>
      </c>
      <c r="AB592" s="22" t="s">
        <v>58</v>
      </c>
      <c r="AC592" s="22" t="s">
        <v>58</v>
      </c>
      <c r="AD592" s="22" t="s">
        <v>58</v>
      </c>
      <c r="AE592" s="22" t="s">
        <v>61</v>
      </c>
      <c r="AF592" s="22" t="s">
        <v>61</v>
      </c>
      <c r="AG592" s="22" t="s">
        <v>58</v>
      </c>
      <c r="AH592" s="22">
        <v>100.0</v>
      </c>
      <c r="AI592" s="22">
        <v>2000.0</v>
      </c>
      <c r="AJ592" s="22">
        <v>100.0</v>
      </c>
      <c r="AK592" s="22">
        <v>0.0</v>
      </c>
      <c r="AL592" s="22"/>
      <c r="AM592" s="22"/>
      <c r="AN592" s="24" t="s">
        <v>4000</v>
      </c>
      <c r="AO592" s="22"/>
    </row>
    <row r="593" ht="15.75" customHeight="1">
      <c r="A593" s="22">
        <v>585.0</v>
      </c>
      <c r="B593" s="22" t="s">
        <v>3704</v>
      </c>
      <c r="C593" s="22" t="s">
        <v>3706</v>
      </c>
      <c r="D593" s="66" t="s">
        <v>4223</v>
      </c>
      <c r="E593" s="22" t="s">
        <v>49</v>
      </c>
      <c r="F593" s="27" t="s">
        <v>4224</v>
      </c>
      <c r="G593" s="24" t="s">
        <v>4225</v>
      </c>
      <c r="H593" s="22" t="s">
        <v>727</v>
      </c>
      <c r="I593" s="22" t="s">
        <v>729</v>
      </c>
      <c r="J593" s="22" t="s">
        <v>74</v>
      </c>
      <c r="K593" s="22" t="s">
        <v>55</v>
      </c>
      <c r="L593" s="22" t="s">
        <v>56</v>
      </c>
      <c r="M593" s="22" t="s">
        <v>57</v>
      </c>
      <c r="N593" s="22" t="s">
        <v>58</v>
      </c>
      <c r="O593" s="22">
        <v>600.0</v>
      </c>
      <c r="P593" s="22"/>
      <c r="Q593" s="22" t="s">
        <v>59</v>
      </c>
      <c r="R593" s="22" t="s">
        <v>58</v>
      </c>
      <c r="S593" s="22" t="s">
        <v>58</v>
      </c>
      <c r="T593" s="22"/>
      <c r="U593" s="22"/>
      <c r="V593" s="22" t="s">
        <v>61</v>
      </c>
      <c r="W593" s="22" t="s">
        <v>58</v>
      </c>
      <c r="X593" s="22" t="s">
        <v>58</v>
      </c>
      <c r="Y593" s="22" t="s">
        <v>58</v>
      </c>
      <c r="Z593" s="22" t="s">
        <v>58</v>
      </c>
      <c r="AA593" s="22" t="s">
        <v>58</v>
      </c>
      <c r="AB593" s="22" t="s">
        <v>58</v>
      </c>
      <c r="AC593" s="22" t="s">
        <v>58</v>
      </c>
      <c r="AD593" s="22" t="s">
        <v>58</v>
      </c>
      <c r="AE593" s="22" t="s">
        <v>61</v>
      </c>
      <c r="AF593" s="22" t="s">
        <v>61</v>
      </c>
      <c r="AG593" s="22" t="s">
        <v>58</v>
      </c>
      <c r="AH593" s="22">
        <v>50.0</v>
      </c>
      <c r="AI593" s="22">
        <v>5000.0</v>
      </c>
      <c r="AJ593" s="22">
        <v>50.0</v>
      </c>
      <c r="AK593" s="22">
        <v>0.0</v>
      </c>
      <c r="AL593" s="22"/>
      <c r="AM593" s="22"/>
      <c r="AN593" s="24" t="s">
        <v>4000</v>
      </c>
      <c r="AO593" s="22"/>
    </row>
    <row r="594" ht="15.75" customHeight="1">
      <c r="A594" s="22">
        <v>586.0</v>
      </c>
      <c r="B594" s="22" t="s">
        <v>4050</v>
      </c>
      <c r="C594" s="22" t="s">
        <v>4051</v>
      </c>
      <c r="D594" s="24" t="s">
        <v>69</v>
      </c>
      <c r="E594" s="22" t="s">
        <v>49</v>
      </c>
      <c r="F594" s="24" t="s">
        <v>122</v>
      </c>
      <c r="G594" s="24" t="s">
        <v>122</v>
      </c>
      <c r="H594" s="22" t="s">
        <v>513</v>
      </c>
      <c r="I594" s="22" t="s">
        <v>514</v>
      </c>
      <c r="J594" s="22" t="s">
        <v>74</v>
      </c>
      <c r="K594" s="22" t="s">
        <v>55</v>
      </c>
      <c r="L594" s="22" t="s">
        <v>56</v>
      </c>
      <c r="M594" s="22" t="s">
        <v>57</v>
      </c>
      <c r="N594" s="22" t="s">
        <v>58</v>
      </c>
      <c r="O594" s="22">
        <v>600.0</v>
      </c>
      <c r="P594" s="22">
        <v>800.0</v>
      </c>
      <c r="Q594" s="22" t="s">
        <v>59</v>
      </c>
      <c r="R594" s="22" t="s">
        <v>58</v>
      </c>
      <c r="S594" s="22" t="s">
        <v>58</v>
      </c>
      <c r="T594" s="22"/>
      <c r="U594" s="22"/>
      <c r="V594" s="22" t="s">
        <v>61</v>
      </c>
      <c r="W594" s="22" t="s">
        <v>58</v>
      </c>
      <c r="X594" s="22" t="s">
        <v>58</v>
      </c>
      <c r="Y594" s="22" t="s">
        <v>58</v>
      </c>
      <c r="Z594" s="22" t="s">
        <v>58</v>
      </c>
      <c r="AA594" s="22" t="s">
        <v>58</v>
      </c>
      <c r="AB594" s="22" t="s">
        <v>58</v>
      </c>
      <c r="AC594" s="22" t="s">
        <v>58</v>
      </c>
      <c r="AD594" s="22" t="s">
        <v>58</v>
      </c>
      <c r="AE594" s="22" t="s">
        <v>61</v>
      </c>
      <c r="AF594" s="22" t="s">
        <v>61</v>
      </c>
      <c r="AG594" s="22" t="s">
        <v>58</v>
      </c>
      <c r="AH594" s="22">
        <v>50.0</v>
      </c>
      <c r="AI594" s="22">
        <v>1000.0</v>
      </c>
      <c r="AJ594" s="22">
        <v>50.0</v>
      </c>
      <c r="AK594" s="22">
        <v>0.0</v>
      </c>
      <c r="AL594" s="22"/>
      <c r="AM594" s="22"/>
      <c r="AN594" s="24" t="s">
        <v>4000</v>
      </c>
      <c r="AO594" s="22"/>
    </row>
    <row r="595" ht="15.75" customHeight="1">
      <c r="A595" s="22">
        <v>587.0</v>
      </c>
      <c r="B595" s="22" t="s">
        <v>755</v>
      </c>
      <c r="C595" s="22" t="s">
        <v>758</v>
      </c>
      <c r="D595" s="66" t="s">
        <v>759</v>
      </c>
      <c r="E595" s="22" t="s">
        <v>49</v>
      </c>
      <c r="F595" s="42" t="s">
        <v>2197</v>
      </c>
      <c r="G595" s="24" t="s">
        <v>122</v>
      </c>
      <c r="H595" s="22" t="s">
        <v>147</v>
      </c>
      <c r="I595" s="22" t="s">
        <v>148</v>
      </c>
      <c r="J595" s="22" t="s">
        <v>148</v>
      </c>
      <c r="K595" s="22" t="s">
        <v>55</v>
      </c>
      <c r="L595" s="22" t="s">
        <v>56</v>
      </c>
      <c r="M595" s="22" t="s">
        <v>57</v>
      </c>
      <c r="N595" s="22" t="s">
        <v>58</v>
      </c>
      <c r="O595" s="22">
        <v>800.0</v>
      </c>
      <c r="P595" s="22">
        <v>1000.0</v>
      </c>
      <c r="Q595" s="22" t="s">
        <v>59</v>
      </c>
      <c r="R595" s="22" t="s">
        <v>58</v>
      </c>
      <c r="S595" s="22" t="s">
        <v>58</v>
      </c>
      <c r="T595" s="22"/>
      <c r="U595" s="22"/>
      <c r="V595" s="22" t="s">
        <v>61</v>
      </c>
      <c r="W595" s="22" t="s">
        <v>58</v>
      </c>
      <c r="X595" s="22" t="s">
        <v>58</v>
      </c>
      <c r="Y595" s="22" t="s">
        <v>58</v>
      </c>
      <c r="Z595" s="22" t="s">
        <v>58</v>
      </c>
      <c r="AA595" s="22" t="s">
        <v>58</v>
      </c>
      <c r="AB595" s="22" t="s">
        <v>58</v>
      </c>
      <c r="AC595" s="22" t="s">
        <v>58</v>
      </c>
      <c r="AD595" s="22" t="s">
        <v>58</v>
      </c>
      <c r="AE595" s="22" t="s">
        <v>61</v>
      </c>
      <c r="AF595" s="22" t="s">
        <v>61</v>
      </c>
      <c r="AG595" s="22" t="s">
        <v>58</v>
      </c>
      <c r="AH595" s="22">
        <v>50.0</v>
      </c>
      <c r="AI595" s="22">
        <v>3000.0</v>
      </c>
      <c r="AJ595" s="22">
        <v>50.0</v>
      </c>
      <c r="AK595" s="22">
        <v>0.0</v>
      </c>
      <c r="AL595" s="22"/>
      <c r="AM595" s="22"/>
      <c r="AN595" s="24" t="s">
        <v>4000</v>
      </c>
      <c r="AO595" s="22"/>
    </row>
    <row r="596" ht="15.75" customHeight="1">
      <c r="A596" s="22">
        <v>588.0</v>
      </c>
      <c r="B596" s="22" t="s">
        <v>754</v>
      </c>
      <c r="C596" s="22" t="s">
        <v>756</v>
      </c>
      <c r="D596" s="22" t="s">
        <v>760</v>
      </c>
      <c r="E596" s="22" t="s">
        <v>49</v>
      </c>
      <c r="F596" s="27" t="s">
        <v>4229</v>
      </c>
      <c r="G596" s="24">
        <v>8.954942265E9</v>
      </c>
      <c r="H596" s="22" t="s">
        <v>75</v>
      </c>
      <c r="I596" s="22" t="s">
        <v>76</v>
      </c>
      <c r="J596" s="22" t="s">
        <v>76</v>
      </c>
      <c r="K596" s="22" t="s">
        <v>55</v>
      </c>
      <c r="L596" s="22" t="s">
        <v>56</v>
      </c>
      <c r="M596" s="22" t="s">
        <v>57</v>
      </c>
      <c r="N596" s="22" t="s">
        <v>58</v>
      </c>
      <c r="O596" s="22">
        <v>450.0</v>
      </c>
      <c r="P596" s="22">
        <v>650.0</v>
      </c>
      <c r="Q596" s="22" t="s">
        <v>59</v>
      </c>
      <c r="R596" s="22" t="s">
        <v>58</v>
      </c>
      <c r="S596" s="22" t="s">
        <v>58</v>
      </c>
      <c r="T596" s="22" t="s">
        <v>275</v>
      </c>
      <c r="U596" s="22"/>
      <c r="V596" s="22" t="s">
        <v>61</v>
      </c>
      <c r="W596" s="22" t="s">
        <v>58</v>
      </c>
      <c r="X596" s="22" t="s">
        <v>58</v>
      </c>
      <c r="Y596" s="22" t="s">
        <v>58</v>
      </c>
      <c r="Z596" s="22" t="s">
        <v>58</v>
      </c>
      <c r="AA596" s="22" t="s">
        <v>58</v>
      </c>
      <c r="AB596" s="22" t="s">
        <v>58</v>
      </c>
      <c r="AC596" s="22" t="s">
        <v>58</v>
      </c>
      <c r="AD596" s="22" t="s">
        <v>58</v>
      </c>
      <c r="AE596" s="22" t="s">
        <v>61</v>
      </c>
      <c r="AF596" s="22" t="s">
        <v>61</v>
      </c>
      <c r="AG596" s="22" t="s">
        <v>58</v>
      </c>
      <c r="AH596" s="22">
        <v>5000.0</v>
      </c>
      <c r="AI596" s="22">
        <v>50.0</v>
      </c>
      <c r="AJ596" s="22">
        <v>5000.0</v>
      </c>
      <c r="AK596" s="22">
        <v>0.0</v>
      </c>
      <c r="AL596" s="22"/>
      <c r="AM596" s="22"/>
      <c r="AN596" s="24" t="s">
        <v>4000</v>
      </c>
      <c r="AO596" s="22"/>
    </row>
    <row r="597" ht="15.75" customHeight="1">
      <c r="A597" s="22">
        <v>589.0</v>
      </c>
      <c r="B597" s="22" t="s">
        <v>4232</v>
      </c>
      <c r="C597" s="22" t="s">
        <v>4233</v>
      </c>
      <c r="D597" s="66" t="s">
        <v>4234</v>
      </c>
      <c r="E597" s="22" t="s">
        <v>49</v>
      </c>
      <c r="F597" s="42" t="s">
        <v>4235</v>
      </c>
      <c r="G597" s="24" t="s">
        <v>4238</v>
      </c>
      <c r="H597" s="22" t="s">
        <v>860</v>
      </c>
      <c r="I597" s="22" t="s">
        <v>861</v>
      </c>
      <c r="J597" s="22" t="s">
        <v>74</v>
      </c>
      <c r="K597" s="22" t="s">
        <v>55</v>
      </c>
      <c r="L597" s="22" t="s">
        <v>56</v>
      </c>
      <c r="M597" s="22" t="s">
        <v>57</v>
      </c>
      <c r="N597" s="22" t="s">
        <v>58</v>
      </c>
      <c r="O597" s="22">
        <v>999.0</v>
      </c>
      <c r="P597" s="22">
        <v>1499.0</v>
      </c>
      <c r="Q597" s="22" t="s">
        <v>59</v>
      </c>
      <c r="R597" s="22" t="s">
        <v>58</v>
      </c>
      <c r="S597" s="22" t="s">
        <v>58</v>
      </c>
      <c r="T597" s="22"/>
      <c r="U597" s="22"/>
      <c r="V597" s="22" t="s">
        <v>61</v>
      </c>
      <c r="W597" s="22" t="s">
        <v>58</v>
      </c>
      <c r="X597" s="22" t="s">
        <v>58</v>
      </c>
      <c r="Y597" s="22" t="s">
        <v>58</v>
      </c>
      <c r="Z597" s="22" t="s">
        <v>58</v>
      </c>
      <c r="AA597" s="22" t="s">
        <v>58</v>
      </c>
      <c r="AB597" s="22" t="s">
        <v>58</v>
      </c>
      <c r="AC597" s="22" t="s">
        <v>58</v>
      </c>
      <c r="AD597" s="22" t="s">
        <v>58</v>
      </c>
      <c r="AE597" s="22" t="s">
        <v>61</v>
      </c>
      <c r="AF597" s="22" t="s">
        <v>61</v>
      </c>
      <c r="AG597" s="22" t="s">
        <v>58</v>
      </c>
      <c r="AH597" s="22">
        <v>1000.0</v>
      </c>
      <c r="AI597" s="22">
        <v>50000.0</v>
      </c>
      <c r="AJ597" s="22">
        <v>1000.0</v>
      </c>
      <c r="AK597" s="22">
        <v>0.0</v>
      </c>
      <c r="AL597" s="22"/>
      <c r="AM597" s="22"/>
      <c r="AN597" s="24" t="s">
        <v>4000</v>
      </c>
      <c r="AO597" s="22"/>
    </row>
    <row r="598" ht="15.75" customHeight="1">
      <c r="A598" s="22">
        <v>590.0</v>
      </c>
      <c r="B598" s="22" t="s">
        <v>3689</v>
      </c>
      <c r="C598" s="22" t="s">
        <v>3690</v>
      </c>
      <c r="D598" s="66" t="s">
        <v>4239</v>
      </c>
      <c r="E598" s="22" t="s">
        <v>49</v>
      </c>
      <c r="F598" s="27" t="s">
        <v>4241</v>
      </c>
      <c r="G598" s="24" t="s">
        <v>122</v>
      </c>
      <c r="H598" s="22" t="s">
        <v>570</v>
      </c>
      <c r="I598" s="22" t="s">
        <v>571</v>
      </c>
      <c r="J598" s="22" t="s">
        <v>571</v>
      </c>
      <c r="K598" s="22" t="s">
        <v>55</v>
      </c>
      <c r="L598" s="22" t="s">
        <v>56</v>
      </c>
      <c r="M598" s="22" t="s">
        <v>57</v>
      </c>
      <c r="N598" s="22" t="s">
        <v>58</v>
      </c>
      <c r="O598" s="22">
        <v>850.0</v>
      </c>
      <c r="P598" s="22"/>
      <c r="Q598" s="22" t="s">
        <v>59</v>
      </c>
      <c r="R598" s="22" t="s">
        <v>58</v>
      </c>
      <c r="S598" s="22" t="s">
        <v>58</v>
      </c>
      <c r="T598" s="22"/>
      <c r="U598" s="22"/>
      <c r="V598" s="22" t="s">
        <v>61</v>
      </c>
      <c r="W598" s="22" t="s">
        <v>58</v>
      </c>
      <c r="X598" s="22" t="s">
        <v>58</v>
      </c>
      <c r="Y598" s="22" t="s">
        <v>58</v>
      </c>
      <c r="Z598" s="22" t="s">
        <v>58</v>
      </c>
      <c r="AA598" s="22" t="s">
        <v>58</v>
      </c>
      <c r="AB598" s="22" t="s">
        <v>58</v>
      </c>
      <c r="AC598" s="22" t="s">
        <v>58</v>
      </c>
      <c r="AD598" s="22" t="s">
        <v>58</v>
      </c>
      <c r="AE598" s="22" t="s">
        <v>61</v>
      </c>
      <c r="AF598" s="22" t="s">
        <v>61</v>
      </c>
      <c r="AG598" s="22" t="s">
        <v>58</v>
      </c>
      <c r="AH598" s="22">
        <v>50.0</v>
      </c>
      <c r="AI598" s="22">
        <v>10000.0</v>
      </c>
      <c r="AJ598" s="22">
        <v>50.0</v>
      </c>
      <c r="AK598" s="22">
        <v>0.0</v>
      </c>
      <c r="AL598" s="22"/>
      <c r="AM598" s="22"/>
      <c r="AN598" s="24" t="s">
        <v>4000</v>
      </c>
      <c r="AO598" s="22"/>
    </row>
    <row r="599" ht="15.75" customHeight="1">
      <c r="A599" s="22">
        <v>591.0</v>
      </c>
      <c r="B599" s="22" t="s">
        <v>4243</v>
      </c>
      <c r="C599" s="22" t="s">
        <v>4244</v>
      </c>
      <c r="D599" s="24" t="s">
        <v>69</v>
      </c>
      <c r="E599" s="22" t="s">
        <v>49</v>
      </c>
      <c r="F599" s="27" t="s">
        <v>4245</v>
      </c>
      <c r="G599" s="24" t="s">
        <v>69</v>
      </c>
      <c r="H599" s="22" t="s">
        <v>123</v>
      </c>
      <c r="I599" s="22" t="s">
        <v>124</v>
      </c>
      <c r="J599" s="22" t="s">
        <v>74</v>
      </c>
      <c r="K599" s="22" t="s">
        <v>55</v>
      </c>
      <c r="L599" s="22" t="s">
        <v>56</v>
      </c>
      <c r="M599" s="22" t="s">
        <v>57</v>
      </c>
      <c r="N599" s="22" t="s">
        <v>58</v>
      </c>
      <c r="O599" s="22">
        <v>2000.0</v>
      </c>
      <c r="P599" s="22">
        <v>2300.0</v>
      </c>
      <c r="Q599" s="22" t="s">
        <v>59</v>
      </c>
      <c r="R599" s="22" t="s">
        <v>58</v>
      </c>
      <c r="S599" s="22" t="s">
        <v>58</v>
      </c>
      <c r="T599" s="22"/>
      <c r="U599" s="22"/>
      <c r="V599" s="22" t="s">
        <v>61</v>
      </c>
      <c r="W599" s="22" t="s">
        <v>58</v>
      </c>
      <c r="X599" s="22" t="s">
        <v>58</v>
      </c>
      <c r="Y599" s="22" t="s">
        <v>58</v>
      </c>
      <c r="Z599" s="22" t="s">
        <v>58</v>
      </c>
      <c r="AA599" s="22" t="s">
        <v>58</v>
      </c>
      <c r="AB599" s="22" t="s">
        <v>58</v>
      </c>
      <c r="AC599" s="22" t="s">
        <v>58</v>
      </c>
      <c r="AD599" s="22" t="s">
        <v>58</v>
      </c>
      <c r="AE599" s="22" t="s">
        <v>61</v>
      </c>
      <c r="AF599" s="22" t="s">
        <v>61</v>
      </c>
      <c r="AG599" s="22" t="s">
        <v>58</v>
      </c>
      <c r="AH599" s="22">
        <v>30.0</v>
      </c>
      <c r="AI599" s="22">
        <v>200.0</v>
      </c>
      <c r="AJ599" s="22">
        <v>30.0</v>
      </c>
      <c r="AK599" s="22">
        <v>0.0</v>
      </c>
      <c r="AL599" s="22"/>
      <c r="AM599" s="22"/>
      <c r="AN599" s="24" t="s">
        <v>4000</v>
      </c>
      <c r="AO599" s="22"/>
    </row>
    <row r="600" ht="15.75" customHeight="1">
      <c r="A600" s="22">
        <v>592.0</v>
      </c>
      <c r="B600" s="22" t="s">
        <v>4247</v>
      </c>
      <c r="C600" s="22" t="s">
        <v>4248</v>
      </c>
      <c r="D600" s="66" t="s">
        <v>1377</v>
      </c>
      <c r="E600" s="22" t="s">
        <v>49</v>
      </c>
      <c r="F600" s="24" t="s">
        <v>122</v>
      </c>
      <c r="G600" s="24" t="s">
        <v>122</v>
      </c>
      <c r="H600" s="22" t="s">
        <v>303</v>
      </c>
      <c r="I600" s="22" t="s">
        <v>303</v>
      </c>
      <c r="J600" s="22" t="s">
        <v>74</v>
      </c>
      <c r="K600" s="22" t="s">
        <v>55</v>
      </c>
      <c r="L600" s="22" t="s">
        <v>56</v>
      </c>
      <c r="M600" s="22" t="s">
        <v>57</v>
      </c>
      <c r="N600" s="22" t="s">
        <v>58</v>
      </c>
      <c r="O600" s="22">
        <v>999.0</v>
      </c>
      <c r="P600" s="22">
        <v>1250.0</v>
      </c>
      <c r="Q600" s="22" t="s">
        <v>59</v>
      </c>
      <c r="R600" s="22" t="s">
        <v>58</v>
      </c>
      <c r="S600" s="22" t="s">
        <v>58</v>
      </c>
      <c r="T600" s="22"/>
      <c r="U600" s="22"/>
      <c r="V600" s="22" t="s">
        <v>61</v>
      </c>
      <c r="W600" s="22" t="s">
        <v>58</v>
      </c>
      <c r="X600" s="22" t="s">
        <v>58</v>
      </c>
      <c r="Y600" s="22" t="s">
        <v>58</v>
      </c>
      <c r="Z600" s="22" t="s">
        <v>58</v>
      </c>
      <c r="AA600" s="22" t="s">
        <v>58</v>
      </c>
      <c r="AB600" s="22" t="s">
        <v>58</v>
      </c>
      <c r="AC600" s="22" t="s">
        <v>58</v>
      </c>
      <c r="AD600" s="22" t="s">
        <v>58</v>
      </c>
      <c r="AE600" s="22" t="s">
        <v>61</v>
      </c>
      <c r="AF600" s="22" t="s">
        <v>61</v>
      </c>
      <c r="AG600" s="22" t="s">
        <v>58</v>
      </c>
      <c r="AH600" s="22">
        <v>50.0</v>
      </c>
      <c r="AI600" s="22">
        <v>1500.0</v>
      </c>
      <c r="AJ600" s="22">
        <v>50.0</v>
      </c>
      <c r="AK600" s="22">
        <v>0.0</v>
      </c>
      <c r="AL600" s="22"/>
      <c r="AM600" s="22"/>
      <c r="AN600" s="24" t="s">
        <v>4000</v>
      </c>
      <c r="AO600" s="22"/>
    </row>
    <row r="601" ht="15.75" customHeight="1">
      <c r="A601" s="22">
        <v>593.0</v>
      </c>
      <c r="B601" s="22" t="s">
        <v>849</v>
      </c>
      <c r="C601" s="22" t="s">
        <v>850</v>
      </c>
      <c r="D601" s="22" t="s">
        <v>852</v>
      </c>
      <c r="E601" s="22" t="s">
        <v>49</v>
      </c>
      <c r="F601" s="27" t="s">
        <v>1567</v>
      </c>
      <c r="G601" s="24" t="s">
        <v>1568</v>
      </c>
      <c r="H601" s="22" t="s">
        <v>266</v>
      </c>
      <c r="I601" s="22" t="s">
        <v>267</v>
      </c>
      <c r="J601" s="22" t="s">
        <v>267</v>
      </c>
      <c r="K601" s="22" t="s">
        <v>55</v>
      </c>
      <c r="L601" s="22" t="s">
        <v>56</v>
      </c>
      <c r="M601" s="22" t="s">
        <v>57</v>
      </c>
      <c r="N601" s="22" t="s">
        <v>58</v>
      </c>
      <c r="O601" s="22">
        <v>450.0</v>
      </c>
      <c r="P601" s="22">
        <v>550.0</v>
      </c>
      <c r="Q601" s="22" t="s">
        <v>59</v>
      </c>
      <c r="R601" s="22" t="s">
        <v>58</v>
      </c>
      <c r="S601" s="22" t="s">
        <v>58</v>
      </c>
      <c r="T601" s="22" t="s">
        <v>856</v>
      </c>
      <c r="U601" s="22"/>
      <c r="V601" s="22" t="s">
        <v>61</v>
      </c>
      <c r="W601" s="22" t="s">
        <v>58</v>
      </c>
      <c r="X601" s="22" t="s">
        <v>58</v>
      </c>
      <c r="Y601" s="22" t="s">
        <v>58</v>
      </c>
      <c r="Z601" s="22" t="s">
        <v>58</v>
      </c>
      <c r="AA601" s="22" t="s">
        <v>58</v>
      </c>
      <c r="AB601" s="22" t="s">
        <v>58</v>
      </c>
      <c r="AC601" s="22" t="s">
        <v>58</v>
      </c>
      <c r="AD601" s="22" t="s">
        <v>58</v>
      </c>
      <c r="AE601" s="22" t="s">
        <v>61</v>
      </c>
      <c r="AF601" s="22" t="s">
        <v>61</v>
      </c>
      <c r="AG601" s="22" t="s">
        <v>58</v>
      </c>
      <c r="AH601" s="22">
        <v>50.0</v>
      </c>
      <c r="AI601" s="22">
        <v>2000.0</v>
      </c>
      <c r="AJ601" s="22">
        <v>50.0</v>
      </c>
      <c r="AK601" s="22">
        <v>0.0</v>
      </c>
      <c r="AL601" s="22"/>
      <c r="AM601" s="22"/>
      <c r="AN601" s="24" t="s">
        <v>4000</v>
      </c>
      <c r="AO601" s="22"/>
    </row>
    <row r="602" ht="15.75" customHeight="1">
      <c r="A602" s="22">
        <v>594.0</v>
      </c>
      <c r="B602" s="22" t="s">
        <v>3364</v>
      </c>
      <c r="C602" s="22" t="s">
        <v>3365</v>
      </c>
      <c r="D602" s="66" t="s">
        <v>4251</v>
      </c>
      <c r="E602" s="22" t="s">
        <v>49</v>
      </c>
      <c r="F602" s="27" t="s">
        <v>4252</v>
      </c>
      <c r="G602" s="24">
        <v>8.58887521E9</v>
      </c>
      <c r="H602" s="22" t="s">
        <v>727</v>
      </c>
      <c r="I602" s="22" t="s">
        <v>729</v>
      </c>
      <c r="J602" s="22" t="s">
        <v>74</v>
      </c>
      <c r="K602" s="22" t="s">
        <v>55</v>
      </c>
      <c r="L602" s="22" t="s">
        <v>56</v>
      </c>
      <c r="M602" s="22" t="s">
        <v>57</v>
      </c>
      <c r="N602" s="22" t="s">
        <v>58</v>
      </c>
      <c r="O602" s="22">
        <v>1400.0</v>
      </c>
      <c r="P602" s="22">
        <v>2100.0</v>
      </c>
      <c r="Q602" s="22" t="s">
        <v>59</v>
      </c>
      <c r="R602" s="22" t="s">
        <v>58</v>
      </c>
      <c r="S602" s="22" t="s">
        <v>58</v>
      </c>
      <c r="T602" s="22"/>
      <c r="U602" s="22"/>
      <c r="V602" s="22" t="s">
        <v>61</v>
      </c>
      <c r="W602" s="22" t="s">
        <v>58</v>
      </c>
      <c r="X602" s="22" t="s">
        <v>58</v>
      </c>
      <c r="Y602" s="22" t="s">
        <v>58</v>
      </c>
      <c r="Z602" s="22" t="s">
        <v>58</v>
      </c>
      <c r="AA602" s="22" t="s">
        <v>58</v>
      </c>
      <c r="AB602" s="22" t="s">
        <v>58</v>
      </c>
      <c r="AC602" s="22" t="s">
        <v>58</v>
      </c>
      <c r="AD602" s="22" t="s">
        <v>58</v>
      </c>
      <c r="AE602" s="22" t="s">
        <v>61</v>
      </c>
      <c r="AF602" s="22" t="s">
        <v>61</v>
      </c>
      <c r="AG602" s="22" t="s">
        <v>58</v>
      </c>
      <c r="AH602" s="22">
        <v>100.0</v>
      </c>
      <c r="AI602" s="22">
        <v>1000.0</v>
      </c>
      <c r="AJ602" s="22">
        <v>100.0</v>
      </c>
      <c r="AK602" s="22">
        <v>0.0</v>
      </c>
      <c r="AL602" s="22"/>
      <c r="AM602" s="22"/>
      <c r="AN602" s="24" t="s">
        <v>4000</v>
      </c>
      <c r="AO602" s="22"/>
    </row>
    <row r="603" ht="15.75" customHeight="1">
      <c r="A603" s="15">
        <v>595.0</v>
      </c>
      <c r="B603" s="15" t="s">
        <v>4254</v>
      </c>
      <c r="C603" s="15" t="s">
        <v>4255</v>
      </c>
      <c r="D603" s="48" t="s">
        <v>4256</v>
      </c>
      <c r="E603" s="15" t="s">
        <v>49</v>
      </c>
      <c r="F603" s="49" t="s">
        <v>4257</v>
      </c>
      <c r="G603" s="15" t="s">
        <v>4261</v>
      </c>
      <c r="H603" s="15" t="s">
        <v>123</v>
      </c>
      <c r="I603" s="15" t="s">
        <v>124</v>
      </c>
      <c r="J603" s="15" t="s">
        <v>74</v>
      </c>
      <c r="K603" s="15" t="s">
        <v>55</v>
      </c>
      <c r="L603" s="15" t="s">
        <v>56</v>
      </c>
      <c r="M603" s="15" t="s">
        <v>57</v>
      </c>
      <c r="N603" s="15" t="s">
        <v>58</v>
      </c>
      <c r="O603" s="15">
        <v>1200.0</v>
      </c>
      <c r="P603" s="15">
        <v>1500.0</v>
      </c>
      <c r="Q603" s="15" t="s">
        <v>59</v>
      </c>
      <c r="R603" s="15" t="s">
        <v>58</v>
      </c>
      <c r="S603" s="15" t="s">
        <v>58</v>
      </c>
      <c r="T603" s="15"/>
      <c r="U603" s="15"/>
      <c r="V603" s="15" t="s">
        <v>61</v>
      </c>
      <c r="W603" s="15" t="s">
        <v>58</v>
      </c>
      <c r="X603" s="15" t="s">
        <v>58</v>
      </c>
      <c r="Y603" s="15" t="s">
        <v>58</v>
      </c>
      <c r="Z603" s="15" t="s">
        <v>58</v>
      </c>
      <c r="AA603" s="15" t="s">
        <v>58</v>
      </c>
      <c r="AB603" s="15" t="s">
        <v>58</v>
      </c>
      <c r="AC603" s="15" t="s">
        <v>58</v>
      </c>
      <c r="AD603" s="15" t="s">
        <v>58</v>
      </c>
      <c r="AE603" s="15" t="s">
        <v>61</v>
      </c>
      <c r="AF603" s="15" t="s">
        <v>61</v>
      </c>
      <c r="AG603" s="15" t="s">
        <v>58</v>
      </c>
      <c r="AH603" s="15">
        <v>100.0</v>
      </c>
      <c r="AI603" s="15">
        <v>5000.0</v>
      </c>
      <c r="AJ603" s="15">
        <v>100.0</v>
      </c>
      <c r="AK603" s="15">
        <v>0.0</v>
      </c>
      <c r="AL603" s="15"/>
      <c r="AM603" s="15"/>
      <c r="AN603" s="16" t="s">
        <v>757</v>
      </c>
      <c r="AO603" s="21">
        <v>2.0</v>
      </c>
    </row>
    <row r="604" ht="15.75" customHeight="1">
      <c r="A604" s="22">
        <v>596.0</v>
      </c>
      <c r="B604" s="22" t="s">
        <v>3214</v>
      </c>
      <c r="C604" s="22" t="s">
        <v>3215</v>
      </c>
      <c r="D604" s="66" t="s">
        <v>4264</v>
      </c>
      <c r="E604" s="22" t="s">
        <v>49</v>
      </c>
      <c r="F604" s="27" t="s">
        <v>4265</v>
      </c>
      <c r="G604" s="24" t="s">
        <v>122</v>
      </c>
      <c r="H604" s="22" t="s">
        <v>1110</v>
      </c>
      <c r="I604" s="22" t="s">
        <v>1111</v>
      </c>
      <c r="J604" s="22" t="s">
        <v>74</v>
      </c>
      <c r="K604" s="22" t="s">
        <v>55</v>
      </c>
      <c r="L604" s="22" t="s">
        <v>56</v>
      </c>
      <c r="M604" s="22" t="s">
        <v>57</v>
      </c>
      <c r="N604" s="22" t="s">
        <v>58</v>
      </c>
      <c r="O604" s="22">
        <v>700.0</v>
      </c>
      <c r="P604" s="22">
        <v>1200.0</v>
      </c>
      <c r="Q604" s="22" t="s">
        <v>59</v>
      </c>
      <c r="R604" s="22" t="s">
        <v>58</v>
      </c>
      <c r="S604" s="22" t="s">
        <v>58</v>
      </c>
      <c r="T604" s="22"/>
      <c r="U604" s="22"/>
      <c r="V604" s="22" t="s">
        <v>61</v>
      </c>
      <c r="W604" s="22" t="s">
        <v>58</v>
      </c>
      <c r="X604" s="22" t="s">
        <v>58</v>
      </c>
      <c r="Y604" s="22" t="s">
        <v>58</v>
      </c>
      <c r="Z604" s="22" t="s">
        <v>58</v>
      </c>
      <c r="AA604" s="22" t="s">
        <v>58</v>
      </c>
      <c r="AB604" s="22" t="s">
        <v>58</v>
      </c>
      <c r="AC604" s="22" t="s">
        <v>58</v>
      </c>
      <c r="AD604" s="22" t="s">
        <v>58</v>
      </c>
      <c r="AE604" s="22" t="s">
        <v>61</v>
      </c>
      <c r="AF604" s="22" t="s">
        <v>61</v>
      </c>
      <c r="AG604" s="22" t="s">
        <v>58</v>
      </c>
      <c r="AH604" s="22">
        <v>50.0</v>
      </c>
      <c r="AI604" s="22">
        <v>3000.0</v>
      </c>
      <c r="AJ604" s="22">
        <v>50.0</v>
      </c>
      <c r="AK604" s="22">
        <v>0.0</v>
      </c>
      <c r="AL604" s="22"/>
      <c r="AM604" s="22"/>
      <c r="AN604" s="24" t="s">
        <v>4000</v>
      </c>
      <c r="AO604" s="22"/>
    </row>
    <row r="605" ht="15.75" customHeight="1">
      <c r="A605" s="22">
        <v>597.0</v>
      </c>
      <c r="B605" s="22" t="s">
        <v>3798</v>
      </c>
      <c r="C605" s="22" t="s">
        <v>3799</v>
      </c>
      <c r="D605" s="66" t="s">
        <v>4267</v>
      </c>
      <c r="E605" s="22" t="s">
        <v>49</v>
      </c>
      <c r="F605" s="27" t="s">
        <v>3800</v>
      </c>
      <c r="G605" s="24" t="s">
        <v>122</v>
      </c>
      <c r="H605" s="22" t="s">
        <v>1888</v>
      </c>
      <c r="I605" s="22" t="s">
        <v>1889</v>
      </c>
      <c r="J605" s="22" t="s">
        <v>74</v>
      </c>
      <c r="K605" s="22" t="s">
        <v>55</v>
      </c>
      <c r="L605" s="22" t="s">
        <v>56</v>
      </c>
      <c r="M605" s="22" t="s">
        <v>57</v>
      </c>
      <c r="N605" s="22" t="s">
        <v>58</v>
      </c>
      <c r="O605" s="22">
        <v>500.0</v>
      </c>
      <c r="P605" s="22"/>
      <c r="Q605" s="22" t="s">
        <v>59</v>
      </c>
      <c r="R605" s="22" t="s">
        <v>58</v>
      </c>
      <c r="S605" s="22" t="s">
        <v>58</v>
      </c>
      <c r="T605" s="22"/>
      <c r="U605" s="22"/>
      <c r="V605" s="22" t="s">
        <v>61</v>
      </c>
      <c r="W605" s="22" t="s">
        <v>58</v>
      </c>
      <c r="X605" s="22" t="s">
        <v>58</v>
      </c>
      <c r="Y605" s="22" t="s">
        <v>58</v>
      </c>
      <c r="Z605" s="22" t="s">
        <v>58</v>
      </c>
      <c r="AA605" s="22" t="s">
        <v>58</v>
      </c>
      <c r="AB605" s="22" t="s">
        <v>58</v>
      </c>
      <c r="AC605" s="22" t="s">
        <v>58</v>
      </c>
      <c r="AD605" s="22" t="s">
        <v>58</v>
      </c>
      <c r="AE605" s="22" t="s">
        <v>61</v>
      </c>
      <c r="AF605" s="22" t="s">
        <v>61</v>
      </c>
      <c r="AG605" s="22" t="s">
        <v>58</v>
      </c>
      <c r="AH605" s="22">
        <v>100.0</v>
      </c>
      <c r="AI605" s="22">
        <v>5000.0</v>
      </c>
      <c r="AJ605" s="22">
        <v>100.0</v>
      </c>
      <c r="AK605" s="22">
        <v>0.0</v>
      </c>
      <c r="AL605" s="22"/>
      <c r="AM605" s="22"/>
      <c r="AN605" s="24" t="s">
        <v>4000</v>
      </c>
      <c r="AO605" s="22"/>
    </row>
    <row r="606" ht="15.75" customHeight="1">
      <c r="A606" s="22">
        <v>598.0</v>
      </c>
      <c r="B606" s="22" t="s">
        <v>4270</v>
      </c>
      <c r="C606" s="22" t="s">
        <v>4271</v>
      </c>
      <c r="D606" s="22" t="s">
        <v>3148</v>
      </c>
      <c r="E606" s="22" t="s">
        <v>49</v>
      </c>
      <c r="F606" s="27" t="s">
        <v>4272</v>
      </c>
      <c r="G606" s="24" t="s">
        <v>122</v>
      </c>
      <c r="H606" s="22" t="s">
        <v>2659</v>
      </c>
      <c r="I606" s="22" t="s">
        <v>2660</v>
      </c>
      <c r="J606" s="22" t="s">
        <v>74</v>
      </c>
      <c r="K606" s="22" t="s">
        <v>55</v>
      </c>
      <c r="L606" s="22" t="s">
        <v>56</v>
      </c>
      <c r="M606" s="22" t="s">
        <v>57</v>
      </c>
      <c r="N606" s="22" t="s">
        <v>58</v>
      </c>
      <c r="O606" s="22">
        <v>2500.0</v>
      </c>
      <c r="P606" s="22">
        <v>3500.0</v>
      </c>
      <c r="Q606" s="22" t="s">
        <v>59</v>
      </c>
      <c r="R606" s="22" t="s">
        <v>58</v>
      </c>
      <c r="S606" s="22" t="s">
        <v>58</v>
      </c>
      <c r="T606" s="22" t="s">
        <v>275</v>
      </c>
      <c r="U606" s="22"/>
      <c r="V606" s="22" t="s">
        <v>61</v>
      </c>
      <c r="W606" s="22" t="s">
        <v>58</v>
      </c>
      <c r="X606" s="22" t="s">
        <v>58</v>
      </c>
      <c r="Y606" s="22" t="s">
        <v>58</v>
      </c>
      <c r="Z606" s="22" t="s">
        <v>58</v>
      </c>
      <c r="AA606" s="22" t="s">
        <v>58</v>
      </c>
      <c r="AB606" s="22" t="s">
        <v>58</v>
      </c>
      <c r="AC606" s="22" t="s">
        <v>58</v>
      </c>
      <c r="AD606" s="22" t="s">
        <v>58</v>
      </c>
      <c r="AE606" s="22" t="s">
        <v>61</v>
      </c>
      <c r="AF606" s="22" t="s">
        <v>61</v>
      </c>
      <c r="AG606" s="22" t="s">
        <v>58</v>
      </c>
      <c r="AH606" s="22">
        <v>100.0</v>
      </c>
      <c r="AI606" s="22">
        <v>10000.0</v>
      </c>
      <c r="AJ606" s="22">
        <v>100.0</v>
      </c>
      <c r="AK606" s="22">
        <v>0.0</v>
      </c>
      <c r="AL606" s="22"/>
      <c r="AM606" s="22"/>
      <c r="AN606" s="24" t="s">
        <v>4000</v>
      </c>
      <c r="AO606" s="22"/>
    </row>
    <row r="607" ht="15.75" customHeight="1">
      <c r="A607" s="22">
        <v>599.0</v>
      </c>
      <c r="B607" s="22" t="s">
        <v>2995</v>
      </c>
      <c r="C607" s="22" t="s">
        <v>2996</v>
      </c>
      <c r="D607" s="22" t="s">
        <v>4274</v>
      </c>
      <c r="E607" s="22" t="s">
        <v>49</v>
      </c>
      <c r="F607" s="27" t="s">
        <v>4275</v>
      </c>
      <c r="G607" s="24">
        <v>7.94711918E9</v>
      </c>
      <c r="H607" s="22" t="s">
        <v>586</v>
      </c>
      <c r="I607" s="22" t="s">
        <v>587</v>
      </c>
      <c r="J607" s="22" t="s">
        <v>74</v>
      </c>
      <c r="K607" s="22" t="s">
        <v>55</v>
      </c>
      <c r="L607" s="22" t="s">
        <v>56</v>
      </c>
      <c r="M607" s="22" t="s">
        <v>57</v>
      </c>
      <c r="N607" s="22" t="s">
        <v>58</v>
      </c>
      <c r="O607" s="22">
        <v>500.0</v>
      </c>
      <c r="P607" s="22">
        <v>500.0</v>
      </c>
      <c r="Q607" s="22" t="s">
        <v>59</v>
      </c>
      <c r="R607" s="22" t="s">
        <v>58</v>
      </c>
      <c r="S607" s="22" t="s">
        <v>58</v>
      </c>
      <c r="T607" s="24" t="s">
        <v>4276</v>
      </c>
      <c r="U607" s="22" t="s">
        <v>275</v>
      </c>
      <c r="V607" s="22" t="s">
        <v>61</v>
      </c>
      <c r="W607" s="22" t="s">
        <v>58</v>
      </c>
      <c r="X607" s="22" t="s">
        <v>58</v>
      </c>
      <c r="Y607" s="22" t="s">
        <v>58</v>
      </c>
      <c r="Z607" s="22" t="s">
        <v>58</v>
      </c>
      <c r="AA607" s="22" t="s">
        <v>58</v>
      </c>
      <c r="AB607" s="22" t="s">
        <v>58</v>
      </c>
      <c r="AC607" s="22" t="s">
        <v>58</v>
      </c>
      <c r="AD607" s="22" t="s">
        <v>58</v>
      </c>
      <c r="AE607" s="22" t="s">
        <v>61</v>
      </c>
      <c r="AF607" s="22" t="s">
        <v>61</v>
      </c>
      <c r="AG607" s="22" t="s">
        <v>58</v>
      </c>
      <c r="AH607" s="22">
        <v>150.0</v>
      </c>
      <c r="AI607" s="22">
        <v>5000.0</v>
      </c>
      <c r="AJ607" s="22">
        <v>150.0</v>
      </c>
      <c r="AK607" s="22">
        <v>0.0</v>
      </c>
      <c r="AL607" s="22"/>
      <c r="AM607" s="22"/>
      <c r="AN607" s="24" t="s">
        <v>4000</v>
      </c>
      <c r="AO607" s="22"/>
    </row>
    <row r="608" ht="15.75" customHeight="1">
      <c r="A608" s="22">
        <v>600.0</v>
      </c>
      <c r="B608" s="22" t="s">
        <v>862</v>
      </c>
      <c r="C608" s="22" t="s">
        <v>863</v>
      </c>
      <c r="D608" s="22" t="s">
        <v>864</v>
      </c>
      <c r="E608" s="22" t="s">
        <v>49</v>
      </c>
      <c r="F608" s="42" t="s">
        <v>4277</v>
      </c>
      <c r="G608" s="24" t="s">
        <v>4279</v>
      </c>
      <c r="H608" s="22" t="s">
        <v>570</v>
      </c>
      <c r="I608" s="22" t="s">
        <v>571</v>
      </c>
      <c r="J608" s="22" t="s">
        <v>571</v>
      </c>
      <c r="K608" s="22" t="s">
        <v>55</v>
      </c>
      <c r="L608" s="22" t="s">
        <v>56</v>
      </c>
      <c r="M608" s="22" t="s">
        <v>57</v>
      </c>
      <c r="N608" s="22" t="s">
        <v>58</v>
      </c>
      <c r="O608" s="22">
        <v>1150.0</v>
      </c>
      <c r="P608" s="22">
        <v>1250.0</v>
      </c>
      <c r="Q608" s="22" t="s">
        <v>59</v>
      </c>
      <c r="R608" s="22" t="s">
        <v>58</v>
      </c>
      <c r="S608" s="22" t="s">
        <v>58</v>
      </c>
      <c r="T608" s="22" t="s">
        <v>275</v>
      </c>
      <c r="U608" s="22"/>
      <c r="V608" s="22" t="s">
        <v>61</v>
      </c>
      <c r="W608" s="22" t="s">
        <v>58</v>
      </c>
      <c r="X608" s="22" t="s">
        <v>58</v>
      </c>
      <c r="Y608" s="22" t="s">
        <v>58</v>
      </c>
      <c r="Z608" s="22" t="s">
        <v>58</v>
      </c>
      <c r="AA608" s="22" t="s">
        <v>58</v>
      </c>
      <c r="AB608" s="22" t="s">
        <v>58</v>
      </c>
      <c r="AC608" s="22" t="s">
        <v>58</v>
      </c>
      <c r="AD608" s="22" t="s">
        <v>58</v>
      </c>
      <c r="AE608" s="22" t="s">
        <v>61</v>
      </c>
      <c r="AF608" s="22" t="s">
        <v>61</v>
      </c>
      <c r="AG608" s="22" t="s">
        <v>58</v>
      </c>
      <c r="AH608" s="22">
        <v>50.0</v>
      </c>
      <c r="AI608" s="22">
        <v>500.0</v>
      </c>
      <c r="AJ608" s="22">
        <v>50.0</v>
      </c>
      <c r="AK608" s="22">
        <v>0.0</v>
      </c>
      <c r="AL608" s="22"/>
      <c r="AM608" s="22"/>
      <c r="AN608" s="24" t="s">
        <v>4000</v>
      </c>
      <c r="AO608" s="22"/>
    </row>
    <row r="609" ht="15.75" customHeight="1">
      <c r="A609" s="22">
        <v>601.0</v>
      </c>
      <c r="B609" s="22" t="s">
        <v>4061</v>
      </c>
      <c r="C609" s="22" t="s">
        <v>4062</v>
      </c>
      <c r="D609" s="66" t="s">
        <v>4281</v>
      </c>
      <c r="E609" s="22" t="s">
        <v>49</v>
      </c>
      <c r="F609" s="24" t="s">
        <v>122</v>
      </c>
      <c r="G609" s="24" t="s">
        <v>122</v>
      </c>
      <c r="H609" s="22" t="s">
        <v>285</v>
      </c>
      <c r="I609" s="22" t="s">
        <v>286</v>
      </c>
      <c r="J609" s="22" t="s">
        <v>74</v>
      </c>
      <c r="K609" s="22" t="s">
        <v>55</v>
      </c>
      <c r="L609" s="22" t="s">
        <v>56</v>
      </c>
      <c r="M609" s="22" t="s">
        <v>57</v>
      </c>
      <c r="N609" s="22" t="s">
        <v>58</v>
      </c>
      <c r="O609" s="22">
        <v>51000.0</v>
      </c>
      <c r="P609" s="22"/>
      <c r="Q609" s="22" t="s">
        <v>59</v>
      </c>
      <c r="R609" s="22" t="s">
        <v>58</v>
      </c>
      <c r="S609" s="22" t="s">
        <v>58</v>
      </c>
      <c r="T609" s="22"/>
      <c r="U609" s="22"/>
      <c r="V609" s="22" t="s">
        <v>61</v>
      </c>
      <c r="W609" s="22" t="s">
        <v>58</v>
      </c>
      <c r="X609" s="22" t="s">
        <v>58</v>
      </c>
      <c r="Y609" s="22" t="s">
        <v>58</v>
      </c>
      <c r="Z609" s="22" t="s">
        <v>58</v>
      </c>
      <c r="AA609" s="22" t="s">
        <v>58</v>
      </c>
      <c r="AB609" s="22" t="s">
        <v>58</v>
      </c>
      <c r="AC609" s="22" t="s">
        <v>58</v>
      </c>
      <c r="AD609" s="22" t="s">
        <v>58</v>
      </c>
      <c r="AE609" s="22" t="s">
        <v>61</v>
      </c>
      <c r="AF609" s="22" t="s">
        <v>61</v>
      </c>
      <c r="AG609" s="22" t="s">
        <v>58</v>
      </c>
      <c r="AH609" s="22">
        <v>100.0</v>
      </c>
      <c r="AI609" s="22">
        <v>4000.0</v>
      </c>
      <c r="AJ609" s="22">
        <v>100.0</v>
      </c>
      <c r="AK609" s="22">
        <v>0.0</v>
      </c>
      <c r="AL609" s="22"/>
      <c r="AM609" s="22"/>
      <c r="AN609" s="24" t="s">
        <v>4000</v>
      </c>
      <c r="AO609" s="22"/>
    </row>
    <row r="610" ht="15.75" customHeight="1">
      <c r="A610" s="22">
        <v>602.0</v>
      </c>
      <c r="B610" s="22" t="s">
        <v>4283</v>
      </c>
      <c r="C610" s="22" t="s">
        <v>4284</v>
      </c>
      <c r="D610" s="24" t="s">
        <v>69</v>
      </c>
      <c r="E610" s="22" t="s">
        <v>49</v>
      </c>
      <c r="F610" s="24" t="s">
        <v>122</v>
      </c>
      <c r="G610" s="24" t="s">
        <v>122</v>
      </c>
      <c r="H610" s="22" t="s">
        <v>303</v>
      </c>
      <c r="I610" s="22" t="s">
        <v>303</v>
      </c>
      <c r="J610" s="22" t="s">
        <v>74</v>
      </c>
      <c r="K610" s="22" t="s">
        <v>55</v>
      </c>
      <c r="L610" s="22" t="s">
        <v>56</v>
      </c>
      <c r="M610" s="22" t="s">
        <v>57</v>
      </c>
      <c r="N610" s="22" t="s">
        <v>58</v>
      </c>
      <c r="O610" s="22">
        <v>450.0</v>
      </c>
      <c r="P610" s="22"/>
      <c r="Q610" s="22" t="s">
        <v>59</v>
      </c>
      <c r="R610" s="22" t="s">
        <v>58</v>
      </c>
      <c r="S610" s="22" t="s">
        <v>58</v>
      </c>
      <c r="T610" s="22"/>
      <c r="U610" s="22"/>
      <c r="V610" s="22" t="s">
        <v>61</v>
      </c>
      <c r="W610" s="22" t="s">
        <v>58</v>
      </c>
      <c r="X610" s="22" t="s">
        <v>58</v>
      </c>
      <c r="Y610" s="22" t="s">
        <v>58</v>
      </c>
      <c r="Z610" s="22" t="s">
        <v>58</v>
      </c>
      <c r="AA610" s="22" t="s">
        <v>58</v>
      </c>
      <c r="AB610" s="22" t="s">
        <v>58</v>
      </c>
      <c r="AC610" s="22" t="s">
        <v>58</v>
      </c>
      <c r="AD610" s="22" t="s">
        <v>58</v>
      </c>
      <c r="AE610" s="22" t="s">
        <v>61</v>
      </c>
      <c r="AF610" s="22" t="s">
        <v>61</v>
      </c>
      <c r="AG610" s="22" t="s">
        <v>58</v>
      </c>
      <c r="AH610" s="22">
        <v>0.0</v>
      </c>
      <c r="AI610" s="22">
        <v>50.0</v>
      </c>
      <c r="AJ610" s="22">
        <v>0.0</v>
      </c>
      <c r="AK610" s="22">
        <v>0.0</v>
      </c>
      <c r="AL610" s="22"/>
      <c r="AM610" s="22"/>
      <c r="AN610" s="24" t="s">
        <v>4000</v>
      </c>
      <c r="AO610" s="22"/>
    </row>
    <row r="611" ht="15.75" customHeight="1">
      <c r="A611" s="22">
        <v>603.0</v>
      </c>
      <c r="B611" s="22" t="s">
        <v>4122</v>
      </c>
      <c r="C611" s="22" t="s">
        <v>4123</v>
      </c>
      <c r="D611" s="66" t="s">
        <v>4286</v>
      </c>
      <c r="E611" s="22" t="s">
        <v>49</v>
      </c>
      <c r="F611" s="24" t="s">
        <v>122</v>
      </c>
      <c r="G611" s="24" t="s">
        <v>122</v>
      </c>
      <c r="H611" s="22" t="s">
        <v>2906</v>
      </c>
      <c r="I611" s="22" t="s">
        <v>2907</v>
      </c>
      <c r="J611" s="22" t="s">
        <v>2907</v>
      </c>
      <c r="K611" s="22" t="s">
        <v>55</v>
      </c>
      <c r="L611" s="22" t="s">
        <v>56</v>
      </c>
      <c r="M611" s="22" t="s">
        <v>57</v>
      </c>
      <c r="N611" s="22" t="s">
        <v>58</v>
      </c>
      <c r="O611" s="22">
        <v>2500.0</v>
      </c>
      <c r="P611" s="22">
        <v>3500.0</v>
      </c>
      <c r="Q611" s="22" t="s">
        <v>59</v>
      </c>
      <c r="R611" s="22" t="s">
        <v>58</v>
      </c>
      <c r="S611" s="22" t="s">
        <v>58</v>
      </c>
      <c r="T611" s="22"/>
      <c r="U611" s="22"/>
      <c r="V611" s="22" t="s">
        <v>61</v>
      </c>
      <c r="W611" s="22" t="s">
        <v>58</v>
      </c>
      <c r="X611" s="22" t="s">
        <v>58</v>
      </c>
      <c r="Y611" s="22" t="s">
        <v>58</v>
      </c>
      <c r="Z611" s="22" t="s">
        <v>58</v>
      </c>
      <c r="AA611" s="22" t="s">
        <v>58</v>
      </c>
      <c r="AB611" s="22" t="s">
        <v>58</v>
      </c>
      <c r="AC611" s="22" t="s">
        <v>58</v>
      </c>
      <c r="AD611" s="22" t="s">
        <v>58</v>
      </c>
      <c r="AE611" s="22" t="s">
        <v>61</v>
      </c>
      <c r="AF611" s="22" t="s">
        <v>61</v>
      </c>
      <c r="AG611" s="22" t="s">
        <v>58</v>
      </c>
      <c r="AH611" s="22">
        <v>100.0</v>
      </c>
      <c r="AI611" s="22">
        <v>25000.0</v>
      </c>
      <c r="AJ611" s="22">
        <v>100.0</v>
      </c>
      <c r="AK611" s="22">
        <v>0.0</v>
      </c>
      <c r="AL611" s="22"/>
      <c r="AM611" s="22"/>
      <c r="AN611" s="24" t="s">
        <v>4000</v>
      </c>
      <c r="AO611" s="22"/>
    </row>
    <row r="612" ht="15.75" customHeight="1">
      <c r="A612" s="22">
        <v>604.0</v>
      </c>
      <c r="B612" s="22" t="s">
        <v>4163</v>
      </c>
      <c r="C612" s="22" t="s">
        <v>4164</v>
      </c>
      <c r="D612" s="66" t="s">
        <v>4287</v>
      </c>
      <c r="E612" s="22" t="s">
        <v>49</v>
      </c>
      <c r="F612" s="24" t="s">
        <v>122</v>
      </c>
      <c r="G612" s="24" t="s">
        <v>122</v>
      </c>
      <c r="H612" s="22" t="s">
        <v>303</v>
      </c>
      <c r="I612" s="22" t="s">
        <v>303</v>
      </c>
      <c r="J612" s="22" t="s">
        <v>74</v>
      </c>
      <c r="K612" s="22" t="s">
        <v>55</v>
      </c>
      <c r="L612" s="22" t="s">
        <v>56</v>
      </c>
      <c r="M612" s="22" t="s">
        <v>57</v>
      </c>
      <c r="N612" s="22" t="s">
        <v>58</v>
      </c>
      <c r="O612" s="22">
        <v>450.0</v>
      </c>
      <c r="P612" s="22">
        <v>550.0</v>
      </c>
      <c r="Q612" s="22" t="s">
        <v>59</v>
      </c>
      <c r="R612" s="22" t="s">
        <v>58</v>
      </c>
      <c r="S612" s="22" t="s">
        <v>58</v>
      </c>
      <c r="T612" s="22"/>
      <c r="U612" s="22"/>
      <c r="V612" s="22" t="s">
        <v>61</v>
      </c>
      <c r="W612" s="22" t="s">
        <v>58</v>
      </c>
      <c r="X612" s="22" t="s">
        <v>58</v>
      </c>
      <c r="Y612" s="22" t="s">
        <v>58</v>
      </c>
      <c r="Z612" s="22" t="s">
        <v>58</v>
      </c>
      <c r="AA612" s="22" t="s">
        <v>58</v>
      </c>
      <c r="AB612" s="22" t="s">
        <v>58</v>
      </c>
      <c r="AC612" s="22" t="s">
        <v>58</v>
      </c>
      <c r="AD612" s="22" t="s">
        <v>58</v>
      </c>
      <c r="AE612" s="22" t="s">
        <v>61</v>
      </c>
      <c r="AF612" s="22" t="s">
        <v>61</v>
      </c>
      <c r="AG612" s="22" t="s">
        <v>58</v>
      </c>
      <c r="AH612" s="22">
        <v>20.0</v>
      </c>
      <c r="AI612" s="22">
        <v>200.0</v>
      </c>
      <c r="AJ612" s="22">
        <v>20.0</v>
      </c>
      <c r="AK612" s="22">
        <v>0.0</v>
      </c>
      <c r="AL612" s="22"/>
      <c r="AM612" s="22"/>
      <c r="AN612" s="24" t="s">
        <v>4000</v>
      </c>
      <c r="AO612" s="22"/>
    </row>
    <row r="613" ht="15.75" customHeight="1">
      <c r="A613" s="22">
        <v>605.0</v>
      </c>
      <c r="B613" s="22" t="s">
        <v>1546</v>
      </c>
      <c r="C613" s="22" t="s">
        <v>1547</v>
      </c>
      <c r="D613" s="66" t="s">
        <v>1548</v>
      </c>
      <c r="E613" s="22" t="s">
        <v>49</v>
      </c>
      <c r="F613" s="24" t="s">
        <v>122</v>
      </c>
      <c r="G613" s="71" t="s">
        <v>4288</v>
      </c>
      <c r="H613" s="22" t="s">
        <v>389</v>
      </c>
      <c r="I613" s="22" t="s">
        <v>390</v>
      </c>
      <c r="J613" s="22" t="s">
        <v>390</v>
      </c>
      <c r="K613" s="22" t="s">
        <v>55</v>
      </c>
      <c r="L613" s="22" t="s">
        <v>56</v>
      </c>
      <c r="M613" s="22" t="s">
        <v>57</v>
      </c>
      <c r="N613" s="22" t="s">
        <v>58</v>
      </c>
      <c r="O613" s="22">
        <v>700.0</v>
      </c>
      <c r="P613" s="22">
        <v>1500.0</v>
      </c>
      <c r="Q613" s="22" t="s">
        <v>59</v>
      </c>
      <c r="R613" s="22" t="s">
        <v>58</v>
      </c>
      <c r="S613" s="22" t="s">
        <v>58</v>
      </c>
      <c r="T613" s="22"/>
      <c r="U613" s="22"/>
      <c r="V613" s="22" t="s">
        <v>61</v>
      </c>
      <c r="W613" s="22" t="s">
        <v>58</v>
      </c>
      <c r="X613" s="22" t="s">
        <v>58</v>
      </c>
      <c r="Y613" s="22" t="s">
        <v>58</v>
      </c>
      <c r="Z613" s="22" t="s">
        <v>58</v>
      </c>
      <c r="AA613" s="22" t="s">
        <v>58</v>
      </c>
      <c r="AB613" s="22" t="s">
        <v>58</v>
      </c>
      <c r="AC613" s="22" t="s">
        <v>58</v>
      </c>
      <c r="AD613" s="22" t="s">
        <v>58</v>
      </c>
      <c r="AE613" s="22" t="s">
        <v>61</v>
      </c>
      <c r="AF613" s="22" t="s">
        <v>61</v>
      </c>
      <c r="AG613" s="22" t="s">
        <v>58</v>
      </c>
      <c r="AH613" s="22">
        <v>30.0</v>
      </c>
      <c r="AI613" s="22">
        <v>2000.0</v>
      </c>
      <c r="AJ613" s="22">
        <v>30.0</v>
      </c>
      <c r="AK613" s="22">
        <v>0.0</v>
      </c>
      <c r="AL613" s="22"/>
      <c r="AM613" s="22"/>
      <c r="AN613" s="24" t="s">
        <v>4000</v>
      </c>
      <c r="AO613" s="22"/>
    </row>
    <row r="614" ht="15.75" customHeight="1">
      <c r="A614" s="32" t="s">
        <v>4291</v>
      </c>
      <c r="B614" s="32" t="s">
        <v>337</v>
      </c>
      <c r="C614" s="32" t="s">
        <v>339</v>
      </c>
      <c r="D614" s="32" t="s">
        <v>341</v>
      </c>
      <c r="E614" s="32" t="s">
        <v>49</v>
      </c>
      <c r="F614" s="32" t="s">
        <v>4292</v>
      </c>
      <c r="G614" s="32" t="s">
        <v>4293</v>
      </c>
      <c r="H614" s="32" t="s">
        <v>123</v>
      </c>
      <c r="I614" s="32" t="s">
        <v>124</v>
      </c>
      <c r="J614" s="32" t="s">
        <v>74</v>
      </c>
      <c r="K614" s="32" t="s">
        <v>55</v>
      </c>
      <c r="L614" s="32" t="s">
        <v>56</v>
      </c>
      <c r="M614" s="32" t="s">
        <v>57</v>
      </c>
      <c r="N614" s="32" t="s">
        <v>333</v>
      </c>
      <c r="O614" s="32" t="s">
        <v>2005</v>
      </c>
      <c r="P614" s="32" t="s">
        <v>1941</v>
      </c>
      <c r="Q614" s="32" t="s">
        <v>351</v>
      </c>
      <c r="R614" s="32" t="s">
        <v>333</v>
      </c>
      <c r="S614" s="32" t="s">
        <v>333</v>
      </c>
      <c r="T614" s="32" t="s">
        <v>4294</v>
      </c>
      <c r="U614" s="32" t="s">
        <v>4295</v>
      </c>
      <c r="V614" s="32" t="s">
        <v>344</v>
      </c>
      <c r="W614" s="32" t="s">
        <v>344</v>
      </c>
      <c r="X614" s="32" t="s">
        <v>333</v>
      </c>
      <c r="Y614" s="32" t="s">
        <v>333</v>
      </c>
      <c r="Z614" s="32" t="s">
        <v>333</v>
      </c>
      <c r="AA614" s="32" t="s">
        <v>344</v>
      </c>
      <c r="AB614" s="32"/>
      <c r="AC614" s="32" t="s">
        <v>333</v>
      </c>
      <c r="AD614" s="32" t="s">
        <v>333</v>
      </c>
      <c r="AE614" s="32" t="s">
        <v>333</v>
      </c>
      <c r="AF614" s="32" t="s">
        <v>344</v>
      </c>
      <c r="AG614" s="32" t="s">
        <v>344</v>
      </c>
      <c r="AH614" s="32" t="s">
        <v>333</v>
      </c>
      <c r="AI614" s="32"/>
      <c r="AJ614" s="32" t="s">
        <v>1244</v>
      </c>
      <c r="AK614" s="32" t="s">
        <v>348</v>
      </c>
      <c r="AL614" s="32" t="s">
        <v>2005</v>
      </c>
      <c r="AM614" s="32" t="s">
        <v>1941</v>
      </c>
      <c r="AN614" s="16"/>
      <c r="AO614" s="21">
        <v>2.0</v>
      </c>
    </row>
    <row r="615" ht="15.75" customHeight="1">
      <c r="A615" s="32" t="s">
        <v>4297</v>
      </c>
      <c r="B615" s="32" t="s">
        <v>399</v>
      </c>
      <c r="C615" s="32" t="s">
        <v>400</v>
      </c>
      <c r="D615" s="32" t="s">
        <v>401</v>
      </c>
      <c r="E615" s="32" t="s">
        <v>49</v>
      </c>
      <c r="F615" s="32" t="s">
        <v>402</v>
      </c>
      <c r="G615" s="32" t="s">
        <v>4298</v>
      </c>
      <c r="H615" s="32" t="s">
        <v>407</v>
      </c>
      <c r="I615" s="32" t="s">
        <v>408</v>
      </c>
      <c r="J615" s="32" t="s">
        <v>74</v>
      </c>
      <c r="K615" s="32" t="s">
        <v>55</v>
      </c>
      <c r="L615" s="32" t="s">
        <v>56</v>
      </c>
      <c r="M615" s="32" t="s">
        <v>57</v>
      </c>
      <c r="N615" s="32" t="s">
        <v>333</v>
      </c>
      <c r="O615" s="32" t="s">
        <v>1586</v>
      </c>
      <c r="P615" s="32"/>
      <c r="Q615" s="32" t="s">
        <v>59</v>
      </c>
      <c r="R615" s="32" t="s">
        <v>333</v>
      </c>
      <c r="S615" s="32" t="s">
        <v>333</v>
      </c>
      <c r="T615" s="32" t="s">
        <v>275</v>
      </c>
      <c r="U615" s="32"/>
      <c r="V615" s="32" t="s">
        <v>344</v>
      </c>
      <c r="W615" s="32" t="s">
        <v>333</v>
      </c>
      <c r="X615" s="32" t="s">
        <v>333</v>
      </c>
      <c r="Y615" s="32" t="s">
        <v>333</v>
      </c>
      <c r="Z615" s="32" t="s">
        <v>333</v>
      </c>
      <c r="AA615" s="32" t="s">
        <v>333</v>
      </c>
      <c r="AB615" s="32"/>
      <c r="AC615" s="32" t="s">
        <v>333</v>
      </c>
      <c r="AD615" s="32" t="s">
        <v>333</v>
      </c>
      <c r="AE615" s="32" t="s">
        <v>333</v>
      </c>
      <c r="AF615" s="32" t="s">
        <v>344</v>
      </c>
      <c r="AG615" s="32" t="s">
        <v>344</v>
      </c>
      <c r="AH615" s="32" t="s">
        <v>333</v>
      </c>
      <c r="AI615" s="32"/>
      <c r="AJ615" s="32" t="s">
        <v>1586</v>
      </c>
      <c r="AK615" s="32" t="s">
        <v>1245</v>
      </c>
      <c r="AL615" s="32" t="s">
        <v>1586</v>
      </c>
      <c r="AM615" s="32" t="s">
        <v>349</v>
      </c>
      <c r="AN615" s="16"/>
      <c r="AO615" s="21">
        <v>2.0</v>
      </c>
    </row>
    <row r="616" ht="15.75" customHeight="1">
      <c r="A616" s="32" t="s">
        <v>4300</v>
      </c>
      <c r="B616" s="32" t="s">
        <v>128</v>
      </c>
      <c r="C616" s="32" t="s">
        <v>129</v>
      </c>
      <c r="D616" s="32" t="s">
        <v>130</v>
      </c>
      <c r="E616" s="32" t="s">
        <v>49</v>
      </c>
      <c r="F616" s="32" t="s">
        <v>131</v>
      </c>
      <c r="G616" s="32" t="s">
        <v>427</v>
      </c>
      <c r="H616" s="32" t="s">
        <v>142</v>
      </c>
      <c r="I616" s="32" t="s">
        <v>144</v>
      </c>
      <c r="J616" s="32" t="s">
        <v>74</v>
      </c>
      <c r="K616" s="32" t="s">
        <v>55</v>
      </c>
      <c r="L616" s="32" t="s">
        <v>56</v>
      </c>
      <c r="M616" s="32" t="s">
        <v>57</v>
      </c>
      <c r="N616" s="32" t="s">
        <v>333</v>
      </c>
      <c r="O616" s="32" t="s">
        <v>2005</v>
      </c>
      <c r="P616" s="32" t="s">
        <v>2117</v>
      </c>
      <c r="Q616" s="32" t="s">
        <v>59</v>
      </c>
      <c r="R616" s="32" t="s">
        <v>333</v>
      </c>
      <c r="S616" s="32" t="s">
        <v>333</v>
      </c>
      <c r="T616" s="32" t="s">
        <v>4301</v>
      </c>
      <c r="U616" s="32"/>
      <c r="V616" s="32" t="s">
        <v>344</v>
      </c>
      <c r="W616" s="32" t="s">
        <v>333</v>
      </c>
      <c r="X616" s="32" t="s">
        <v>333</v>
      </c>
      <c r="Y616" s="32" t="s">
        <v>333</v>
      </c>
      <c r="Z616" s="32" t="s">
        <v>333</v>
      </c>
      <c r="AA616" s="32" t="s">
        <v>333</v>
      </c>
      <c r="AB616" s="32"/>
      <c r="AC616" s="32" t="s">
        <v>333</v>
      </c>
      <c r="AD616" s="32" t="s">
        <v>333</v>
      </c>
      <c r="AE616" s="32" t="s">
        <v>333</v>
      </c>
      <c r="AF616" s="32" t="s">
        <v>344</v>
      </c>
      <c r="AG616" s="32" t="s">
        <v>344</v>
      </c>
      <c r="AH616" s="32" t="s">
        <v>333</v>
      </c>
      <c r="AI616" s="32"/>
      <c r="AJ616" s="32" t="s">
        <v>347</v>
      </c>
      <c r="AK616" s="32" t="s">
        <v>348</v>
      </c>
      <c r="AL616" s="32" t="s">
        <v>2005</v>
      </c>
      <c r="AM616" s="32" t="s">
        <v>2117</v>
      </c>
      <c r="AN616" s="16"/>
      <c r="AO616" s="21">
        <v>2.0</v>
      </c>
    </row>
    <row r="617" ht="15.75" customHeight="1">
      <c r="A617" s="32" t="s">
        <v>347</v>
      </c>
      <c r="B617" s="32" t="s">
        <v>93</v>
      </c>
      <c r="C617" s="32" t="s">
        <v>94</v>
      </c>
      <c r="D617" s="32" t="s">
        <v>95</v>
      </c>
      <c r="E617" s="32" t="s">
        <v>49</v>
      </c>
      <c r="F617" s="32" t="s">
        <v>4303</v>
      </c>
      <c r="G617" s="32" t="s">
        <v>439</v>
      </c>
      <c r="H617" s="32" t="s">
        <v>107</v>
      </c>
      <c r="I617" s="32" t="s">
        <v>109</v>
      </c>
      <c r="J617" s="32" t="s">
        <v>74</v>
      </c>
      <c r="K617" s="32" t="s">
        <v>55</v>
      </c>
      <c r="L617" s="32" t="s">
        <v>56</v>
      </c>
      <c r="M617" s="32" t="s">
        <v>57</v>
      </c>
      <c r="N617" s="32" t="s">
        <v>333</v>
      </c>
      <c r="O617" s="32" t="s">
        <v>1556</v>
      </c>
      <c r="P617" s="32"/>
      <c r="Q617" s="32" t="s">
        <v>59</v>
      </c>
      <c r="R617" s="32" t="s">
        <v>333</v>
      </c>
      <c r="S617" s="32" t="s">
        <v>333</v>
      </c>
      <c r="T617" s="32"/>
      <c r="U617" s="32"/>
      <c r="V617" s="32" t="s">
        <v>344</v>
      </c>
      <c r="W617" s="32" t="s">
        <v>333</v>
      </c>
      <c r="X617" s="32" t="s">
        <v>333</v>
      </c>
      <c r="Y617" s="32" t="s">
        <v>333</v>
      </c>
      <c r="Z617" s="32" t="s">
        <v>333</v>
      </c>
      <c r="AA617" s="32" t="s">
        <v>333</v>
      </c>
      <c r="AB617" s="32"/>
      <c r="AC617" s="32" t="s">
        <v>333</v>
      </c>
      <c r="AD617" s="32" t="s">
        <v>333</v>
      </c>
      <c r="AE617" s="32" t="s">
        <v>333</v>
      </c>
      <c r="AF617" s="32" t="s">
        <v>344</v>
      </c>
      <c r="AG617" s="32" t="s">
        <v>344</v>
      </c>
      <c r="AH617" s="32" t="s">
        <v>333</v>
      </c>
      <c r="AI617" s="32"/>
      <c r="AJ617" s="32" t="s">
        <v>1244</v>
      </c>
      <c r="AK617" s="32" t="s">
        <v>2217</v>
      </c>
      <c r="AL617" s="32" t="s">
        <v>1556</v>
      </c>
      <c r="AM617" s="32" t="s">
        <v>349</v>
      </c>
      <c r="AN617" s="16"/>
      <c r="AO617" s="21">
        <v>2.0</v>
      </c>
    </row>
    <row r="618" ht="15.75" customHeight="1">
      <c r="A618" s="32" t="s">
        <v>4306</v>
      </c>
      <c r="B618" s="32" t="s">
        <v>619</v>
      </c>
      <c r="C618" s="32" t="s">
        <v>620</v>
      </c>
      <c r="D618" s="32" t="s">
        <v>621</v>
      </c>
      <c r="E618" s="32" t="s">
        <v>49</v>
      </c>
      <c r="F618" s="32" t="s">
        <v>622</v>
      </c>
      <c r="G618" s="32" t="s">
        <v>4308</v>
      </c>
      <c r="H618" s="32" t="s">
        <v>626</v>
      </c>
      <c r="I618" s="32" t="s">
        <v>627</v>
      </c>
      <c r="J618" s="32" t="s">
        <v>74</v>
      </c>
      <c r="K618" s="32" t="s">
        <v>55</v>
      </c>
      <c r="L618" s="32" t="s">
        <v>56</v>
      </c>
      <c r="M618" s="32" t="s">
        <v>57</v>
      </c>
      <c r="N618" s="32" t="s">
        <v>333</v>
      </c>
      <c r="O618" s="32" t="s">
        <v>1245</v>
      </c>
      <c r="P618" s="32"/>
      <c r="Q618" s="32" t="s">
        <v>59</v>
      </c>
      <c r="R618" s="32" t="s">
        <v>333</v>
      </c>
      <c r="S618" s="32" t="s">
        <v>333</v>
      </c>
      <c r="T618" s="32"/>
      <c r="U618" s="32"/>
      <c r="V618" s="32" t="s">
        <v>344</v>
      </c>
      <c r="W618" s="32" t="s">
        <v>333</v>
      </c>
      <c r="X618" s="32" t="s">
        <v>333</v>
      </c>
      <c r="Y618" s="32" t="s">
        <v>333</v>
      </c>
      <c r="Z618" s="32" t="s">
        <v>333</v>
      </c>
      <c r="AA618" s="32" t="s">
        <v>333</v>
      </c>
      <c r="AB618" s="32"/>
      <c r="AC618" s="32" t="s">
        <v>333</v>
      </c>
      <c r="AD618" s="32" t="s">
        <v>333</v>
      </c>
      <c r="AE618" s="32" t="s">
        <v>333</v>
      </c>
      <c r="AF618" s="32" t="s">
        <v>344</v>
      </c>
      <c r="AG618" s="32" t="s">
        <v>344</v>
      </c>
      <c r="AH618" s="32" t="s">
        <v>333</v>
      </c>
      <c r="AI618" s="32"/>
      <c r="AJ618" s="32" t="s">
        <v>347</v>
      </c>
      <c r="AK618" s="32" t="s">
        <v>1261</v>
      </c>
      <c r="AL618" s="32" t="s">
        <v>1245</v>
      </c>
      <c r="AM618" s="32" t="s">
        <v>349</v>
      </c>
      <c r="AN618" s="16"/>
      <c r="AO618" s="21">
        <v>2.0</v>
      </c>
    </row>
    <row r="619" ht="15.75" customHeight="1">
      <c r="A619" s="32" t="s">
        <v>4309</v>
      </c>
      <c r="B619" s="32" t="s">
        <v>4310</v>
      </c>
      <c r="C619" s="32" t="s">
        <v>4311</v>
      </c>
      <c r="D619" s="32" t="s">
        <v>4312</v>
      </c>
      <c r="E619" s="32" t="s">
        <v>49</v>
      </c>
      <c r="F619" s="32" t="s">
        <v>4314</v>
      </c>
      <c r="G619" s="32" t="s">
        <v>4315</v>
      </c>
      <c r="H619" s="32" t="s">
        <v>142</v>
      </c>
      <c r="I619" s="32" t="s">
        <v>144</v>
      </c>
      <c r="J619" s="32" t="s">
        <v>74</v>
      </c>
      <c r="K619" s="32" t="s">
        <v>55</v>
      </c>
      <c r="L619" s="32" t="s">
        <v>56</v>
      </c>
      <c r="M619" s="32" t="s">
        <v>57</v>
      </c>
      <c r="N619" s="32" t="s">
        <v>333</v>
      </c>
      <c r="O619" s="32" t="s">
        <v>1559</v>
      </c>
      <c r="P619" s="32" t="s">
        <v>1920</v>
      </c>
      <c r="Q619" s="32" t="s">
        <v>59</v>
      </c>
      <c r="R619" s="32" t="s">
        <v>333</v>
      </c>
      <c r="S619" s="32" t="s">
        <v>333</v>
      </c>
      <c r="T619" s="32" t="s">
        <v>4316</v>
      </c>
      <c r="U619" s="32"/>
      <c r="V619" s="32" t="s">
        <v>344</v>
      </c>
      <c r="W619" s="32" t="s">
        <v>333</v>
      </c>
      <c r="X619" s="32" t="s">
        <v>333</v>
      </c>
      <c r="Y619" s="32" t="s">
        <v>333</v>
      </c>
      <c r="Z619" s="32" t="s">
        <v>333</v>
      </c>
      <c r="AA619" s="32" t="s">
        <v>333</v>
      </c>
      <c r="AB619" s="32"/>
      <c r="AC619" s="32" t="s">
        <v>333</v>
      </c>
      <c r="AD619" s="32" t="s">
        <v>333</v>
      </c>
      <c r="AE619" s="32" t="s">
        <v>333</v>
      </c>
      <c r="AF619" s="32" t="s">
        <v>344</v>
      </c>
      <c r="AG619" s="32" t="s">
        <v>344</v>
      </c>
      <c r="AH619" s="32" t="s">
        <v>333</v>
      </c>
      <c r="AI619" s="32"/>
      <c r="AJ619" s="32" t="s">
        <v>347</v>
      </c>
      <c r="AK619" s="32" t="s">
        <v>1261</v>
      </c>
      <c r="AL619" s="32" t="s">
        <v>1559</v>
      </c>
      <c r="AM619" s="32" t="s">
        <v>1920</v>
      </c>
      <c r="AN619" s="16"/>
      <c r="AO619" s="21">
        <v>2.0</v>
      </c>
    </row>
    <row r="620" ht="15.75" customHeight="1">
      <c r="A620" s="32" t="s">
        <v>4317</v>
      </c>
      <c r="B620" s="32" t="s">
        <v>4318</v>
      </c>
      <c r="C620" s="32" t="s">
        <v>4319</v>
      </c>
      <c r="D620" s="32" t="s">
        <v>4320</v>
      </c>
      <c r="E620" s="32" t="s">
        <v>49</v>
      </c>
      <c r="F620" s="32" t="s">
        <v>4321</v>
      </c>
      <c r="G620" s="32" t="s">
        <v>4322</v>
      </c>
      <c r="H620" s="32" t="s">
        <v>142</v>
      </c>
      <c r="I620" s="32" t="s">
        <v>144</v>
      </c>
      <c r="J620" s="32" t="s">
        <v>74</v>
      </c>
      <c r="K620" s="32" t="s">
        <v>55</v>
      </c>
      <c r="L620" s="32" t="s">
        <v>56</v>
      </c>
      <c r="M620" s="32" t="s">
        <v>57</v>
      </c>
      <c r="N620" s="32" t="s">
        <v>333</v>
      </c>
      <c r="O620" s="32" t="s">
        <v>1586</v>
      </c>
      <c r="P620" s="32" t="s">
        <v>348</v>
      </c>
      <c r="Q620" s="32" t="s">
        <v>59</v>
      </c>
      <c r="R620" s="32" t="s">
        <v>333</v>
      </c>
      <c r="S620" s="32" t="s">
        <v>333</v>
      </c>
      <c r="T620" s="32" t="s">
        <v>4326</v>
      </c>
      <c r="U620" s="32"/>
      <c r="V620" s="32" t="s">
        <v>344</v>
      </c>
      <c r="W620" s="32" t="s">
        <v>333</v>
      </c>
      <c r="X620" s="32" t="s">
        <v>333</v>
      </c>
      <c r="Y620" s="32" t="s">
        <v>333</v>
      </c>
      <c r="Z620" s="32" t="s">
        <v>333</v>
      </c>
      <c r="AA620" s="32" t="s">
        <v>333</v>
      </c>
      <c r="AB620" s="32"/>
      <c r="AC620" s="32" t="s">
        <v>333</v>
      </c>
      <c r="AD620" s="32" t="s">
        <v>333</v>
      </c>
      <c r="AE620" s="32" t="s">
        <v>333</v>
      </c>
      <c r="AF620" s="32" t="s">
        <v>344</v>
      </c>
      <c r="AG620" s="32" t="s">
        <v>344</v>
      </c>
      <c r="AH620" s="32" t="s">
        <v>333</v>
      </c>
      <c r="AI620" s="32"/>
      <c r="AJ620" s="32" t="s">
        <v>1587</v>
      </c>
      <c r="AK620" s="32" t="s">
        <v>1682</v>
      </c>
      <c r="AL620" s="32" t="s">
        <v>1586</v>
      </c>
      <c r="AM620" s="32" t="s">
        <v>348</v>
      </c>
      <c r="AN620" s="16"/>
      <c r="AO620" s="21">
        <v>2.0</v>
      </c>
    </row>
    <row r="621" ht="15.75" customHeight="1">
      <c r="A621" s="32" t="s">
        <v>4327</v>
      </c>
      <c r="B621" s="32" t="s">
        <v>1771</v>
      </c>
      <c r="C621" s="32" t="s">
        <v>1772</v>
      </c>
      <c r="D621" s="32" t="s">
        <v>1774</v>
      </c>
      <c r="E621" s="32" t="s">
        <v>49</v>
      </c>
      <c r="F621" s="32" t="s">
        <v>4328</v>
      </c>
      <c r="G621" s="32" t="s">
        <v>1776</v>
      </c>
      <c r="H621" s="32" t="s">
        <v>123</v>
      </c>
      <c r="I621" s="32" t="s">
        <v>124</v>
      </c>
      <c r="J621" s="32" t="s">
        <v>74</v>
      </c>
      <c r="K621" s="32" t="s">
        <v>55</v>
      </c>
      <c r="L621" s="32" t="s">
        <v>56</v>
      </c>
      <c r="M621" s="32" t="s">
        <v>57</v>
      </c>
      <c r="N621" s="32" t="s">
        <v>333</v>
      </c>
      <c r="O621" s="32" t="s">
        <v>1941</v>
      </c>
      <c r="P621" s="32" t="s">
        <v>1867</v>
      </c>
      <c r="Q621" s="32" t="s">
        <v>59</v>
      </c>
      <c r="R621" s="32" t="s">
        <v>333</v>
      </c>
      <c r="S621" s="32" t="s">
        <v>333</v>
      </c>
      <c r="T621" s="32" t="s">
        <v>1778</v>
      </c>
      <c r="U621" s="32"/>
      <c r="V621" s="32" t="s">
        <v>344</v>
      </c>
      <c r="W621" s="32" t="s">
        <v>333</v>
      </c>
      <c r="X621" s="32" t="s">
        <v>333</v>
      </c>
      <c r="Y621" s="32" t="s">
        <v>333</v>
      </c>
      <c r="Z621" s="32" t="s">
        <v>333</v>
      </c>
      <c r="AA621" s="32" t="s">
        <v>333</v>
      </c>
      <c r="AB621" s="32"/>
      <c r="AC621" s="32" t="s">
        <v>333</v>
      </c>
      <c r="AD621" s="32" t="s">
        <v>333</v>
      </c>
      <c r="AE621" s="32" t="s">
        <v>333</v>
      </c>
      <c r="AF621" s="32" t="s">
        <v>344</v>
      </c>
      <c r="AG621" s="32" t="s">
        <v>344</v>
      </c>
      <c r="AH621" s="32" t="s">
        <v>333</v>
      </c>
      <c r="AI621" s="32"/>
      <c r="AJ621" s="32" t="s">
        <v>1244</v>
      </c>
      <c r="AK621" s="32" t="s">
        <v>1586</v>
      </c>
      <c r="AL621" s="32" t="s">
        <v>1941</v>
      </c>
      <c r="AM621" s="32" t="s">
        <v>1867</v>
      </c>
      <c r="AN621" s="16"/>
      <c r="AO621" s="21">
        <v>2.0</v>
      </c>
    </row>
    <row r="622" ht="15.75" customHeight="1">
      <c r="A622" s="32" t="s">
        <v>4330</v>
      </c>
      <c r="B622" s="32" t="s">
        <v>1375</v>
      </c>
      <c r="C622" s="32" t="s">
        <v>1376</v>
      </c>
      <c r="D622" s="32" t="s">
        <v>1377</v>
      </c>
      <c r="E622" s="32" t="s">
        <v>49</v>
      </c>
      <c r="F622" s="32" t="s">
        <v>2049</v>
      </c>
      <c r="G622" s="32" t="s">
        <v>2050</v>
      </c>
      <c r="H622" s="32" t="s">
        <v>303</v>
      </c>
      <c r="I622" s="32" t="s">
        <v>303</v>
      </c>
      <c r="J622" s="32" t="s">
        <v>74</v>
      </c>
      <c r="K622" s="32" t="s">
        <v>55</v>
      </c>
      <c r="L622" s="32" t="s">
        <v>56</v>
      </c>
      <c r="M622" s="32" t="s">
        <v>57</v>
      </c>
      <c r="N622" s="32" t="s">
        <v>333</v>
      </c>
      <c r="O622" s="32" t="s">
        <v>1867</v>
      </c>
      <c r="P622" s="32" t="s">
        <v>2354</v>
      </c>
      <c r="Q622" s="32" t="s">
        <v>59</v>
      </c>
      <c r="R622" s="32" t="s">
        <v>333</v>
      </c>
      <c r="S622" s="32" t="s">
        <v>333</v>
      </c>
      <c r="T622" s="32" t="s">
        <v>1378</v>
      </c>
      <c r="U622" s="32"/>
      <c r="V622" s="32" t="s">
        <v>344</v>
      </c>
      <c r="W622" s="32" t="s">
        <v>333</v>
      </c>
      <c r="X622" s="32" t="s">
        <v>333</v>
      </c>
      <c r="Y622" s="32" t="s">
        <v>333</v>
      </c>
      <c r="Z622" s="32" t="s">
        <v>333</v>
      </c>
      <c r="AA622" s="32" t="s">
        <v>333</v>
      </c>
      <c r="AB622" s="32"/>
      <c r="AC622" s="32" t="s">
        <v>333</v>
      </c>
      <c r="AD622" s="32" t="s">
        <v>333</v>
      </c>
      <c r="AE622" s="32" t="s">
        <v>333</v>
      </c>
      <c r="AF622" s="32" t="s">
        <v>344</v>
      </c>
      <c r="AG622" s="32" t="s">
        <v>344</v>
      </c>
      <c r="AH622" s="32" t="s">
        <v>333</v>
      </c>
      <c r="AI622" s="32"/>
      <c r="AJ622" s="32" t="s">
        <v>1244</v>
      </c>
      <c r="AK622" s="32" t="s">
        <v>1245</v>
      </c>
      <c r="AL622" s="32" t="s">
        <v>1867</v>
      </c>
      <c r="AM622" s="32" t="s">
        <v>2354</v>
      </c>
      <c r="AN622" s="16"/>
      <c r="AO622" s="21">
        <v>2.0</v>
      </c>
    </row>
    <row r="623" ht="15.75" customHeight="1">
      <c r="A623" s="32" t="s">
        <v>4332</v>
      </c>
      <c r="B623" s="32" t="s">
        <v>1457</v>
      </c>
      <c r="C623" s="32" t="s">
        <v>1458</v>
      </c>
      <c r="D623" s="32" t="s">
        <v>1459</v>
      </c>
      <c r="E623" s="32" t="s">
        <v>49</v>
      </c>
      <c r="F623" s="32" t="s">
        <v>4333</v>
      </c>
      <c r="G623" s="32" t="s">
        <v>4334</v>
      </c>
      <c r="H623" s="32" t="s">
        <v>1464</v>
      </c>
      <c r="I623" s="32" t="s">
        <v>1465</v>
      </c>
      <c r="J623" s="32" t="s">
        <v>74</v>
      </c>
      <c r="K623" s="32" t="s">
        <v>55</v>
      </c>
      <c r="L623" s="32" t="s">
        <v>56</v>
      </c>
      <c r="M623" s="32" t="s">
        <v>57</v>
      </c>
      <c r="N623" s="32" t="s">
        <v>333</v>
      </c>
      <c r="O623" s="32" t="s">
        <v>2019</v>
      </c>
      <c r="P623" s="32" t="s">
        <v>1902</v>
      </c>
      <c r="Q623" s="32" t="s">
        <v>59</v>
      </c>
      <c r="R623" s="32" t="s">
        <v>333</v>
      </c>
      <c r="S623" s="32" t="s">
        <v>333</v>
      </c>
      <c r="T623" s="32" t="s">
        <v>4335</v>
      </c>
      <c r="U623" s="32" t="s">
        <v>4336</v>
      </c>
      <c r="V623" s="32" t="s">
        <v>344</v>
      </c>
      <c r="W623" s="32" t="s">
        <v>333</v>
      </c>
      <c r="X623" s="32" t="s">
        <v>333</v>
      </c>
      <c r="Y623" s="32" t="s">
        <v>333</v>
      </c>
      <c r="Z623" s="32" t="s">
        <v>333</v>
      </c>
      <c r="AA623" s="32" t="s">
        <v>333</v>
      </c>
      <c r="AB623" s="32"/>
      <c r="AC623" s="32" t="s">
        <v>333</v>
      </c>
      <c r="AD623" s="32" t="s">
        <v>333</v>
      </c>
      <c r="AE623" s="32" t="s">
        <v>333</v>
      </c>
      <c r="AF623" s="32" t="s">
        <v>344</v>
      </c>
      <c r="AG623" s="32" t="s">
        <v>344</v>
      </c>
      <c r="AH623" s="32" t="s">
        <v>333</v>
      </c>
      <c r="AI623" s="32"/>
      <c r="AJ623" s="32" t="s">
        <v>1595</v>
      </c>
      <c r="AK623" s="32" t="s">
        <v>1673</v>
      </c>
      <c r="AL623" s="32" t="s">
        <v>2019</v>
      </c>
      <c r="AM623" s="32" t="s">
        <v>1902</v>
      </c>
      <c r="AN623" s="16"/>
      <c r="AO623" s="21">
        <v>2.0</v>
      </c>
    </row>
    <row r="624" ht="15.75" customHeight="1">
      <c r="A624" s="32" t="s">
        <v>4338</v>
      </c>
      <c r="B624" s="32" t="s">
        <v>1156</v>
      </c>
      <c r="C624" s="32" t="s">
        <v>1157</v>
      </c>
      <c r="D624" s="32" t="s">
        <v>1158</v>
      </c>
      <c r="E624" s="32" t="s">
        <v>49</v>
      </c>
      <c r="F624" s="32" t="s">
        <v>4339</v>
      </c>
      <c r="G624" s="32" t="s">
        <v>4340</v>
      </c>
      <c r="H624" s="32" t="s">
        <v>1091</v>
      </c>
      <c r="I624" s="32" t="s">
        <v>1092</v>
      </c>
      <c r="J624" s="32" t="s">
        <v>74</v>
      </c>
      <c r="K624" s="32" t="s">
        <v>55</v>
      </c>
      <c r="L624" s="32" t="s">
        <v>56</v>
      </c>
      <c r="M624" s="32" t="s">
        <v>57</v>
      </c>
      <c r="N624" s="32" t="s">
        <v>333</v>
      </c>
      <c r="O624" s="32" t="s">
        <v>2146</v>
      </c>
      <c r="P624" s="32" t="s">
        <v>2109</v>
      </c>
      <c r="Q624" s="32" t="s">
        <v>59</v>
      </c>
      <c r="R624" s="32" t="s">
        <v>333</v>
      </c>
      <c r="S624" s="32" t="s">
        <v>333</v>
      </c>
      <c r="T624" s="32" t="s">
        <v>1160</v>
      </c>
      <c r="U624" s="32"/>
      <c r="V624" s="32" t="s">
        <v>344</v>
      </c>
      <c r="W624" s="32" t="s">
        <v>333</v>
      </c>
      <c r="X624" s="32" t="s">
        <v>333</v>
      </c>
      <c r="Y624" s="32" t="s">
        <v>333</v>
      </c>
      <c r="Z624" s="32" t="s">
        <v>333</v>
      </c>
      <c r="AA624" s="32" t="s">
        <v>333</v>
      </c>
      <c r="AB624" s="32"/>
      <c r="AC624" s="32" t="s">
        <v>333</v>
      </c>
      <c r="AD624" s="32" t="s">
        <v>333</v>
      </c>
      <c r="AE624" s="32" t="s">
        <v>333</v>
      </c>
      <c r="AF624" s="32" t="s">
        <v>344</v>
      </c>
      <c r="AG624" s="32" t="s">
        <v>344</v>
      </c>
      <c r="AH624" s="32" t="s">
        <v>333</v>
      </c>
      <c r="AI624" s="32"/>
      <c r="AJ624" s="32" t="s">
        <v>1244</v>
      </c>
      <c r="AK624" s="32" t="s">
        <v>1245</v>
      </c>
      <c r="AL624" s="32" t="s">
        <v>2146</v>
      </c>
      <c r="AM624" s="32" t="s">
        <v>2109</v>
      </c>
      <c r="AN624" s="16"/>
      <c r="AO624" s="21">
        <v>2.0</v>
      </c>
    </row>
    <row r="625" ht="15.75" customHeight="1">
      <c r="A625" s="32" t="s">
        <v>4342</v>
      </c>
      <c r="B625" s="32" t="s">
        <v>1675</v>
      </c>
      <c r="C625" s="32" t="s">
        <v>1676</v>
      </c>
      <c r="D625" s="32" t="s">
        <v>1678</v>
      </c>
      <c r="E625" s="32" t="s">
        <v>49</v>
      </c>
      <c r="F625" s="32" t="s">
        <v>4345</v>
      </c>
      <c r="G625" s="32" t="s">
        <v>4346</v>
      </c>
      <c r="H625" s="32" t="s">
        <v>1464</v>
      </c>
      <c r="I625" s="32" t="s">
        <v>1465</v>
      </c>
      <c r="J625" s="32" t="s">
        <v>74</v>
      </c>
      <c r="K625" s="32" t="s">
        <v>55</v>
      </c>
      <c r="L625" s="32" t="s">
        <v>56</v>
      </c>
      <c r="M625" s="32" t="s">
        <v>57</v>
      </c>
      <c r="N625" s="32" t="s">
        <v>333</v>
      </c>
      <c r="O625" s="32" t="s">
        <v>1559</v>
      </c>
      <c r="P625" s="32" t="s">
        <v>2005</v>
      </c>
      <c r="Q625" s="32" t="s">
        <v>59</v>
      </c>
      <c r="R625" s="32" t="s">
        <v>333</v>
      </c>
      <c r="S625" s="32" t="s">
        <v>333</v>
      </c>
      <c r="T625" s="32"/>
      <c r="U625" s="32"/>
      <c r="V625" s="32" t="s">
        <v>344</v>
      </c>
      <c r="W625" s="32" t="s">
        <v>333</v>
      </c>
      <c r="X625" s="32" t="s">
        <v>333</v>
      </c>
      <c r="Y625" s="32" t="s">
        <v>333</v>
      </c>
      <c r="Z625" s="32" t="s">
        <v>333</v>
      </c>
      <c r="AA625" s="32" t="s">
        <v>333</v>
      </c>
      <c r="AB625" s="32"/>
      <c r="AC625" s="32" t="s">
        <v>333</v>
      </c>
      <c r="AD625" s="32" t="s">
        <v>333</v>
      </c>
      <c r="AE625" s="32" t="s">
        <v>333</v>
      </c>
      <c r="AF625" s="32" t="s">
        <v>344</v>
      </c>
      <c r="AG625" s="32" t="s">
        <v>344</v>
      </c>
      <c r="AH625" s="32" t="s">
        <v>333</v>
      </c>
      <c r="AI625" s="32"/>
      <c r="AJ625" s="32" t="s">
        <v>347</v>
      </c>
      <c r="AK625" s="32" t="s">
        <v>2052</v>
      </c>
      <c r="AL625" s="32" t="s">
        <v>1559</v>
      </c>
      <c r="AM625" s="32" t="s">
        <v>2005</v>
      </c>
      <c r="AN625" s="16"/>
      <c r="AO625" s="21">
        <v>2.0</v>
      </c>
    </row>
    <row r="626" ht="15.75" customHeight="1">
      <c r="A626" s="32" t="s">
        <v>4347</v>
      </c>
      <c r="B626" s="32" t="s">
        <v>4348</v>
      </c>
      <c r="C626" s="32" t="s">
        <v>4349</v>
      </c>
      <c r="D626" s="32" t="s">
        <v>4351</v>
      </c>
      <c r="E626" s="32" t="s">
        <v>49</v>
      </c>
      <c r="F626" s="32" t="s">
        <v>4352</v>
      </c>
      <c r="G626" s="32" t="s">
        <v>4353</v>
      </c>
      <c r="H626" s="32" t="s">
        <v>3560</v>
      </c>
      <c r="I626" s="32" t="s">
        <v>3561</v>
      </c>
      <c r="J626" s="32" t="s">
        <v>74</v>
      </c>
      <c r="K626" s="32" t="s">
        <v>55</v>
      </c>
      <c r="L626" s="32" t="s">
        <v>56</v>
      </c>
      <c r="M626" s="32" t="s">
        <v>57</v>
      </c>
      <c r="N626" s="32" t="s">
        <v>333</v>
      </c>
      <c r="O626" s="32" t="s">
        <v>1244</v>
      </c>
      <c r="P626" s="32" t="s">
        <v>1244</v>
      </c>
      <c r="Q626" s="32" t="s">
        <v>59</v>
      </c>
      <c r="R626" s="32" t="s">
        <v>333</v>
      </c>
      <c r="S626" s="32" t="s">
        <v>333</v>
      </c>
      <c r="T626" s="32"/>
      <c r="U626" s="32"/>
      <c r="V626" s="32" t="s">
        <v>344</v>
      </c>
      <c r="W626" s="32" t="s">
        <v>333</v>
      </c>
      <c r="X626" s="32" t="s">
        <v>333</v>
      </c>
      <c r="Y626" s="32" t="s">
        <v>333</v>
      </c>
      <c r="Z626" s="32" t="s">
        <v>333</v>
      </c>
      <c r="AA626" s="32" t="s">
        <v>333</v>
      </c>
      <c r="AB626" s="32"/>
      <c r="AC626" s="32" t="s">
        <v>333</v>
      </c>
      <c r="AD626" s="32" t="s">
        <v>333</v>
      </c>
      <c r="AE626" s="32" t="s">
        <v>333</v>
      </c>
      <c r="AF626" s="32" t="s">
        <v>344</v>
      </c>
      <c r="AG626" s="32" t="s">
        <v>344</v>
      </c>
      <c r="AH626" s="32" t="s">
        <v>333</v>
      </c>
      <c r="AI626" s="32"/>
      <c r="AJ626" s="32" t="s">
        <v>1596</v>
      </c>
      <c r="AK626" s="32" t="s">
        <v>1245</v>
      </c>
      <c r="AL626" s="32" t="s">
        <v>1244</v>
      </c>
      <c r="AM626" s="32" t="s">
        <v>1244</v>
      </c>
      <c r="AN626" s="16"/>
      <c r="AO626" s="21">
        <v>2.0</v>
      </c>
    </row>
    <row r="627" ht="15.75" customHeight="1">
      <c r="A627" s="32" t="s">
        <v>4354</v>
      </c>
      <c r="B627" s="32" t="s">
        <v>1875</v>
      </c>
      <c r="C627" s="32" t="s">
        <v>1876</v>
      </c>
      <c r="D627" s="32" t="s">
        <v>1877</v>
      </c>
      <c r="E627" s="32" t="s">
        <v>49</v>
      </c>
      <c r="F627" s="32" t="s">
        <v>4355</v>
      </c>
      <c r="G627" s="32" t="s">
        <v>1880</v>
      </c>
      <c r="H627" s="32" t="s">
        <v>303</v>
      </c>
      <c r="I627" s="32" t="s">
        <v>303</v>
      </c>
      <c r="J627" s="32" t="s">
        <v>74</v>
      </c>
      <c r="K627" s="32" t="s">
        <v>55</v>
      </c>
      <c r="L627" s="32" t="s">
        <v>56</v>
      </c>
      <c r="M627" s="32" t="s">
        <v>57</v>
      </c>
      <c r="N627" s="32" t="s">
        <v>333</v>
      </c>
      <c r="O627" s="32" t="s">
        <v>2005</v>
      </c>
      <c r="P627" s="32" t="s">
        <v>348</v>
      </c>
      <c r="Q627" s="32" t="s">
        <v>59</v>
      </c>
      <c r="R627" s="32" t="s">
        <v>333</v>
      </c>
      <c r="S627" s="32" t="s">
        <v>333</v>
      </c>
      <c r="T627" s="32" t="s">
        <v>948</v>
      </c>
      <c r="U627" s="32"/>
      <c r="V627" s="32" t="s">
        <v>344</v>
      </c>
      <c r="W627" s="32" t="s">
        <v>333</v>
      </c>
      <c r="X627" s="32" t="s">
        <v>333</v>
      </c>
      <c r="Y627" s="32" t="s">
        <v>333</v>
      </c>
      <c r="Z627" s="32" t="s">
        <v>333</v>
      </c>
      <c r="AA627" s="32" t="s">
        <v>333</v>
      </c>
      <c r="AB627" s="32"/>
      <c r="AC627" s="32" t="s">
        <v>333</v>
      </c>
      <c r="AD627" s="32" t="s">
        <v>333</v>
      </c>
      <c r="AE627" s="32" t="s">
        <v>333</v>
      </c>
      <c r="AF627" s="32" t="s">
        <v>344</v>
      </c>
      <c r="AG627" s="32" t="s">
        <v>344</v>
      </c>
      <c r="AH627" s="32" t="s">
        <v>333</v>
      </c>
      <c r="AI627" s="32"/>
      <c r="AJ627" s="32" t="s">
        <v>349</v>
      </c>
      <c r="AK627" s="32" t="s">
        <v>349</v>
      </c>
      <c r="AL627" s="32" t="s">
        <v>2005</v>
      </c>
      <c r="AM627" s="32" t="s">
        <v>348</v>
      </c>
      <c r="AN627" s="16"/>
      <c r="AO627" s="21">
        <v>2.0</v>
      </c>
    </row>
    <row r="628" ht="15.75" customHeight="1">
      <c r="A628" s="32" t="s">
        <v>4357</v>
      </c>
      <c r="B628" s="32" t="s">
        <v>1611</v>
      </c>
      <c r="C628" s="32" t="s">
        <v>1612</v>
      </c>
      <c r="D628" s="32" t="s">
        <v>1613</v>
      </c>
      <c r="E628" s="32" t="s">
        <v>49</v>
      </c>
      <c r="F628" s="32" t="s">
        <v>4358</v>
      </c>
      <c r="G628" s="32" t="s">
        <v>4359</v>
      </c>
      <c r="H628" s="32" t="s">
        <v>123</v>
      </c>
      <c r="I628" s="32" t="s">
        <v>124</v>
      </c>
      <c r="J628" s="32" t="s">
        <v>74</v>
      </c>
      <c r="K628" s="32" t="s">
        <v>55</v>
      </c>
      <c r="L628" s="32" t="s">
        <v>56</v>
      </c>
      <c r="M628" s="32" t="s">
        <v>57</v>
      </c>
      <c r="N628" s="32" t="s">
        <v>333</v>
      </c>
      <c r="O628" s="32" t="s">
        <v>1564</v>
      </c>
      <c r="P628" s="32" t="s">
        <v>3419</v>
      </c>
      <c r="Q628" s="32" t="s">
        <v>59</v>
      </c>
      <c r="R628" s="32" t="s">
        <v>333</v>
      </c>
      <c r="S628" s="32" t="s">
        <v>333</v>
      </c>
      <c r="T628" s="32" t="s">
        <v>948</v>
      </c>
      <c r="U628" s="32"/>
      <c r="V628" s="32" t="s">
        <v>344</v>
      </c>
      <c r="W628" s="32" t="s">
        <v>333</v>
      </c>
      <c r="X628" s="32" t="s">
        <v>333</v>
      </c>
      <c r="Y628" s="32" t="s">
        <v>333</v>
      </c>
      <c r="Z628" s="32" t="s">
        <v>333</v>
      </c>
      <c r="AA628" s="32" t="s">
        <v>333</v>
      </c>
      <c r="AB628" s="32"/>
      <c r="AC628" s="32" t="s">
        <v>333</v>
      </c>
      <c r="AD628" s="32" t="s">
        <v>333</v>
      </c>
      <c r="AE628" s="32" t="s">
        <v>333</v>
      </c>
      <c r="AF628" s="32" t="s">
        <v>344</v>
      </c>
      <c r="AG628" s="32" t="s">
        <v>344</v>
      </c>
      <c r="AH628" s="32" t="s">
        <v>333</v>
      </c>
      <c r="AI628" s="32"/>
      <c r="AJ628" s="32" t="s">
        <v>347</v>
      </c>
      <c r="AK628" s="32" t="s">
        <v>348</v>
      </c>
      <c r="AL628" s="32" t="s">
        <v>1564</v>
      </c>
      <c r="AM628" s="32" t="s">
        <v>3419</v>
      </c>
      <c r="AN628" s="16"/>
      <c r="AO628" s="21">
        <v>2.0</v>
      </c>
    </row>
    <row r="629" ht="15.75" customHeight="1">
      <c r="A629" s="32" t="s">
        <v>4361</v>
      </c>
      <c r="B629" s="32" t="s">
        <v>3424</v>
      </c>
      <c r="C629" s="32" t="s">
        <v>3425</v>
      </c>
      <c r="D629" s="32" t="s">
        <v>3426</v>
      </c>
      <c r="E629" s="32" t="s">
        <v>49</v>
      </c>
      <c r="F629" s="32" t="s">
        <v>4324</v>
      </c>
      <c r="G629" s="32" t="s">
        <v>4362</v>
      </c>
      <c r="H629" s="32" t="s">
        <v>727</v>
      </c>
      <c r="I629" s="32" t="s">
        <v>729</v>
      </c>
      <c r="J629" s="32" t="s">
        <v>74</v>
      </c>
      <c r="K629" s="32" t="s">
        <v>55</v>
      </c>
      <c r="L629" s="32" t="s">
        <v>56</v>
      </c>
      <c r="M629" s="32" t="s">
        <v>57</v>
      </c>
      <c r="N629" s="32" t="s">
        <v>333</v>
      </c>
      <c r="O629" s="32" t="s">
        <v>334</v>
      </c>
      <c r="P629" s="32" t="s">
        <v>335</v>
      </c>
      <c r="Q629" s="32" t="s">
        <v>59</v>
      </c>
      <c r="R629" s="32" t="s">
        <v>333</v>
      </c>
      <c r="S629" s="32" t="s">
        <v>333</v>
      </c>
      <c r="T629" s="32" t="s">
        <v>275</v>
      </c>
      <c r="U629" s="32"/>
      <c r="V629" s="32" t="s">
        <v>344</v>
      </c>
      <c r="W629" s="32" t="s">
        <v>333</v>
      </c>
      <c r="X629" s="32" t="s">
        <v>333</v>
      </c>
      <c r="Y629" s="32" t="s">
        <v>333</v>
      </c>
      <c r="Z629" s="32" t="s">
        <v>333</v>
      </c>
      <c r="AA629" s="32" t="s">
        <v>333</v>
      </c>
      <c r="AB629" s="32"/>
      <c r="AC629" s="32" t="s">
        <v>333</v>
      </c>
      <c r="AD629" s="32" t="s">
        <v>333</v>
      </c>
      <c r="AE629" s="32" t="s">
        <v>333</v>
      </c>
      <c r="AF629" s="32" t="s">
        <v>344</v>
      </c>
      <c r="AG629" s="32" t="s">
        <v>344</v>
      </c>
      <c r="AH629" s="32" t="s">
        <v>333</v>
      </c>
      <c r="AI629" s="32"/>
      <c r="AJ629" s="32" t="s">
        <v>1244</v>
      </c>
      <c r="AK629" s="32" t="s">
        <v>1673</v>
      </c>
      <c r="AL629" s="32" t="s">
        <v>334</v>
      </c>
      <c r="AM629" s="32" t="s">
        <v>335</v>
      </c>
      <c r="AN629" s="16"/>
      <c r="AO629" s="21">
        <v>2.0</v>
      </c>
    </row>
    <row r="630" ht="15.75" customHeight="1">
      <c r="A630" s="32" t="s">
        <v>4364</v>
      </c>
      <c r="B630" s="32" t="s">
        <v>4270</v>
      </c>
      <c r="C630" s="32" t="s">
        <v>4271</v>
      </c>
      <c r="D630" s="32" t="s">
        <v>3148</v>
      </c>
      <c r="E630" s="32" t="s">
        <v>49</v>
      </c>
      <c r="F630" s="32" t="s">
        <v>4365</v>
      </c>
      <c r="G630" s="32" t="s">
        <v>4366</v>
      </c>
      <c r="H630" s="32" t="s">
        <v>2659</v>
      </c>
      <c r="I630" s="32" t="s">
        <v>2660</v>
      </c>
      <c r="J630" s="32" t="s">
        <v>74</v>
      </c>
      <c r="K630" s="32" t="s">
        <v>55</v>
      </c>
      <c r="L630" s="32" t="s">
        <v>56</v>
      </c>
      <c r="M630" s="32" t="s">
        <v>57</v>
      </c>
      <c r="N630" s="32" t="s">
        <v>333</v>
      </c>
      <c r="O630" s="32" t="s">
        <v>1269</v>
      </c>
      <c r="P630" s="32" t="s">
        <v>1661</v>
      </c>
      <c r="Q630" s="32" t="s">
        <v>59</v>
      </c>
      <c r="R630" s="32" t="s">
        <v>333</v>
      </c>
      <c r="S630" s="32" t="s">
        <v>333</v>
      </c>
      <c r="T630" s="32" t="s">
        <v>275</v>
      </c>
      <c r="U630" s="32"/>
      <c r="V630" s="32" t="s">
        <v>344</v>
      </c>
      <c r="W630" s="32" t="s">
        <v>333</v>
      </c>
      <c r="X630" s="32" t="s">
        <v>333</v>
      </c>
      <c r="Y630" s="32" t="s">
        <v>333</v>
      </c>
      <c r="Z630" s="32" t="s">
        <v>333</v>
      </c>
      <c r="AA630" s="32" t="s">
        <v>333</v>
      </c>
      <c r="AB630" s="32"/>
      <c r="AC630" s="32" t="s">
        <v>333</v>
      </c>
      <c r="AD630" s="32" t="s">
        <v>333</v>
      </c>
      <c r="AE630" s="32" t="s">
        <v>333</v>
      </c>
      <c r="AF630" s="32" t="s">
        <v>344</v>
      </c>
      <c r="AG630" s="32" t="s">
        <v>344</v>
      </c>
      <c r="AH630" s="32" t="s">
        <v>333</v>
      </c>
      <c r="AI630" s="32"/>
      <c r="AJ630" s="32" t="s">
        <v>1244</v>
      </c>
      <c r="AK630" s="32" t="s">
        <v>1673</v>
      </c>
      <c r="AL630" s="32" t="s">
        <v>1269</v>
      </c>
      <c r="AM630" s="32" t="s">
        <v>1661</v>
      </c>
      <c r="AN630" s="16"/>
      <c r="AO630" s="21">
        <v>2.0</v>
      </c>
    </row>
    <row r="631" ht="15.75" customHeight="1">
      <c r="A631" s="32" t="s">
        <v>4369</v>
      </c>
      <c r="B631" s="32" t="s">
        <v>3494</v>
      </c>
      <c r="C631" s="32" t="s">
        <v>3495</v>
      </c>
      <c r="D631" s="32" t="s">
        <v>3496</v>
      </c>
      <c r="E631" s="32" t="s">
        <v>49</v>
      </c>
      <c r="F631" s="32" t="s">
        <v>774</v>
      </c>
      <c r="G631" s="32" t="s">
        <v>4370</v>
      </c>
      <c r="H631" s="32" t="s">
        <v>513</v>
      </c>
      <c r="I631" s="32" t="s">
        <v>514</v>
      </c>
      <c r="J631" s="32" t="s">
        <v>74</v>
      </c>
      <c r="K631" s="32" t="s">
        <v>55</v>
      </c>
      <c r="L631" s="32" t="s">
        <v>56</v>
      </c>
      <c r="M631" s="32" t="s">
        <v>57</v>
      </c>
      <c r="N631" s="32" t="s">
        <v>333</v>
      </c>
      <c r="O631" s="32" t="s">
        <v>1745</v>
      </c>
      <c r="P631" s="32" t="s">
        <v>1571</v>
      </c>
      <c r="Q631" s="32" t="s">
        <v>59</v>
      </c>
      <c r="R631" s="32" t="s">
        <v>333</v>
      </c>
      <c r="S631" s="32" t="s">
        <v>333</v>
      </c>
      <c r="T631" s="32" t="s">
        <v>3499</v>
      </c>
      <c r="U631" s="32"/>
      <c r="V631" s="32" t="s">
        <v>344</v>
      </c>
      <c r="W631" s="32" t="s">
        <v>333</v>
      </c>
      <c r="X631" s="32" t="s">
        <v>333</v>
      </c>
      <c r="Y631" s="32" t="s">
        <v>333</v>
      </c>
      <c r="Z631" s="32" t="s">
        <v>333</v>
      </c>
      <c r="AA631" s="32" t="s">
        <v>333</v>
      </c>
      <c r="AB631" s="32"/>
      <c r="AC631" s="32" t="s">
        <v>333</v>
      </c>
      <c r="AD631" s="32" t="s">
        <v>333</v>
      </c>
      <c r="AE631" s="32" t="s">
        <v>333</v>
      </c>
      <c r="AF631" s="32" t="s">
        <v>344</v>
      </c>
      <c r="AG631" s="32" t="s">
        <v>344</v>
      </c>
      <c r="AH631" s="32" t="s">
        <v>333</v>
      </c>
      <c r="AI631" s="32"/>
      <c r="AJ631" s="32" t="s">
        <v>347</v>
      </c>
      <c r="AK631" s="32" t="s">
        <v>1245</v>
      </c>
      <c r="AL631" s="32" t="s">
        <v>1745</v>
      </c>
      <c r="AM631" s="32" t="s">
        <v>1571</v>
      </c>
      <c r="AN631" s="16"/>
      <c r="AO631" s="21">
        <v>2.0</v>
      </c>
    </row>
    <row r="632" ht="15.75" customHeight="1">
      <c r="A632" s="32" t="s">
        <v>4372</v>
      </c>
      <c r="B632" s="32" t="s">
        <v>3889</v>
      </c>
      <c r="C632" s="32" t="s">
        <v>3890</v>
      </c>
      <c r="D632" s="32" t="s">
        <v>3892</v>
      </c>
      <c r="E632" s="32" t="s">
        <v>49</v>
      </c>
      <c r="F632" s="32" t="s">
        <v>4373</v>
      </c>
      <c r="G632" s="32" t="s">
        <v>3894</v>
      </c>
      <c r="H632" s="32" t="s">
        <v>303</v>
      </c>
      <c r="I632" s="32" t="s">
        <v>303</v>
      </c>
      <c r="J632" s="32" t="s">
        <v>74</v>
      </c>
      <c r="K632" s="32" t="s">
        <v>55</v>
      </c>
      <c r="L632" s="32" t="s">
        <v>56</v>
      </c>
      <c r="M632" s="32" t="s">
        <v>57</v>
      </c>
      <c r="N632" s="32" t="s">
        <v>333</v>
      </c>
      <c r="O632" s="32" t="s">
        <v>1586</v>
      </c>
      <c r="P632" s="32"/>
      <c r="Q632" s="32" t="s">
        <v>59</v>
      </c>
      <c r="R632" s="32" t="s">
        <v>333</v>
      </c>
      <c r="S632" s="32" t="s">
        <v>333</v>
      </c>
      <c r="T632" s="32" t="s">
        <v>275</v>
      </c>
      <c r="U632" s="32"/>
      <c r="V632" s="32" t="s">
        <v>344</v>
      </c>
      <c r="W632" s="32" t="s">
        <v>333</v>
      </c>
      <c r="X632" s="32" t="s">
        <v>333</v>
      </c>
      <c r="Y632" s="32" t="s">
        <v>333</v>
      </c>
      <c r="Z632" s="32" t="s">
        <v>333</v>
      </c>
      <c r="AA632" s="32" t="s">
        <v>333</v>
      </c>
      <c r="AB632" s="32"/>
      <c r="AC632" s="32" t="s">
        <v>333</v>
      </c>
      <c r="AD632" s="32" t="s">
        <v>333</v>
      </c>
      <c r="AE632" s="32" t="s">
        <v>333</v>
      </c>
      <c r="AF632" s="32" t="s">
        <v>344</v>
      </c>
      <c r="AG632" s="32" t="s">
        <v>344</v>
      </c>
      <c r="AH632" s="32" t="s">
        <v>333</v>
      </c>
      <c r="AI632" s="32"/>
      <c r="AJ632" s="32" t="s">
        <v>1595</v>
      </c>
      <c r="AK632" s="32" t="s">
        <v>1245</v>
      </c>
      <c r="AL632" s="32" t="s">
        <v>1586</v>
      </c>
      <c r="AM632" s="32" t="s">
        <v>349</v>
      </c>
      <c r="AN632" s="16"/>
      <c r="AO632" s="21">
        <v>2.0</v>
      </c>
    </row>
    <row r="633" ht="15.75" customHeight="1">
      <c r="A633" s="32" t="s">
        <v>4375</v>
      </c>
      <c r="B633" s="32" t="s">
        <v>3735</v>
      </c>
      <c r="C633" s="32" t="s">
        <v>3736</v>
      </c>
      <c r="D633" s="32" t="s">
        <v>3737</v>
      </c>
      <c r="E633" s="32" t="s">
        <v>49</v>
      </c>
      <c r="F633" s="32" t="s">
        <v>4376</v>
      </c>
      <c r="G633" s="32" t="s">
        <v>4377</v>
      </c>
      <c r="H633" s="32" t="s">
        <v>3742</v>
      </c>
      <c r="I633" s="32" t="s">
        <v>3743</v>
      </c>
      <c r="J633" s="32" t="s">
        <v>74</v>
      </c>
      <c r="K633" s="32" t="s">
        <v>55</v>
      </c>
      <c r="L633" s="32" t="s">
        <v>56</v>
      </c>
      <c r="M633" s="32" t="s">
        <v>57</v>
      </c>
      <c r="N633" s="32" t="s">
        <v>333</v>
      </c>
      <c r="O633" s="32" t="s">
        <v>1745</v>
      </c>
      <c r="P633" s="32"/>
      <c r="Q633" s="32" t="s">
        <v>59</v>
      </c>
      <c r="R633" s="32" t="s">
        <v>333</v>
      </c>
      <c r="S633" s="32" t="s">
        <v>333</v>
      </c>
      <c r="T633" s="32" t="s">
        <v>275</v>
      </c>
      <c r="U633" s="32"/>
      <c r="V633" s="32" t="s">
        <v>344</v>
      </c>
      <c r="W633" s="32" t="s">
        <v>333</v>
      </c>
      <c r="X633" s="32" t="s">
        <v>333</v>
      </c>
      <c r="Y633" s="32" t="s">
        <v>333</v>
      </c>
      <c r="Z633" s="32" t="s">
        <v>333</v>
      </c>
      <c r="AA633" s="32" t="s">
        <v>333</v>
      </c>
      <c r="AB633" s="32"/>
      <c r="AC633" s="32" t="s">
        <v>333</v>
      </c>
      <c r="AD633" s="32" t="s">
        <v>333</v>
      </c>
      <c r="AE633" s="32" t="s">
        <v>333</v>
      </c>
      <c r="AF633" s="32" t="s">
        <v>344</v>
      </c>
      <c r="AG633" s="32" t="s">
        <v>344</v>
      </c>
      <c r="AH633" s="32" t="s">
        <v>333</v>
      </c>
      <c r="AI633" s="32"/>
      <c r="AJ633" s="32" t="s">
        <v>1244</v>
      </c>
      <c r="AK633" s="32" t="s">
        <v>1673</v>
      </c>
      <c r="AL633" s="32" t="s">
        <v>1745</v>
      </c>
      <c r="AM633" s="32" t="s">
        <v>349</v>
      </c>
      <c r="AN633" s="16"/>
      <c r="AO633" s="21">
        <v>2.0</v>
      </c>
    </row>
    <row r="634" ht="15.75" customHeight="1">
      <c r="A634" s="22"/>
      <c r="B634" s="22"/>
      <c r="C634" s="22"/>
      <c r="D634" s="77"/>
      <c r="E634" s="22"/>
      <c r="F634" s="22"/>
      <c r="G634" s="130"/>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4"/>
      <c r="AO634" s="22"/>
    </row>
    <row r="635" ht="15.75" customHeight="1">
      <c r="A635" s="22"/>
      <c r="B635" s="22"/>
      <c r="C635" s="22"/>
      <c r="D635" s="22"/>
      <c r="E635" s="22"/>
      <c r="F635" s="22"/>
      <c r="G635" s="130"/>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4"/>
      <c r="AO635" s="22"/>
    </row>
    <row r="636" ht="15.75" customHeight="1">
      <c r="A636" s="22"/>
      <c r="B636" s="22"/>
      <c r="C636" s="22"/>
      <c r="D636" s="22"/>
      <c r="E636" s="22"/>
      <c r="F636" s="22"/>
      <c r="G636" s="130"/>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4"/>
      <c r="AO636" s="22"/>
    </row>
    <row r="637" ht="15.75" customHeight="1">
      <c r="A637" s="22"/>
      <c r="B637" s="22"/>
      <c r="C637" s="22"/>
      <c r="D637" s="22"/>
      <c r="E637" s="22"/>
      <c r="F637" s="22"/>
      <c r="G637" s="130"/>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row>
    <row r="638" ht="15.75" customHeight="1">
      <c r="A638" s="22"/>
      <c r="B638" s="22"/>
      <c r="C638" s="22"/>
      <c r="D638" s="22"/>
      <c r="E638" s="22"/>
      <c r="F638" s="22"/>
      <c r="G638" s="130"/>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row>
    <row r="639" ht="15.75" customHeight="1">
      <c r="A639" s="22"/>
      <c r="B639" s="22"/>
      <c r="C639" s="22"/>
      <c r="D639" s="22"/>
      <c r="E639" s="22"/>
      <c r="F639" s="22"/>
      <c r="G639" s="130"/>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row>
    <row r="640" ht="15.75" customHeight="1">
      <c r="A640" s="22"/>
      <c r="B640" s="22"/>
      <c r="C640" s="22"/>
      <c r="D640" s="22"/>
      <c r="E640" s="22"/>
      <c r="F640" s="22"/>
      <c r="G640" s="130"/>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row>
    <row r="641" ht="15.75" customHeight="1">
      <c r="A641" s="22"/>
      <c r="B641" s="22"/>
      <c r="C641" s="22"/>
      <c r="D641" s="22"/>
      <c r="E641" s="22"/>
      <c r="F641" s="22"/>
      <c r="G641" s="130"/>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row>
    <row r="642" ht="15.75" customHeight="1">
      <c r="A642" s="22"/>
      <c r="B642" s="22"/>
      <c r="C642" s="22"/>
      <c r="D642" s="22"/>
      <c r="E642" s="22"/>
      <c r="F642" s="22"/>
      <c r="G642" s="130"/>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row>
    <row r="643" ht="15.75" customHeight="1">
      <c r="A643" s="22"/>
      <c r="B643" s="22"/>
      <c r="C643" s="22"/>
      <c r="D643" s="22"/>
      <c r="E643" s="22"/>
      <c r="F643" s="22"/>
      <c r="G643" s="130"/>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row>
    <row r="644" ht="15.75" customHeight="1">
      <c r="A644" s="22"/>
      <c r="B644" s="22"/>
      <c r="C644" s="22"/>
      <c r="D644" s="22"/>
      <c r="E644" s="22"/>
      <c r="F644" s="22"/>
      <c r="G644" s="130"/>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row>
    <row r="645" ht="15.75" customHeight="1">
      <c r="A645" s="22"/>
      <c r="B645" s="22"/>
      <c r="C645" s="22"/>
      <c r="D645" s="22"/>
      <c r="E645" s="22"/>
      <c r="F645" s="22"/>
      <c r="G645" s="130"/>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row>
    <row r="646" ht="15.75" customHeight="1">
      <c r="A646" s="22"/>
      <c r="B646" s="22"/>
      <c r="C646" s="22"/>
      <c r="D646" s="22"/>
      <c r="E646" s="22"/>
      <c r="F646" s="22"/>
      <c r="G646" s="130"/>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row>
    <row r="647" ht="15.75" customHeight="1">
      <c r="A647" s="22"/>
      <c r="B647" s="22"/>
      <c r="C647" s="22"/>
      <c r="D647" s="22"/>
      <c r="E647" s="22"/>
      <c r="F647" s="22"/>
      <c r="G647" s="130"/>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row>
    <row r="648" ht="15.75" customHeight="1">
      <c r="A648" s="22"/>
      <c r="B648" s="22"/>
      <c r="C648" s="22"/>
      <c r="D648" s="22"/>
      <c r="E648" s="22"/>
      <c r="F648" s="22"/>
      <c r="G648" s="130"/>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row>
    <row r="649" ht="15.75" customHeight="1">
      <c r="A649" s="22"/>
      <c r="B649" s="22"/>
      <c r="C649" s="22"/>
      <c r="D649" s="22"/>
      <c r="E649" s="22"/>
      <c r="F649" s="22"/>
      <c r="G649" s="130"/>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row>
    <row r="650" ht="15.75" customHeight="1">
      <c r="A650" s="22"/>
      <c r="B650" s="22"/>
      <c r="C650" s="22"/>
      <c r="D650" s="22"/>
      <c r="E650" s="22"/>
      <c r="F650" s="22"/>
      <c r="G650" s="130"/>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row>
    <row r="651" ht="15.75" customHeight="1">
      <c r="A651" s="22"/>
      <c r="B651" s="22"/>
      <c r="C651" s="22"/>
      <c r="D651" s="22"/>
      <c r="E651" s="22"/>
      <c r="F651" s="22"/>
      <c r="G651" s="130"/>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row>
    <row r="652" ht="15.75" customHeight="1">
      <c r="A652" s="22"/>
      <c r="B652" s="22"/>
      <c r="C652" s="22"/>
      <c r="D652" s="22"/>
      <c r="E652" s="22"/>
      <c r="F652" s="22"/>
      <c r="G652" s="130"/>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row>
    <row r="653" ht="15.75" customHeight="1">
      <c r="A653" s="22"/>
      <c r="B653" s="22"/>
      <c r="C653" s="22"/>
      <c r="D653" s="22"/>
      <c r="E653" s="22"/>
      <c r="F653" s="22"/>
      <c r="G653" s="130"/>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row>
    <row r="654" ht="15.75" customHeight="1">
      <c r="A654" s="22"/>
      <c r="B654" s="22"/>
      <c r="C654" s="22"/>
      <c r="D654" s="22"/>
      <c r="E654" s="22"/>
      <c r="F654" s="22"/>
      <c r="G654" s="130"/>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row>
    <row r="655" ht="15.75" customHeight="1">
      <c r="A655" s="22"/>
      <c r="B655" s="22"/>
      <c r="C655" s="22"/>
      <c r="D655" s="22"/>
      <c r="E655" s="22"/>
      <c r="F655" s="22"/>
      <c r="G655" s="130"/>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row>
    <row r="656" ht="15.75" customHeight="1">
      <c r="A656" s="22"/>
      <c r="B656" s="22"/>
      <c r="C656" s="22"/>
      <c r="D656" s="22"/>
      <c r="E656" s="22"/>
      <c r="F656" s="22"/>
      <c r="G656" s="130"/>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row>
    <row r="657" ht="15.75" customHeight="1">
      <c r="A657" s="22"/>
      <c r="B657" s="22"/>
      <c r="C657" s="22"/>
      <c r="D657" s="22"/>
      <c r="E657" s="22"/>
      <c r="F657" s="22"/>
      <c r="G657" s="130"/>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row>
    <row r="658" ht="15.75" customHeight="1">
      <c r="A658" s="22"/>
      <c r="B658" s="22"/>
      <c r="C658" s="22"/>
      <c r="D658" s="22"/>
      <c r="E658" s="22"/>
      <c r="F658" s="22"/>
      <c r="G658" s="130"/>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row>
    <row r="659" ht="15.75" customHeight="1">
      <c r="A659" s="22"/>
      <c r="B659" s="22"/>
      <c r="C659" s="22"/>
      <c r="D659" s="22"/>
      <c r="E659" s="22"/>
      <c r="F659" s="22"/>
      <c r="G659" s="130"/>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row>
    <row r="660" ht="15.75" customHeight="1">
      <c r="A660" s="22"/>
      <c r="B660" s="22"/>
      <c r="C660" s="22"/>
      <c r="D660" s="22"/>
      <c r="E660" s="22"/>
      <c r="F660" s="22"/>
      <c r="G660" s="130"/>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row>
    <row r="661" ht="15.75" customHeight="1">
      <c r="A661" s="22"/>
      <c r="B661" s="22"/>
      <c r="C661" s="22"/>
      <c r="D661" s="22"/>
      <c r="E661" s="22"/>
      <c r="F661" s="22"/>
      <c r="G661" s="130"/>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row>
    <row r="662" ht="15.75" customHeight="1">
      <c r="A662" s="22"/>
      <c r="B662" s="22"/>
      <c r="C662" s="22"/>
      <c r="D662" s="22"/>
      <c r="E662" s="22"/>
      <c r="F662" s="22"/>
      <c r="G662" s="130"/>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row>
    <row r="663" ht="15.75" customHeight="1">
      <c r="A663" s="22"/>
      <c r="B663" s="22"/>
      <c r="C663" s="22"/>
      <c r="D663" s="22"/>
      <c r="E663" s="22"/>
      <c r="F663" s="22"/>
      <c r="G663" s="130"/>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row>
    <row r="664" ht="15.75" customHeight="1">
      <c r="A664" s="22"/>
      <c r="B664" s="22"/>
      <c r="C664" s="22"/>
      <c r="D664" s="22"/>
      <c r="E664" s="22"/>
      <c r="F664" s="22"/>
      <c r="G664" s="130"/>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row>
    <row r="665" ht="15.75" customHeight="1">
      <c r="A665" s="22"/>
      <c r="B665" s="22"/>
      <c r="C665" s="22"/>
      <c r="D665" s="22"/>
      <c r="E665" s="22"/>
      <c r="F665" s="22"/>
      <c r="G665" s="130"/>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row>
    <row r="666" ht="15.75" customHeight="1">
      <c r="A666" s="22"/>
      <c r="B666" s="22"/>
      <c r="C666" s="22"/>
      <c r="D666" s="22"/>
      <c r="E666" s="22"/>
      <c r="F666" s="22"/>
      <c r="G666" s="130"/>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row>
    <row r="667" ht="15.75" customHeight="1">
      <c r="A667" s="22"/>
      <c r="B667" s="22"/>
      <c r="C667" s="22"/>
      <c r="D667" s="22"/>
      <c r="E667" s="22"/>
      <c r="F667" s="22"/>
      <c r="G667" s="130"/>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row>
    <row r="668" ht="15.75" customHeight="1">
      <c r="A668" s="22"/>
      <c r="B668" s="22"/>
      <c r="C668" s="22"/>
      <c r="D668" s="22"/>
      <c r="E668" s="22"/>
      <c r="F668" s="22"/>
      <c r="G668" s="130"/>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row>
    <row r="669" ht="15.75" customHeight="1">
      <c r="A669" s="22"/>
      <c r="B669" s="22"/>
      <c r="C669" s="22"/>
      <c r="D669" s="22"/>
      <c r="E669" s="22"/>
      <c r="F669" s="22"/>
      <c r="G669" s="130"/>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row>
    <row r="670" ht="15.75" customHeight="1">
      <c r="A670" s="22"/>
      <c r="B670" s="22"/>
      <c r="C670" s="22"/>
      <c r="D670" s="22"/>
      <c r="E670" s="22"/>
      <c r="F670" s="22"/>
      <c r="G670" s="130"/>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row>
    <row r="671" ht="15.75" customHeight="1">
      <c r="A671" s="22"/>
      <c r="B671" s="22"/>
      <c r="C671" s="22"/>
      <c r="D671" s="22"/>
      <c r="E671" s="22"/>
      <c r="F671" s="22"/>
      <c r="G671" s="130"/>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row>
    <row r="672" ht="15.75" customHeight="1">
      <c r="A672" s="22"/>
      <c r="B672" s="22"/>
      <c r="C672" s="22"/>
      <c r="D672" s="22"/>
      <c r="E672" s="22"/>
      <c r="F672" s="22"/>
      <c r="G672" s="130"/>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row>
    <row r="673" ht="15.75" customHeight="1">
      <c r="A673" s="22"/>
      <c r="B673" s="22"/>
      <c r="C673" s="22"/>
      <c r="D673" s="22"/>
      <c r="E673" s="22"/>
      <c r="F673" s="22"/>
      <c r="G673" s="130"/>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row>
    <row r="674" ht="15.75" customHeight="1">
      <c r="A674" s="22"/>
      <c r="B674" s="22"/>
      <c r="C674" s="22"/>
      <c r="D674" s="22"/>
      <c r="E674" s="22"/>
      <c r="F674" s="22"/>
      <c r="G674" s="130"/>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row>
    <row r="675" ht="15.75" customHeight="1">
      <c r="A675" s="22"/>
      <c r="B675" s="22"/>
      <c r="C675" s="22"/>
      <c r="D675" s="22"/>
      <c r="E675" s="22"/>
      <c r="F675" s="22"/>
      <c r="G675" s="130"/>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row>
    <row r="676" ht="15.75" customHeight="1">
      <c r="A676" s="22"/>
      <c r="B676" s="22"/>
      <c r="C676" s="22"/>
      <c r="D676" s="22"/>
      <c r="E676" s="22"/>
      <c r="F676" s="22"/>
      <c r="G676" s="130"/>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row>
    <row r="677" ht="15.75" customHeight="1">
      <c r="A677" s="22"/>
      <c r="B677" s="22"/>
      <c r="C677" s="22"/>
      <c r="D677" s="22"/>
      <c r="E677" s="22"/>
      <c r="F677" s="22"/>
      <c r="G677" s="130"/>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row>
    <row r="678" ht="15.75" customHeight="1">
      <c r="A678" s="22"/>
      <c r="B678" s="22"/>
      <c r="C678" s="22"/>
      <c r="D678" s="22"/>
      <c r="E678" s="22"/>
      <c r="F678" s="22"/>
      <c r="G678" s="130"/>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row>
    <row r="679" ht="15.75" customHeight="1">
      <c r="A679" s="22"/>
      <c r="B679" s="22"/>
      <c r="C679" s="22"/>
      <c r="D679" s="22"/>
      <c r="E679" s="22"/>
      <c r="F679" s="22"/>
      <c r="G679" s="130"/>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row>
    <row r="680" ht="15.75" customHeight="1">
      <c r="A680" s="22"/>
      <c r="B680" s="22"/>
      <c r="C680" s="22"/>
      <c r="D680" s="22"/>
      <c r="E680" s="22"/>
      <c r="F680" s="22"/>
      <c r="G680" s="130"/>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row>
    <row r="681" ht="15.75" customHeight="1">
      <c r="A681" s="22"/>
      <c r="B681" s="22"/>
      <c r="C681" s="22"/>
      <c r="D681" s="22"/>
      <c r="E681" s="22"/>
      <c r="F681" s="22"/>
      <c r="G681" s="130"/>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row>
    <row r="682" ht="15.75" customHeight="1">
      <c r="A682" s="22"/>
      <c r="B682" s="22"/>
      <c r="C682" s="22"/>
      <c r="D682" s="22"/>
      <c r="E682" s="22"/>
      <c r="F682" s="22"/>
      <c r="G682" s="130"/>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row>
    <row r="683" ht="15.75" customHeight="1">
      <c r="A683" s="22"/>
      <c r="B683" s="22"/>
      <c r="C683" s="22"/>
      <c r="D683" s="22"/>
      <c r="E683" s="22"/>
      <c r="F683" s="22"/>
      <c r="G683" s="130"/>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row>
    <row r="684" ht="15.75" customHeight="1">
      <c r="A684" s="22"/>
      <c r="B684" s="22"/>
      <c r="C684" s="22"/>
      <c r="D684" s="22"/>
      <c r="E684" s="22"/>
      <c r="F684" s="22"/>
      <c r="G684" s="130"/>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row>
    <row r="685" ht="15.75" customHeight="1">
      <c r="A685" s="22"/>
      <c r="B685" s="22"/>
      <c r="C685" s="22"/>
      <c r="D685" s="22"/>
      <c r="E685" s="22"/>
      <c r="F685" s="22"/>
      <c r="G685" s="130"/>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row>
    <row r="686" ht="15.75" customHeight="1">
      <c r="A686" s="22"/>
      <c r="B686" s="22"/>
      <c r="C686" s="22"/>
      <c r="D686" s="22"/>
      <c r="E686" s="22"/>
      <c r="F686" s="22"/>
      <c r="G686" s="130"/>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row>
    <row r="687" ht="15.75" customHeight="1">
      <c r="A687" s="22"/>
      <c r="B687" s="22"/>
      <c r="C687" s="22"/>
      <c r="D687" s="22"/>
      <c r="E687" s="22"/>
      <c r="F687" s="22"/>
      <c r="G687" s="130"/>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row>
    <row r="688" ht="15.75" customHeight="1">
      <c r="A688" s="22"/>
      <c r="B688" s="22"/>
      <c r="C688" s="22"/>
      <c r="D688" s="22"/>
      <c r="E688" s="22"/>
      <c r="F688" s="22"/>
      <c r="G688" s="130"/>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row>
    <row r="689" ht="15.75" customHeight="1">
      <c r="A689" s="22"/>
      <c r="B689" s="22"/>
      <c r="C689" s="22"/>
      <c r="D689" s="22"/>
      <c r="E689" s="22"/>
      <c r="F689" s="22"/>
      <c r="G689" s="130"/>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row>
    <row r="690" ht="15.75" customHeight="1">
      <c r="A690" s="22"/>
      <c r="B690" s="22"/>
      <c r="C690" s="22"/>
      <c r="D690" s="22"/>
      <c r="E690" s="22"/>
      <c r="F690" s="22"/>
      <c r="G690" s="130"/>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row>
    <row r="691" ht="15.75" customHeight="1">
      <c r="A691" s="22"/>
      <c r="B691" s="22"/>
      <c r="C691" s="22"/>
      <c r="D691" s="22"/>
      <c r="E691" s="22"/>
      <c r="F691" s="22"/>
      <c r="G691" s="130"/>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row>
    <row r="692" ht="15.75" customHeight="1">
      <c r="A692" s="22"/>
      <c r="B692" s="22"/>
      <c r="C692" s="22"/>
      <c r="D692" s="22"/>
      <c r="E692" s="22"/>
      <c r="F692" s="22"/>
      <c r="G692" s="130"/>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row>
    <row r="693" ht="15.75" customHeight="1">
      <c r="A693" s="22"/>
      <c r="B693" s="22"/>
      <c r="C693" s="22"/>
      <c r="D693" s="22"/>
      <c r="E693" s="22"/>
      <c r="F693" s="22"/>
      <c r="G693" s="130"/>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row>
    <row r="694" ht="15.75" customHeight="1">
      <c r="A694" s="22"/>
      <c r="B694" s="22"/>
      <c r="C694" s="22"/>
      <c r="D694" s="22"/>
      <c r="E694" s="22"/>
      <c r="F694" s="22"/>
      <c r="G694" s="130"/>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row>
    <row r="695" ht="15.75" customHeight="1">
      <c r="A695" s="22"/>
      <c r="B695" s="22"/>
      <c r="C695" s="22"/>
      <c r="D695" s="22"/>
      <c r="E695" s="22"/>
      <c r="F695" s="22"/>
      <c r="G695" s="130"/>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row>
    <row r="696" ht="15.75" customHeight="1">
      <c r="A696" s="22"/>
      <c r="B696" s="22"/>
      <c r="C696" s="22"/>
      <c r="D696" s="22"/>
      <c r="E696" s="22"/>
      <c r="F696" s="22"/>
      <c r="G696" s="130"/>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row>
    <row r="697" ht="15.75" customHeight="1">
      <c r="A697" s="22"/>
      <c r="B697" s="22"/>
      <c r="C697" s="22"/>
      <c r="D697" s="22"/>
      <c r="E697" s="22"/>
      <c r="F697" s="22"/>
      <c r="G697" s="130"/>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row>
    <row r="698" ht="15.75" customHeight="1">
      <c r="A698" s="22"/>
      <c r="B698" s="22"/>
      <c r="C698" s="22"/>
      <c r="D698" s="22"/>
      <c r="E698" s="22"/>
      <c r="F698" s="22"/>
      <c r="G698" s="130"/>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row>
    <row r="699" ht="15.75" customHeight="1">
      <c r="A699" s="22"/>
      <c r="B699" s="22"/>
      <c r="C699" s="22"/>
      <c r="D699" s="22"/>
      <c r="E699" s="22"/>
      <c r="F699" s="22"/>
      <c r="G699" s="130"/>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row>
    <row r="700" ht="15.75" customHeight="1">
      <c r="A700" s="22"/>
      <c r="B700" s="22"/>
      <c r="C700" s="22"/>
      <c r="D700" s="22"/>
      <c r="E700" s="22"/>
      <c r="F700" s="22"/>
      <c r="G700" s="130"/>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row>
    <row r="701" ht="15.75" customHeight="1">
      <c r="A701" s="22"/>
      <c r="B701" s="22"/>
      <c r="C701" s="22"/>
      <c r="D701" s="22"/>
      <c r="E701" s="22"/>
      <c r="F701" s="22"/>
      <c r="G701" s="130"/>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row>
    <row r="702" ht="15.75" customHeight="1">
      <c r="A702" s="22"/>
      <c r="B702" s="22"/>
      <c r="C702" s="22"/>
      <c r="D702" s="22"/>
      <c r="E702" s="22"/>
      <c r="F702" s="22"/>
      <c r="G702" s="130"/>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row>
    <row r="703" ht="15.75" customHeight="1">
      <c r="A703" s="22"/>
      <c r="B703" s="22"/>
      <c r="C703" s="22"/>
      <c r="D703" s="22"/>
      <c r="E703" s="22"/>
      <c r="F703" s="22"/>
      <c r="G703" s="130"/>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row>
    <row r="704" ht="15.75" customHeight="1">
      <c r="A704" s="22"/>
      <c r="B704" s="22"/>
      <c r="C704" s="22"/>
      <c r="D704" s="22"/>
      <c r="E704" s="22"/>
      <c r="F704" s="22"/>
      <c r="G704" s="130"/>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row>
    <row r="705" ht="15.75" customHeight="1">
      <c r="A705" s="22"/>
      <c r="B705" s="22"/>
      <c r="C705" s="22"/>
      <c r="D705" s="22"/>
      <c r="E705" s="22"/>
      <c r="F705" s="22"/>
      <c r="G705" s="130"/>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row>
    <row r="706" ht="15.75" customHeight="1">
      <c r="A706" s="22"/>
      <c r="B706" s="22"/>
      <c r="C706" s="22"/>
      <c r="D706" s="22"/>
      <c r="E706" s="22"/>
      <c r="F706" s="22"/>
      <c r="G706" s="130"/>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row>
    <row r="707" ht="15.75" customHeight="1">
      <c r="A707" s="22"/>
      <c r="B707" s="22"/>
      <c r="C707" s="22"/>
      <c r="D707" s="22"/>
      <c r="E707" s="22"/>
      <c r="F707" s="22"/>
      <c r="G707" s="130"/>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row>
    <row r="708" ht="15.75" customHeight="1">
      <c r="A708" s="22"/>
      <c r="B708" s="22"/>
      <c r="C708" s="22"/>
      <c r="D708" s="22"/>
      <c r="E708" s="22"/>
      <c r="F708" s="22"/>
      <c r="G708" s="130"/>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row>
    <row r="709" ht="15.75" customHeight="1">
      <c r="A709" s="22"/>
      <c r="B709" s="22"/>
      <c r="C709" s="22"/>
      <c r="D709" s="22"/>
      <c r="E709" s="22"/>
      <c r="F709" s="22"/>
      <c r="G709" s="130"/>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row>
    <row r="710" ht="15.75" customHeight="1">
      <c r="A710" s="22"/>
      <c r="B710" s="22"/>
      <c r="C710" s="22"/>
      <c r="D710" s="22"/>
      <c r="E710" s="22"/>
      <c r="F710" s="22"/>
      <c r="G710" s="130"/>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row>
    <row r="711" ht="15.75" customHeight="1">
      <c r="A711" s="22"/>
      <c r="B711" s="22"/>
      <c r="C711" s="22"/>
      <c r="D711" s="22"/>
      <c r="E711" s="22"/>
      <c r="F711" s="22"/>
      <c r="G711" s="130"/>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row>
    <row r="712" ht="15.75" customHeight="1">
      <c r="A712" s="22"/>
      <c r="B712" s="22"/>
      <c r="C712" s="22"/>
      <c r="D712" s="22"/>
      <c r="E712" s="22"/>
      <c r="F712" s="22"/>
      <c r="G712" s="130"/>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row>
    <row r="713" ht="15.75" customHeight="1">
      <c r="A713" s="22"/>
      <c r="B713" s="22"/>
      <c r="C713" s="22"/>
      <c r="D713" s="22"/>
      <c r="E713" s="22"/>
      <c r="F713" s="22"/>
      <c r="G713" s="130"/>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row>
    <row r="714" ht="15.75" customHeight="1">
      <c r="A714" s="22"/>
      <c r="B714" s="22"/>
      <c r="C714" s="22"/>
      <c r="D714" s="22"/>
      <c r="E714" s="22"/>
      <c r="F714" s="22"/>
      <c r="G714" s="130"/>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row>
    <row r="715" ht="15.75" customHeight="1">
      <c r="A715" s="22"/>
      <c r="B715" s="22"/>
      <c r="C715" s="22"/>
      <c r="D715" s="22"/>
      <c r="E715" s="22"/>
      <c r="F715" s="22"/>
      <c r="G715" s="130"/>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row>
    <row r="716" ht="15.75" customHeight="1">
      <c r="A716" s="22"/>
      <c r="B716" s="22"/>
      <c r="C716" s="22"/>
      <c r="D716" s="22"/>
      <c r="E716" s="22"/>
      <c r="F716" s="22"/>
      <c r="G716" s="130"/>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row>
    <row r="717" ht="15.75" customHeight="1">
      <c r="A717" s="22"/>
      <c r="B717" s="22"/>
      <c r="C717" s="22"/>
      <c r="D717" s="22"/>
      <c r="E717" s="22"/>
      <c r="F717" s="22"/>
      <c r="G717" s="130"/>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row>
    <row r="718" ht="15.75" customHeight="1">
      <c r="A718" s="22"/>
      <c r="B718" s="22"/>
      <c r="C718" s="22"/>
      <c r="D718" s="22"/>
      <c r="E718" s="22"/>
      <c r="F718" s="22"/>
      <c r="G718" s="130"/>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row>
    <row r="719" ht="15.75" customHeight="1">
      <c r="A719" s="22"/>
      <c r="B719" s="22"/>
      <c r="C719" s="22"/>
      <c r="D719" s="22"/>
      <c r="E719" s="22"/>
      <c r="F719" s="22"/>
      <c r="G719" s="130"/>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row>
    <row r="720" ht="15.75" customHeight="1">
      <c r="A720" s="22"/>
      <c r="B720" s="22"/>
      <c r="C720" s="22"/>
      <c r="D720" s="22"/>
      <c r="E720" s="22"/>
      <c r="F720" s="22"/>
      <c r="G720" s="130"/>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row>
    <row r="721" ht="15.75" customHeight="1">
      <c r="A721" s="22"/>
      <c r="B721" s="22"/>
      <c r="C721" s="22"/>
      <c r="D721" s="22"/>
      <c r="E721" s="22"/>
      <c r="F721" s="22"/>
      <c r="G721" s="130"/>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row>
    <row r="722" ht="15.75" customHeight="1">
      <c r="A722" s="22"/>
      <c r="B722" s="22"/>
      <c r="C722" s="22"/>
      <c r="D722" s="22"/>
      <c r="E722" s="22"/>
      <c r="F722" s="22"/>
      <c r="G722" s="130"/>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row>
    <row r="723" ht="15.75" customHeight="1">
      <c r="A723" s="22"/>
      <c r="B723" s="22"/>
      <c r="C723" s="22"/>
      <c r="D723" s="22"/>
      <c r="E723" s="22"/>
      <c r="F723" s="22"/>
      <c r="G723" s="130"/>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row>
    <row r="724" ht="15.75" customHeight="1">
      <c r="A724" s="22"/>
      <c r="B724" s="22"/>
      <c r="C724" s="22"/>
      <c r="D724" s="22"/>
      <c r="E724" s="22"/>
      <c r="F724" s="22"/>
      <c r="G724" s="130"/>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row>
    <row r="725" ht="15.75" customHeight="1">
      <c r="A725" s="22"/>
      <c r="B725" s="22"/>
      <c r="C725" s="22"/>
      <c r="D725" s="22"/>
      <c r="E725" s="22"/>
      <c r="F725" s="22"/>
      <c r="G725" s="130"/>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row>
    <row r="726" ht="15.75" customHeight="1">
      <c r="A726" s="22"/>
      <c r="B726" s="22"/>
      <c r="C726" s="22"/>
      <c r="D726" s="22"/>
      <c r="E726" s="22"/>
      <c r="F726" s="22"/>
      <c r="G726" s="130"/>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row>
    <row r="727" ht="15.75" customHeight="1">
      <c r="A727" s="22"/>
      <c r="B727" s="22"/>
      <c r="C727" s="22"/>
      <c r="D727" s="22"/>
      <c r="E727" s="22"/>
      <c r="F727" s="22"/>
      <c r="G727" s="130"/>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row>
    <row r="728" ht="15.75" customHeight="1">
      <c r="A728" s="22"/>
      <c r="B728" s="22"/>
      <c r="C728" s="22"/>
      <c r="D728" s="22"/>
      <c r="E728" s="22"/>
      <c r="F728" s="22"/>
      <c r="G728" s="130"/>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row>
    <row r="729" ht="15.75" customHeight="1">
      <c r="A729" s="22"/>
      <c r="B729" s="22"/>
      <c r="C729" s="22"/>
      <c r="D729" s="22"/>
      <c r="E729" s="22"/>
      <c r="F729" s="22"/>
      <c r="G729" s="130"/>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row>
    <row r="730" ht="15.75" customHeight="1">
      <c r="A730" s="22"/>
      <c r="B730" s="22"/>
      <c r="C730" s="22"/>
      <c r="D730" s="22"/>
      <c r="E730" s="22"/>
      <c r="F730" s="22"/>
      <c r="G730" s="130"/>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row>
    <row r="731" ht="15.75" customHeight="1">
      <c r="A731" s="22"/>
      <c r="B731" s="22"/>
      <c r="C731" s="22"/>
      <c r="D731" s="22"/>
      <c r="E731" s="22"/>
      <c r="F731" s="22"/>
      <c r="G731" s="130"/>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row>
    <row r="732" ht="15.75" customHeight="1">
      <c r="A732" s="22"/>
      <c r="B732" s="22"/>
      <c r="C732" s="22"/>
      <c r="D732" s="22"/>
      <c r="E732" s="22"/>
      <c r="F732" s="22"/>
      <c r="G732" s="130"/>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row>
    <row r="733" ht="15.75" customHeight="1">
      <c r="A733" s="22"/>
      <c r="B733" s="22"/>
      <c r="C733" s="22"/>
      <c r="D733" s="22"/>
      <c r="E733" s="22"/>
      <c r="F733" s="22"/>
      <c r="G733" s="130"/>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row>
    <row r="734" ht="15.75" customHeight="1">
      <c r="A734" s="22"/>
      <c r="B734" s="22"/>
      <c r="C734" s="22"/>
      <c r="D734" s="22"/>
      <c r="E734" s="22"/>
      <c r="F734" s="22"/>
      <c r="G734" s="130"/>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row>
    <row r="735" ht="15.75" customHeight="1">
      <c r="A735" s="22"/>
      <c r="B735" s="22"/>
      <c r="C735" s="22"/>
      <c r="D735" s="22"/>
      <c r="E735" s="22"/>
      <c r="F735" s="22"/>
      <c r="G735" s="130"/>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row>
    <row r="736" ht="15.75" customHeight="1">
      <c r="A736" s="22"/>
      <c r="B736" s="22"/>
      <c r="C736" s="22"/>
      <c r="D736" s="22"/>
      <c r="E736" s="22"/>
      <c r="F736" s="22"/>
      <c r="G736" s="130"/>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row>
    <row r="737" ht="15.75" customHeight="1">
      <c r="A737" s="22"/>
      <c r="B737" s="22"/>
      <c r="C737" s="22"/>
      <c r="D737" s="22"/>
      <c r="E737" s="22"/>
      <c r="F737" s="22"/>
      <c r="G737" s="130"/>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row>
    <row r="738" ht="15.75" customHeight="1">
      <c r="A738" s="22"/>
      <c r="B738" s="22"/>
      <c r="C738" s="22"/>
      <c r="D738" s="22"/>
      <c r="E738" s="22"/>
      <c r="F738" s="22"/>
      <c r="G738" s="130"/>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row>
    <row r="739" ht="15.75" customHeight="1">
      <c r="A739" s="22"/>
      <c r="B739" s="22"/>
      <c r="C739" s="22"/>
      <c r="D739" s="22"/>
      <c r="E739" s="22"/>
      <c r="F739" s="22"/>
      <c r="G739" s="130"/>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row>
    <row r="740" ht="15.75" customHeight="1">
      <c r="A740" s="22"/>
      <c r="B740" s="22"/>
      <c r="C740" s="22"/>
      <c r="D740" s="22"/>
      <c r="E740" s="22"/>
      <c r="F740" s="22"/>
      <c r="G740" s="130"/>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row>
    <row r="741" ht="15.75" customHeight="1">
      <c r="A741" s="22"/>
      <c r="B741" s="22"/>
      <c r="C741" s="22"/>
      <c r="D741" s="22"/>
      <c r="E741" s="22"/>
      <c r="F741" s="22"/>
      <c r="G741" s="130"/>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row>
    <row r="742" ht="15.75" customHeight="1">
      <c r="A742" s="22"/>
      <c r="B742" s="22"/>
      <c r="C742" s="22"/>
      <c r="D742" s="22"/>
      <c r="E742" s="22"/>
      <c r="F742" s="22"/>
      <c r="G742" s="130"/>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row>
    <row r="743" ht="15.75" customHeight="1">
      <c r="A743" s="22"/>
      <c r="B743" s="22"/>
      <c r="C743" s="22"/>
      <c r="D743" s="22"/>
      <c r="E743" s="22"/>
      <c r="F743" s="22"/>
      <c r="G743" s="130"/>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row>
    <row r="744" ht="15.75" customHeight="1">
      <c r="A744" s="22"/>
      <c r="B744" s="22"/>
      <c r="C744" s="22"/>
      <c r="D744" s="22"/>
      <c r="E744" s="22"/>
      <c r="F744" s="22"/>
      <c r="G744" s="130"/>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row>
    <row r="745" ht="15.75" customHeight="1">
      <c r="A745" s="22"/>
      <c r="B745" s="22"/>
      <c r="C745" s="22"/>
      <c r="D745" s="22"/>
      <c r="E745" s="22"/>
      <c r="F745" s="22"/>
      <c r="G745" s="130"/>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row>
    <row r="746" ht="15.75" customHeight="1">
      <c r="A746" s="22"/>
      <c r="B746" s="22"/>
      <c r="C746" s="22"/>
      <c r="D746" s="22"/>
      <c r="E746" s="22"/>
      <c r="F746" s="22"/>
      <c r="G746" s="130"/>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row>
    <row r="747" ht="15.75" customHeight="1">
      <c r="A747" s="22"/>
      <c r="B747" s="22"/>
      <c r="C747" s="22"/>
      <c r="D747" s="22"/>
      <c r="E747" s="22"/>
      <c r="F747" s="22"/>
      <c r="G747" s="130"/>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row>
    <row r="748" ht="15.75" customHeight="1">
      <c r="A748" s="22"/>
      <c r="B748" s="22"/>
      <c r="C748" s="22"/>
      <c r="D748" s="22"/>
      <c r="E748" s="22"/>
      <c r="F748" s="22"/>
      <c r="G748" s="130"/>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row>
    <row r="749" ht="15.75" customHeight="1">
      <c r="A749" s="22"/>
      <c r="B749" s="22"/>
      <c r="C749" s="22"/>
      <c r="D749" s="22"/>
      <c r="E749" s="22"/>
      <c r="F749" s="22"/>
      <c r="G749" s="130"/>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row>
    <row r="750" ht="15.75" customHeight="1">
      <c r="A750" s="22"/>
      <c r="B750" s="22"/>
      <c r="C750" s="22"/>
      <c r="D750" s="22"/>
      <c r="E750" s="22"/>
      <c r="F750" s="22"/>
      <c r="G750" s="130"/>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row>
    <row r="751" ht="15.75" customHeight="1">
      <c r="A751" s="22"/>
      <c r="B751" s="22"/>
      <c r="C751" s="22"/>
      <c r="D751" s="22"/>
      <c r="E751" s="22"/>
      <c r="F751" s="22"/>
      <c r="G751" s="130"/>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row>
    <row r="752" ht="15.75" customHeight="1">
      <c r="A752" s="22"/>
      <c r="B752" s="22"/>
      <c r="C752" s="22"/>
      <c r="D752" s="22"/>
      <c r="E752" s="22"/>
      <c r="F752" s="22"/>
      <c r="G752" s="130"/>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row>
    <row r="753" ht="15.75" customHeight="1">
      <c r="A753" s="22"/>
      <c r="B753" s="22"/>
      <c r="C753" s="22"/>
      <c r="D753" s="22"/>
      <c r="E753" s="22"/>
      <c r="F753" s="22"/>
      <c r="G753" s="130"/>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row>
    <row r="754" ht="15.75" customHeight="1">
      <c r="A754" s="22"/>
      <c r="B754" s="22"/>
      <c r="C754" s="22"/>
      <c r="D754" s="22"/>
      <c r="E754" s="22"/>
      <c r="F754" s="22"/>
      <c r="G754" s="130"/>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row>
    <row r="755" ht="15.75" customHeight="1">
      <c r="A755" s="22"/>
      <c r="B755" s="22"/>
      <c r="C755" s="22"/>
      <c r="D755" s="22"/>
      <c r="E755" s="22"/>
      <c r="F755" s="22"/>
      <c r="G755" s="130"/>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row>
    <row r="756" ht="15.75" customHeight="1">
      <c r="A756" s="22"/>
      <c r="B756" s="22"/>
      <c r="C756" s="22"/>
      <c r="D756" s="22"/>
      <c r="E756" s="22"/>
      <c r="F756" s="22"/>
      <c r="G756" s="130"/>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row>
    <row r="757" ht="15.75" customHeight="1">
      <c r="A757" s="22"/>
      <c r="B757" s="22"/>
      <c r="C757" s="22"/>
      <c r="D757" s="22"/>
      <c r="E757" s="22"/>
      <c r="F757" s="22"/>
      <c r="G757" s="130"/>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row>
    <row r="758" ht="15.75" customHeight="1">
      <c r="A758" s="22"/>
      <c r="B758" s="22"/>
      <c r="C758" s="22"/>
      <c r="D758" s="22"/>
      <c r="E758" s="22"/>
      <c r="F758" s="22"/>
      <c r="G758" s="130"/>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row>
    <row r="759" ht="15.75" customHeight="1">
      <c r="A759" s="22"/>
      <c r="B759" s="22"/>
      <c r="C759" s="22"/>
      <c r="D759" s="22"/>
      <c r="E759" s="22"/>
      <c r="F759" s="22"/>
      <c r="G759" s="130"/>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row>
    <row r="760" ht="15.75" customHeight="1">
      <c r="A760" s="22"/>
      <c r="B760" s="22"/>
      <c r="C760" s="22"/>
      <c r="D760" s="22"/>
      <c r="E760" s="22"/>
      <c r="F760" s="22"/>
      <c r="G760" s="130"/>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row>
    <row r="761" ht="15.75" customHeight="1">
      <c r="A761" s="22"/>
      <c r="B761" s="22"/>
      <c r="C761" s="22"/>
      <c r="D761" s="22"/>
      <c r="E761" s="22"/>
      <c r="F761" s="22"/>
      <c r="G761" s="130"/>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row>
    <row r="762" ht="15.75" customHeight="1">
      <c r="A762" s="22"/>
      <c r="B762" s="22"/>
      <c r="C762" s="22"/>
      <c r="D762" s="22"/>
      <c r="E762" s="22"/>
      <c r="F762" s="22"/>
      <c r="G762" s="130"/>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row>
    <row r="763" ht="15.75" customHeight="1">
      <c r="A763" s="22"/>
      <c r="B763" s="22"/>
      <c r="C763" s="22"/>
      <c r="D763" s="22"/>
      <c r="E763" s="22"/>
      <c r="F763" s="22"/>
      <c r="G763" s="130"/>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row>
    <row r="764" ht="15.75" customHeight="1">
      <c r="A764" s="22"/>
      <c r="B764" s="22"/>
      <c r="C764" s="22"/>
      <c r="D764" s="22"/>
      <c r="E764" s="22"/>
      <c r="F764" s="22"/>
      <c r="G764" s="130"/>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row>
    <row r="765" ht="15.75" customHeight="1">
      <c r="A765" s="22"/>
      <c r="B765" s="22"/>
      <c r="C765" s="22"/>
      <c r="D765" s="22"/>
      <c r="E765" s="22"/>
      <c r="F765" s="22"/>
      <c r="G765" s="130"/>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row>
    <row r="766" ht="15.75" customHeight="1">
      <c r="A766" s="22"/>
      <c r="B766" s="22"/>
      <c r="C766" s="22"/>
      <c r="D766" s="22"/>
      <c r="E766" s="22"/>
      <c r="F766" s="22"/>
      <c r="G766" s="130"/>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row>
    <row r="767" ht="15.75" customHeight="1">
      <c r="A767" s="22"/>
      <c r="B767" s="22"/>
      <c r="C767" s="22"/>
      <c r="D767" s="22"/>
      <c r="E767" s="22"/>
      <c r="F767" s="22"/>
      <c r="G767" s="130"/>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row>
    <row r="768" ht="15.75" customHeight="1">
      <c r="A768" s="22"/>
      <c r="B768" s="22"/>
      <c r="C768" s="22"/>
      <c r="D768" s="22"/>
      <c r="E768" s="22"/>
      <c r="F768" s="22"/>
      <c r="G768" s="130"/>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row>
    <row r="769" ht="15.75" customHeight="1">
      <c r="A769" s="22"/>
      <c r="B769" s="22"/>
      <c r="C769" s="22"/>
      <c r="D769" s="22"/>
      <c r="E769" s="22"/>
      <c r="F769" s="22"/>
      <c r="G769" s="130"/>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row>
    <row r="770" ht="15.75" customHeight="1">
      <c r="A770" s="22"/>
      <c r="B770" s="22"/>
      <c r="C770" s="22"/>
      <c r="D770" s="22"/>
      <c r="E770" s="22"/>
      <c r="F770" s="22"/>
      <c r="G770" s="130"/>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row>
    <row r="771" ht="15.75" customHeight="1">
      <c r="A771" s="22"/>
      <c r="B771" s="22"/>
      <c r="C771" s="22"/>
      <c r="D771" s="22"/>
      <c r="E771" s="22"/>
      <c r="F771" s="22"/>
      <c r="G771" s="130"/>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row>
    <row r="772" ht="15.75" customHeight="1">
      <c r="A772" s="22"/>
      <c r="B772" s="22"/>
      <c r="C772" s="22"/>
      <c r="D772" s="22"/>
      <c r="E772" s="22"/>
      <c r="F772" s="22"/>
      <c r="G772" s="130"/>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row>
    <row r="773" ht="15.75" customHeight="1">
      <c r="A773" s="22"/>
      <c r="B773" s="22"/>
      <c r="C773" s="22"/>
      <c r="D773" s="22"/>
      <c r="E773" s="22"/>
      <c r="F773" s="22"/>
      <c r="G773" s="130"/>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row>
    <row r="774" ht="15.75" customHeight="1">
      <c r="A774" s="22"/>
      <c r="B774" s="22"/>
      <c r="C774" s="22"/>
      <c r="D774" s="22"/>
      <c r="E774" s="22"/>
      <c r="F774" s="22"/>
      <c r="G774" s="130"/>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row>
    <row r="775" ht="15.75" customHeight="1">
      <c r="A775" s="22"/>
      <c r="B775" s="22"/>
      <c r="C775" s="22"/>
      <c r="D775" s="22"/>
      <c r="E775" s="22"/>
      <c r="F775" s="22"/>
      <c r="G775" s="130"/>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row>
    <row r="776" ht="15.75" customHeight="1">
      <c r="A776" s="22"/>
      <c r="B776" s="22"/>
      <c r="C776" s="22"/>
      <c r="D776" s="22"/>
      <c r="E776" s="22"/>
      <c r="F776" s="22"/>
      <c r="G776" s="130"/>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row>
    <row r="777" ht="15.75" customHeight="1">
      <c r="A777" s="22"/>
      <c r="B777" s="22"/>
      <c r="C777" s="22"/>
      <c r="D777" s="22"/>
      <c r="E777" s="22"/>
      <c r="F777" s="22"/>
      <c r="G777" s="130"/>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row>
    <row r="778" ht="15.75" customHeight="1">
      <c r="A778" s="22"/>
      <c r="B778" s="22"/>
      <c r="C778" s="22"/>
      <c r="D778" s="22"/>
      <c r="E778" s="22"/>
      <c r="F778" s="22"/>
      <c r="G778" s="130"/>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row>
    <row r="779" ht="15.75" customHeight="1">
      <c r="A779" s="22"/>
      <c r="B779" s="22"/>
      <c r="C779" s="22"/>
      <c r="D779" s="22"/>
      <c r="E779" s="22"/>
      <c r="F779" s="22"/>
      <c r="G779" s="130"/>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row>
    <row r="780" ht="15.75" customHeight="1">
      <c r="A780" s="22"/>
      <c r="B780" s="22"/>
      <c r="C780" s="22"/>
      <c r="D780" s="22"/>
      <c r="E780" s="22"/>
      <c r="F780" s="22"/>
      <c r="G780" s="130"/>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row>
    <row r="781" ht="15.75" customHeight="1">
      <c r="A781" s="22"/>
      <c r="B781" s="22"/>
      <c r="C781" s="22"/>
      <c r="D781" s="22"/>
      <c r="E781" s="22"/>
      <c r="F781" s="22"/>
      <c r="G781" s="130"/>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row>
    <row r="782" ht="15.75" customHeight="1">
      <c r="A782" s="22"/>
      <c r="B782" s="22"/>
      <c r="C782" s="22"/>
      <c r="D782" s="22"/>
      <c r="E782" s="22"/>
      <c r="F782" s="22"/>
      <c r="G782" s="130"/>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row>
    <row r="783" ht="15.75" customHeight="1">
      <c r="A783" s="22"/>
      <c r="B783" s="22"/>
      <c r="C783" s="22"/>
      <c r="D783" s="22"/>
      <c r="E783" s="22"/>
      <c r="F783" s="22"/>
      <c r="G783" s="130"/>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row>
    <row r="784" ht="15.75" customHeight="1">
      <c r="A784" s="22"/>
      <c r="B784" s="22"/>
      <c r="C784" s="22"/>
      <c r="D784" s="22"/>
      <c r="E784" s="22"/>
      <c r="F784" s="22"/>
      <c r="G784" s="130"/>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row>
    <row r="785" ht="15.75" customHeight="1">
      <c r="A785" s="22"/>
      <c r="B785" s="22"/>
      <c r="C785" s="22"/>
      <c r="D785" s="22"/>
      <c r="E785" s="22"/>
      <c r="F785" s="22"/>
      <c r="G785" s="130"/>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row>
    <row r="786" ht="15.75" customHeight="1">
      <c r="A786" s="22"/>
      <c r="B786" s="22"/>
      <c r="C786" s="22"/>
      <c r="D786" s="22"/>
      <c r="E786" s="22"/>
      <c r="F786" s="22"/>
      <c r="G786" s="130"/>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row>
    <row r="787" ht="15.75" customHeight="1">
      <c r="A787" s="22"/>
      <c r="B787" s="22"/>
      <c r="C787" s="22"/>
      <c r="D787" s="22"/>
      <c r="E787" s="22"/>
      <c r="F787" s="22"/>
      <c r="G787" s="130"/>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row>
    <row r="788" ht="15.75" customHeight="1">
      <c r="A788" s="22"/>
      <c r="B788" s="22"/>
      <c r="C788" s="22"/>
      <c r="D788" s="22"/>
      <c r="E788" s="22"/>
      <c r="F788" s="22"/>
      <c r="G788" s="130"/>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row>
    <row r="789" ht="15.75" customHeight="1">
      <c r="A789" s="22"/>
      <c r="B789" s="22"/>
      <c r="C789" s="22"/>
      <c r="D789" s="22"/>
      <c r="E789" s="22"/>
      <c r="F789" s="22"/>
      <c r="G789" s="130"/>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row>
    <row r="790" ht="15.75" customHeight="1">
      <c r="A790" s="22"/>
      <c r="B790" s="22"/>
      <c r="C790" s="22"/>
      <c r="D790" s="22"/>
      <c r="E790" s="22"/>
      <c r="F790" s="22"/>
      <c r="G790" s="130"/>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row>
    <row r="791" ht="15.75" customHeight="1">
      <c r="A791" s="22"/>
      <c r="B791" s="22"/>
      <c r="C791" s="22"/>
      <c r="D791" s="22"/>
      <c r="E791" s="22"/>
      <c r="F791" s="22"/>
      <c r="G791" s="130"/>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row>
    <row r="792" ht="15.75" customHeight="1">
      <c r="A792" s="22"/>
      <c r="B792" s="22"/>
      <c r="C792" s="22"/>
      <c r="D792" s="22"/>
      <c r="E792" s="22"/>
      <c r="F792" s="22"/>
      <c r="G792" s="130"/>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row>
    <row r="793" ht="15.75" customHeight="1">
      <c r="A793" s="22"/>
      <c r="B793" s="22"/>
      <c r="C793" s="22"/>
      <c r="D793" s="22"/>
      <c r="E793" s="22"/>
      <c r="F793" s="22"/>
      <c r="G793" s="130"/>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row>
    <row r="794" ht="15.75" customHeight="1">
      <c r="A794" s="22"/>
      <c r="B794" s="22"/>
      <c r="C794" s="22"/>
      <c r="D794" s="22"/>
      <c r="E794" s="22"/>
      <c r="F794" s="22"/>
      <c r="G794" s="130"/>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row>
    <row r="795" ht="15.75" customHeight="1">
      <c r="A795" s="22"/>
      <c r="B795" s="22"/>
      <c r="C795" s="22"/>
      <c r="D795" s="22"/>
      <c r="E795" s="22"/>
      <c r="F795" s="22"/>
      <c r="G795" s="130"/>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row>
    <row r="796" ht="15.75" customHeight="1">
      <c r="A796" s="22"/>
      <c r="B796" s="22"/>
      <c r="C796" s="22"/>
      <c r="D796" s="22"/>
      <c r="E796" s="22"/>
      <c r="F796" s="22"/>
      <c r="G796" s="130"/>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row>
    <row r="797" ht="15.75" customHeight="1">
      <c r="A797" s="22"/>
      <c r="B797" s="22"/>
      <c r="C797" s="22"/>
      <c r="D797" s="22"/>
      <c r="E797" s="22"/>
      <c r="F797" s="22"/>
      <c r="G797" s="130"/>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row>
    <row r="798" ht="15.75" customHeight="1">
      <c r="A798" s="22"/>
      <c r="B798" s="22"/>
      <c r="C798" s="22"/>
      <c r="D798" s="22"/>
      <c r="E798" s="22"/>
      <c r="F798" s="22"/>
      <c r="G798" s="130"/>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row>
    <row r="799" ht="15.75" customHeight="1">
      <c r="A799" s="22"/>
      <c r="B799" s="22"/>
      <c r="C799" s="22"/>
      <c r="D799" s="22"/>
      <c r="E799" s="22"/>
      <c r="F799" s="22"/>
      <c r="G799" s="130"/>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row>
    <row r="800" ht="15.75" customHeight="1">
      <c r="A800" s="22"/>
      <c r="B800" s="22"/>
      <c r="C800" s="22"/>
      <c r="D800" s="22"/>
      <c r="E800" s="22"/>
      <c r="F800" s="22"/>
      <c r="G800" s="130"/>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row>
    <row r="801" ht="15.75" customHeight="1">
      <c r="A801" s="22"/>
      <c r="B801" s="22"/>
      <c r="C801" s="22"/>
      <c r="D801" s="22"/>
      <c r="E801" s="22"/>
      <c r="F801" s="22"/>
      <c r="G801" s="130"/>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row>
    <row r="802" ht="15.75" customHeight="1">
      <c r="A802" s="22"/>
      <c r="B802" s="22"/>
      <c r="C802" s="22"/>
      <c r="D802" s="22"/>
      <c r="E802" s="22"/>
      <c r="F802" s="22"/>
      <c r="G802" s="130"/>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row>
    <row r="803" ht="15.75" customHeight="1">
      <c r="A803" s="22"/>
      <c r="B803" s="22"/>
      <c r="C803" s="22"/>
      <c r="D803" s="22"/>
      <c r="E803" s="22"/>
      <c r="F803" s="22"/>
      <c r="G803" s="130"/>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row>
    <row r="804" ht="15.75" customHeight="1">
      <c r="A804" s="22"/>
      <c r="B804" s="22"/>
      <c r="C804" s="22"/>
      <c r="D804" s="22"/>
      <c r="E804" s="22"/>
      <c r="F804" s="22"/>
      <c r="G804" s="130"/>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row>
    <row r="805" ht="15.75" customHeight="1">
      <c r="A805" s="22"/>
      <c r="B805" s="22"/>
      <c r="C805" s="22"/>
      <c r="D805" s="22"/>
      <c r="E805" s="22"/>
      <c r="F805" s="22"/>
      <c r="G805" s="130"/>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row>
    <row r="806" ht="15.75" customHeight="1">
      <c r="A806" s="22"/>
      <c r="B806" s="22"/>
      <c r="C806" s="22"/>
      <c r="D806" s="22"/>
      <c r="E806" s="22"/>
      <c r="F806" s="22"/>
      <c r="G806" s="130"/>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row>
    <row r="807" ht="15.75" customHeight="1">
      <c r="A807" s="22"/>
      <c r="B807" s="22"/>
      <c r="C807" s="22"/>
      <c r="D807" s="22"/>
      <c r="E807" s="22"/>
      <c r="F807" s="22"/>
      <c r="G807" s="130"/>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row>
    <row r="808" ht="15.75" customHeight="1">
      <c r="A808" s="22"/>
      <c r="B808" s="22"/>
      <c r="C808" s="22"/>
      <c r="D808" s="22"/>
      <c r="E808" s="22"/>
      <c r="F808" s="22"/>
      <c r="G808" s="130"/>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row>
    <row r="809" ht="15.75" customHeight="1">
      <c r="A809" s="22"/>
      <c r="B809" s="22"/>
      <c r="C809" s="22"/>
      <c r="D809" s="22"/>
      <c r="E809" s="22"/>
      <c r="F809" s="22"/>
      <c r="G809" s="130"/>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row>
    <row r="810" ht="15.75" customHeight="1">
      <c r="A810" s="22"/>
      <c r="B810" s="22"/>
      <c r="C810" s="22"/>
      <c r="D810" s="22"/>
      <c r="E810" s="22"/>
      <c r="F810" s="22"/>
      <c r="G810" s="130"/>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row>
    <row r="811" ht="15.75" customHeight="1">
      <c r="A811" s="22"/>
      <c r="B811" s="22"/>
      <c r="C811" s="22"/>
      <c r="D811" s="22"/>
      <c r="E811" s="22"/>
      <c r="F811" s="22"/>
      <c r="G811" s="130"/>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row>
    <row r="812" ht="15.75" customHeight="1">
      <c r="A812" s="22"/>
      <c r="B812" s="22"/>
      <c r="C812" s="22"/>
      <c r="D812" s="22"/>
      <c r="E812" s="22"/>
      <c r="F812" s="22"/>
      <c r="G812" s="130"/>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row>
    <row r="813" ht="15.75" customHeight="1">
      <c r="A813" s="22"/>
      <c r="B813" s="22"/>
      <c r="C813" s="22"/>
      <c r="D813" s="22"/>
      <c r="E813" s="22"/>
      <c r="F813" s="22"/>
      <c r="G813" s="130"/>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row>
    <row r="814" ht="15.75" customHeight="1">
      <c r="A814" s="22"/>
      <c r="B814" s="22"/>
      <c r="C814" s="22"/>
      <c r="D814" s="22"/>
      <c r="E814" s="22"/>
      <c r="F814" s="22"/>
      <c r="G814" s="130"/>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row>
    <row r="815" ht="15.75" customHeight="1">
      <c r="A815" s="22"/>
      <c r="B815" s="22"/>
      <c r="C815" s="22"/>
      <c r="D815" s="22"/>
      <c r="E815" s="22"/>
      <c r="F815" s="22"/>
      <c r="G815" s="130"/>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row>
    <row r="816" ht="15.75" customHeight="1">
      <c r="A816" s="22"/>
      <c r="B816" s="22"/>
      <c r="C816" s="22"/>
      <c r="D816" s="22"/>
      <c r="E816" s="22"/>
      <c r="F816" s="22"/>
      <c r="G816" s="130"/>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row>
    <row r="817" ht="15.75" customHeight="1">
      <c r="A817" s="22"/>
      <c r="B817" s="22"/>
      <c r="C817" s="22"/>
      <c r="D817" s="22"/>
      <c r="E817" s="22"/>
      <c r="F817" s="22"/>
      <c r="G817" s="130"/>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row>
    <row r="818" ht="15.75" customHeight="1">
      <c r="A818" s="22"/>
      <c r="B818" s="22"/>
      <c r="C818" s="22"/>
      <c r="D818" s="22"/>
      <c r="E818" s="22"/>
      <c r="F818" s="22"/>
      <c r="G818" s="130"/>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row>
    <row r="819" ht="15.75" customHeight="1">
      <c r="A819" s="22"/>
      <c r="B819" s="22"/>
      <c r="C819" s="22"/>
      <c r="D819" s="22"/>
      <c r="E819" s="22"/>
      <c r="F819" s="22"/>
      <c r="G819" s="130"/>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row>
    <row r="820" ht="15.75" customHeight="1">
      <c r="A820" s="22"/>
      <c r="B820" s="22"/>
      <c r="C820" s="22"/>
      <c r="D820" s="22"/>
      <c r="E820" s="22"/>
      <c r="F820" s="22"/>
      <c r="G820" s="130"/>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row>
    <row r="821" ht="15.75" customHeight="1">
      <c r="A821" s="22"/>
      <c r="B821" s="22"/>
      <c r="C821" s="22"/>
      <c r="D821" s="22"/>
      <c r="E821" s="22"/>
      <c r="F821" s="22"/>
      <c r="G821" s="130"/>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row>
    <row r="822" ht="15.75" customHeight="1">
      <c r="A822" s="22"/>
      <c r="B822" s="22"/>
      <c r="C822" s="22"/>
      <c r="D822" s="22"/>
      <c r="E822" s="22"/>
      <c r="F822" s="22"/>
      <c r="G822" s="130"/>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row>
    <row r="823" ht="15.75" customHeight="1">
      <c r="A823" s="22"/>
      <c r="B823" s="22"/>
      <c r="C823" s="22"/>
      <c r="D823" s="22"/>
      <c r="E823" s="22"/>
      <c r="F823" s="22"/>
      <c r="G823" s="130"/>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row>
    <row r="824" ht="15.75" customHeight="1">
      <c r="A824" s="22"/>
      <c r="B824" s="22"/>
      <c r="C824" s="22"/>
      <c r="D824" s="22"/>
      <c r="E824" s="22"/>
      <c r="F824" s="22"/>
      <c r="G824" s="130"/>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row>
    <row r="825" ht="15.75" customHeight="1">
      <c r="A825" s="22"/>
      <c r="B825" s="22"/>
      <c r="C825" s="22"/>
      <c r="D825" s="22"/>
      <c r="E825" s="22"/>
      <c r="F825" s="22"/>
      <c r="G825" s="130"/>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row>
    <row r="826" ht="15.75" customHeight="1">
      <c r="A826" s="22"/>
      <c r="B826" s="22"/>
      <c r="C826" s="22"/>
      <c r="D826" s="22"/>
      <c r="E826" s="22"/>
      <c r="F826" s="22"/>
      <c r="G826" s="130"/>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row>
    <row r="827" ht="15.75" customHeight="1">
      <c r="A827" s="22"/>
      <c r="B827" s="22"/>
      <c r="C827" s="22"/>
      <c r="D827" s="22"/>
      <c r="E827" s="22"/>
      <c r="F827" s="22"/>
      <c r="G827" s="130"/>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row>
    <row r="828" ht="15.75" customHeight="1">
      <c r="A828" s="22"/>
      <c r="B828" s="22"/>
      <c r="C828" s="22"/>
      <c r="D828" s="22"/>
      <c r="E828" s="22"/>
      <c r="F828" s="22"/>
      <c r="G828" s="130"/>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row>
    <row r="829" ht="15.75" customHeight="1">
      <c r="A829" s="22"/>
      <c r="B829" s="22"/>
      <c r="C829" s="22"/>
      <c r="D829" s="22"/>
      <c r="E829" s="22"/>
      <c r="F829" s="22"/>
      <c r="G829" s="130"/>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row>
    <row r="830" ht="15.75" customHeight="1">
      <c r="A830" s="22"/>
      <c r="B830" s="22"/>
      <c r="C830" s="22"/>
      <c r="D830" s="22"/>
      <c r="E830" s="22"/>
      <c r="F830" s="22"/>
      <c r="G830" s="130"/>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row>
    <row r="831" ht="15.75" customHeight="1">
      <c r="A831" s="22"/>
      <c r="B831" s="22"/>
      <c r="C831" s="22"/>
      <c r="D831" s="22"/>
      <c r="E831" s="22"/>
      <c r="F831" s="22"/>
      <c r="G831" s="130"/>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row>
    <row r="832" ht="15.75" customHeight="1">
      <c r="A832" s="22"/>
      <c r="B832" s="22"/>
      <c r="C832" s="22"/>
      <c r="D832" s="22"/>
      <c r="E832" s="22"/>
      <c r="F832" s="22"/>
      <c r="G832" s="130"/>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row>
    <row r="833" ht="15.75" customHeight="1">
      <c r="A833" s="22"/>
      <c r="B833" s="22"/>
      <c r="C833" s="22"/>
      <c r="D833" s="22"/>
      <c r="E833" s="22"/>
      <c r="F833" s="22"/>
      <c r="G833" s="130"/>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row>
    <row r="834" ht="15.75" customHeight="1">
      <c r="A834" s="22"/>
      <c r="B834" s="22"/>
      <c r="C834" s="22"/>
      <c r="D834" s="22"/>
      <c r="E834" s="22"/>
      <c r="F834" s="22"/>
      <c r="G834" s="130"/>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row>
    <row r="835" ht="15.75" customHeight="1">
      <c r="A835" s="22"/>
      <c r="B835" s="22"/>
      <c r="C835" s="22"/>
      <c r="D835" s="22"/>
      <c r="E835" s="22"/>
      <c r="F835" s="22"/>
      <c r="G835" s="130"/>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row>
    <row r="836" ht="15.75" customHeight="1">
      <c r="A836" s="22"/>
      <c r="B836" s="22"/>
      <c r="C836" s="22"/>
      <c r="D836" s="22"/>
      <c r="E836" s="22"/>
      <c r="F836" s="22"/>
      <c r="G836" s="130"/>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row>
    <row r="837" ht="15.75" customHeight="1">
      <c r="A837" s="22"/>
      <c r="B837" s="22"/>
      <c r="C837" s="22"/>
      <c r="D837" s="22"/>
      <c r="E837" s="22"/>
      <c r="F837" s="22"/>
      <c r="G837" s="130"/>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row>
    <row r="838" ht="15.75" customHeight="1">
      <c r="A838" s="22"/>
      <c r="B838" s="22"/>
      <c r="C838" s="22"/>
      <c r="D838" s="22"/>
      <c r="E838" s="22"/>
      <c r="F838" s="22"/>
      <c r="G838" s="130"/>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row>
    <row r="839" ht="15.75" customHeight="1">
      <c r="A839" s="22"/>
      <c r="B839" s="22"/>
      <c r="C839" s="22"/>
      <c r="D839" s="22"/>
      <c r="E839" s="22"/>
      <c r="F839" s="22"/>
      <c r="G839" s="130"/>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row>
    <row r="840" ht="15.75" customHeight="1">
      <c r="A840" s="22"/>
      <c r="B840" s="22"/>
      <c r="C840" s="22"/>
      <c r="D840" s="22"/>
      <c r="E840" s="22"/>
      <c r="F840" s="22"/>
      <c r="G840" s="130"/>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row>
    <row r="841" ht="15.75" customHeight="1">
      <c r="A841" s="22"/>
      <c r="B841" s="22"/>
      <c r="C841" s="22"/>
      <c r="D841" s="22"/>
      <c r="E841" s="22"/>
      <c r="F841" s="22"/>
      <c r="G841" s="130"/>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row>
    <row r="842" ht="15.75" customHeight="1">
      <c r="A842" s="22"/>
      <c r="B842" s="22"/>
      <c r="C842" s="22"/>
      <c r="D842" s="22"/>
      <c r="E842" s="22"/>
      <c r="F842" s="22"/>
      <c r="G842" s="130"/>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row>
    <row r="843" ht="15.75" customHeight="1">
      <c r="A843" s="22"/>
      <c r="B843" s="22"/>
      <c r="C843" s="22"/>
      <c r="D843" s="22"/>
      <c r="E843" s="22"/>
      <c r="F843" s="22"/>
      <c r="G843" s="130"/>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row>
    <row r="844" ht="15.75" customHeight="1">
      <c r="A844" s="22"/>
      <c r="B844" s="22"/>
      <c r="C844" s="22"/>
      <c r="D844" s="22"/>
      <c r="E844" s="22"/>
      <c r="F844" s="22"/>
      <c r="G844" s="130"/>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row>
    <row r="845" ht="15.75" customHeight="1">
      <c r="A845" s="22"/>
      <c r="B845" s="22"/>
      <c r="C845" s="22"/>
      <c r="D845" s="22"/>
      <c r="E845" s="22"/>
      <c r="F845" s="22"/>
      <c r="G845" s="130"/>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row>
    <row r="846" ht="15.75" customHeight="1">
      <c r="A846" s="22"/>
      <c r="B846" s="22"/>
      <c r="C846" s="22"/>
      <c r="D846" s="22"/>
      <c r="E846" s="22"/>
      <c r="F846" s="22"/>
      <c r="G846" s="130"/>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row>
    <row r="847" ht="15.75" customHeight="1">
      <c r="A847" s="22"/>
      <c r="B847" s="22"/>
      <c r="C847" s="22"/>
      <c r="D847" s="22"/>
      <c r="E847" s="22"/>
      <c r="F847" s="22"/>
      <c r="G847" s="130"/>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row>
    <row r="848" ht="15.75" customHeight="1">
      <c r="A848" s="22"/>
      <c r="B848" s="22"/>
      <c r="C848" s="22"/>
      <c r="D848" s="22"/>
      <c r="E848" s="22"/>
      <c r="F848" s="22"/>
      <c r="G848" s="130"/>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row>
    <row r="849" ht="15.75" customHeight="1">
      <c r="A849" s="22"/>
      <c r="B849" s="22"/>
      <c r="C849" s="22"/>
      <c r="D849" s="22"/>
      <c r="E849" s="22"/>
      <c r="F849" s="22"/>
      <c r="G849" s="130"/>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row>
    <row r="850" ht="15.75" customHeight="1">
      <c r="A850" s="22"/>
      <c r="B850" s="22"/>
      <c r="C850" s="22"/>
      <c r="D850" s="22"/>
      <c r="E850" s="22"/>
      <c r="F850" s="22"/>
      <c r="G850" s="130"/>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row>
    <row r="851" ht="15.75" customHeight="1">
      <c r="A851" s="22"/>
      <c r="B851" s="22"/>
      <c r="C851" s="22"/>
      <c r="D851" s="22"/>
      <c r="E851" s="22"/>
      <c r="F851" s="22"/>
      <c r="G851" s="130"/>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row>
    <row r="852" ht="15.75" customHeight="1">
      <c r="A852" s="22"/>
      <c r="B852" s="22"/>
      <c r="C852" s="22"/>
      <c r="D852" s="22"/>
      <c r="E852" s="22"/>
      <c r="F852" s="22"/>
      <c r="G852" s="130"/>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row>
    <row r="853" ht="15.75" customHeight="1">
      <c r="A853" s="22"/>
      <c r="B853" s="22"/>
      <c r="C853" s="22"/>
      <c r="D853" s="22"/>
      <c r="E853" s="22"/>
      <c r="F853" s="22"/>
      <c r="G853" s="130"/>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row>
    <row r="854" ht="15.75" customHeight="1">
      <c r="A854" s="22"/>
      <c r="B854" s="22"/>
      <c r="C854" s="22"/>
      <c r="D854" s="22"/>
      <c r="E854" s="22"/>
      <c r="F854" s="22"/>
      <c r="G854" s="130"/>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row>
    <row r="855" ht="15.75" customHeight="1">
      <c r="A855" s="22"/>
      <c r="B855" s="22"/>
      <c r="C855" s="22"/>
      <c r="D855" s="22"/>
      <c r="E855" s="22"/>
      <c r="F855" s="22"/>
      <c r="G855" s="130"/>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row>
    <row r="856" ht="15.75" customHeight="1">
      <c r="A856" s="22"/>
      <c r="B856" s="22"/>
      <c r="C856" s="22"/>
      <c r="D856" s="22"/>
      <c r="E856" s="22"/>
      <c r="F856" s="22"/>
      <c r="G856" s="130"/>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row>
    <row r="857" ht="15.75" customHeight="1">
      <c r="A857" s="22"/>
      <c r="B857" s="22"/>
      <c r="C857" s="22"/>
      <c r="D857" s="22"/>
      <c r="E857" s="22"/>
      <c r="F857" s="22"/>
      <c r="G857" s="130"/>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row>
    <row r="858" ht="15.75" customHeight="1">
      <c r="A858" s="22"/>
      <c r="B858" s="22"/>
      <c r="C858" s="22"/>
      <c r="D858" s="22"/>
      <c r="E858" s="22"/>
      <c r="F858" s="22"/>
      <c r="G858" s="130"/>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row>
    <row r="859" ht="15.75" customHeight="1">
      <c r="A859" s="22"/>
      <c r="B859" s="22"/>
      <c r="C859" s="22"/>
      <c r="D859" s="22"/>
      <c r="E859" s="22"/>
      <c r="F859" s="22"/>
      <c r="G859" s="130"/>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row>
    <row r="860" ht="15.75" customHeight="1">
      <c r="A860" s="22"/>
      <c r="B860" s="22"/>
      <c r="C860" s="22"/>
      <c r="D860" s="22"/>
      <c r="E860" s="22"/>
      <c r="F860" s="22"/>
      <c r="G860" s="130"/>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row>
    <row r="861" ht="15.75" customHeight="1">
      <c r="A861" s="22"/>
      <c r="B861" s="22"/>
      <c r="C861" s="22"/>
      <c r="D861" s="22"/>
      <c r="E861" s="22"/>
      <c r="F861" s="22"/>
      <c r="G861" s="130"/>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row>
    <row r="862" ht="15.75" customHeight="1">
      <c r="A862" s="22"/>
      <c r="B862" s="22"/>
      <c r="C862" s="22"/>
      <c r="D862" s="22"/>
      <c r="E862" s="22"/>
      <c r="F862" s="22"/>
      <c r="G862" s="130"/>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row>
    <row r="863" ht="15.75" customHeight="1">
      <c r="A863" s="22"/>
      <c r="B863" s="22"/>
      <c r="C863" s="22"/>
      <c r="D863" s="22"/>
      <c r="E863" s="22"/>
      <c r="F863" s="22"/>
      <c r="G863" s="130"/>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row>
    <row r="864" ht="15.75" customHeight="1">
      <c r="A864" s="22"/>
      <c r="B864" s="22"/>
      <c r="C864" s="22"/>
      <c r="D864" s="22"/>
      <c r="E864" s="22"/>
      <c r="F864" s="22"/>
      <c r="G864" s="130"/>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row>
    <row r="865" ht="15.75" customHeight="1">
      <c r="A865" s="22"/>
      <c r="B865" s="22"/>
      <c r="C865" s="22"/>
      <c r="D865" s="22"/>
      <c r="E865" s="22"/>
      <c r="F865" s="22"/>
      <c r="G865" s="130"/>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row>
    <row r="866" ht="15.75" customHeight="1">
      <c r="A866" s="22"/>
      <c r="B866" s="22"/>
      <c r="C866" s="22"/>
      <c r="D866" s="22"/>
      <c r="E866" s="22"/>
      <c r="F866" s="22"/>
      <c r="G866" s="130"/>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row>
    <row r="867" ht="15.75" customHeight="1">
      <c r="A867" s="22"/>
      <c r="B867" s="22"/>
      <c r="C867" s="22"/>
      <c r="D867" s="22"/>
      <c r="E867" s="22"/>
      <c r="F867" s="22"/>
      <c r="G867" s="130"/>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row>
    <row r="868" ht="15.75" customHeight="1">
      <c r="A868" s="22"/>
      <c r="B868" s="22"/>
      <c r="C868" s="22"/>
      <c r="D868" s="22"/>
      <c r="E868" s="22"/>
      <c r="F868" s="22"/>
      <c r="G868" s="130"/>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row>
    <row r="869" ht="15.75" customHeight="1">
      <c r="A869" s="22"/>
      <c r="B869" s="22"/>
      <c r="C869" s="22"/>
      <c r="D869" s="22"/>
      <c r="E869" s="22"/>
      <c r="F869" s="22"/>
      <c r="G869" s="130"/>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row>
    <row r="870" ht="15.75" customHeight="1">
      <c r="A870" s="22"/>
      <c r="B870" s="22"/>
      <c r="C870" s="22"/>
      <c r="D870" s="22"/>
      <c r="E870" s="22"/>
      <c r="F870" s="22"/>
      <c r="G870" s="130"/>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row>
    <row r="871" ht="15.75" customHeight="1">
      <c r="A871" s="22"/>
      <c r="B871" s="22"/>
      <c r="C871" s="22"/>
      <c r="D871" s="22"/>
      <c r="E871" s="22"/>
      <c r="F871" s="22"/>
      <c r="G871" s="130"/>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row>
    <row r="872" ht="15.75" customHeight="1">
      <c r="A872" s="22"/>
      <c r="B872" s="22"/>
      <c r="C872" s="22"/>
      <c r="D872" s="22"/>
      <c r="E872" s="22"/>
      <c r="F872" s="22"/>
      <c r="G872" s="130"/>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row>
    <row r="873" ht="15.75" customHeight="1">
      <c r="A873" s="22"/>
      <c r="B873" s="22"/>
      <c r="C873" s="22"/>
      <c r="D873" s="22"/>
      <c r="E873" s="22"/>
      <c r="F873" s="22"/>
      <c r="G873" s="130"/>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row>
    <row r="874" ht="15.75" customHeight="1">
      <c r="A874" s="22"/>
      <c r="B874" s="22"/>
      <c r="C874" s="22"/>
      <c r="D874" s="22"/>
      <c r="E874" s="22"/>
      <c r="F874" s="22"/>
      <c r="G874" s="130"/>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row>
    <row r="875" ht="15.75" customHeight="1">
      <c r="A875" s="22"/>
      <c r="B875" s="22"/>
      <c r="C875" s="22"/>
      <c r="D875" s="22"/>
      <c r="E875" s="22"/>
      <c r="F875" s="22"/>
      <c r="G875" s="130"/>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row>
    <row r="876" ht="15.75" customHeight="1">
      <c r="A876" s="22"/>
      <c r="B876" s="22"/>
      <c r="C876" s="22"/>
      <c r="D876" s="22"/>
      <c r="E876" s="22"/>
      <c r="F876" s="22"/>
      <c r="G876" s="130"/>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row>
    <row r="877" ht="15.75" customHeight="1">
      <c r="A877" s="22"/>
      <c r="B877" s="22"/>
      <c r="C877" s="22"/>
      <c r="D877" s="22"/>
      <c r="E877" s="22"/>
      <c r="F877" s="22"/>
      <c r="G877" s="130"/>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row>
    <row r="878" ht="15.75" customHeight="1">
      <c r="A878" s="22"/>
      <c r="B878" s="22"/>
      <c r="C878" s="22"/>
      <c r="D878" s="22"/>
      <c r="E878" s="22"/>
      <c r="F878" s="22"/>
      <c r="G878" s="130"/>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row>
    <row r="879" ht="15.75" customHeight="1">
      <c r="A879" s="22"/>
      <c r="B879" s="22"/>
      <c r="C879" s="22"/>
      <c r="D879" s="22"/>
      <c r="E879" s="22"/>
      <c r="F879" s="22"/>
      <c r="G879" s="130"/>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row>
    <row r="880" ht="15.75" customHeight="1">
      <c r="A880" s="22"/>
      <c r="B880" s="22"/>
      <c r="C880" s="22"/>
      <c r="D880" s="22"/>
      <c r="E880" s="22"/>
      <c r="F880" s="22"/>
      <c r="G880" s="130"/>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row>
    <row r="881" ht="15.75" customHeight="1">
      <c r="A881" s="22"/>
      <c r="B881" s="22"/>
      <c r="C881" s="22"/>
      <c r="D881" s="22"/>
      <c r="E881" s="22"/>
      <c r="F881" s="22"/>
      <c r="G881" s="130"/>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row>
    <row r="882" ht="15.75" customHeight="1">
      <c r="A882" s="22"/>
      <c r="B882" s="22"/>
      <c r="C882" s="22"/>
      <c r="D882" s="22"/>
      <c r="E882" s="22"/>
      <c r="F882" s="22"/>
      <c r="G882" s="130"/>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row>
    <row r="883" ht="15.75" customHeight="1">
      <c r="A883" s="22"/>
      <c r="B883" s="22"/>
      <c r="C883" s="22"/>
      <c r="D883" s="22"/>
      <c r="E883" s="22"/>
      <c r="F883" s="22"/>
      <c r="G883" s="130"/>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row>
    <row r="884" ht="15.75" customHeight="1">
      <c r="A884" s="22"/>
      <c r="B884" s="22"/>
      <c r="C884" s="22"/>
      <c r="D884" s="22"/>
      <c r="E884" s="22"/>
      <c r="F884" s="22"/>
      <c r="G884" s="130"/>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row>
    <row r="885" ht="15.75" customHeight="1">
      <c r="A885" s="22"/>
      <c r="B885" s="22"/>
      <c r="C885" s="22"/>
      <c r="D885" s="22"/>
      <c r="E885" s="22"/>
      <c r="F885" s="22"/>
      <c r="G885" s="130"/>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row>
    <row r="886" ht="15.75" customHeight="1">
      <c r="A886" s="22"/>
      <c r="B886" s="22"/>
      <c r="C886" s="22"/>
      <c r="D886" s="22"/>
      <c r="E886" s="22"/>
      <c r="F886" s="22"/>
      <c r="G886" s="130"/>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row>
    <row r="887" ht="15.75" customHeight="1">
      <c r="A887" s="22"/>
      <c r="B887" s="22"/>
      <c r="C887" s="22"/>
      <c r="D887" s="22"/>
      <c r="E887" s="22"/>
      <c r="F887" s="22"/>
      <c r="G887" s="130"/>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row>
    <row r="888" ht="15.75" customHeight="1">
      <c r="A888" s="22"/>
      <c r="B888" s="22"/>
      <c r="C888" s="22"/>
      <c r="D888" s="22"/>
      <c r="E888" s="22"/>
      <c r="F888" s="22"/>
      <c r="G888" s="130"/>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row>
    <row r="889" ht="15.75" customHeight="1">
      <c r="A889" s="22"/>
      <c r="B889" s="22"/>
      <c r="C889" s="22"/>
      <c r="D889" s="22"/>
      <c r="E889" s="22"/>
      <c r="F889" s="22"/>
      <c r="G889" s="130"/>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row>
    <row r="890" ht="15.75" customHeight="1">
      <c r="A890" s="22"/>
      <c r="B890" s="22"/>
      <c r="C890" s="22"/>
      <c r="D890" s="22"/>
      <c r="E890" s="22"/>
      <c r="F890" s="22"/>
      <c r="G890" s="130"/>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row>
    <row r="891" ht="15.75" customHeight="1">
      <c r="A891" s="22"/>
      <c r="B891" s="22"/>
      <c r="C891" s="22"/>
      <c r="D891" s="22"/>
      <c r="E891" s="22"/>
      <c r="F891" s="22"/>
      <c r="G891" s="130"/>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row>
    <row r="892" ht="15.75" customHeight="1">
      <c r="A892" s="22"/>
      <c r="B892" s="22"/>
      <c r="C892" s="22"/>
      <c r="D892" s="22"/>
      <c r="E892" s="22"/>
      <c r="F892" s="22"/>
      <c r="G892" s="130"/>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row>
    <row r="893" ht="15.75" customHeight="1">
      <c r="A893" s="22"/>
      <c r="B893" s="22"/>
      <c r="C893" s="22"/>
      <c r="D893" s="22"/>
      <c r="E893" s="22"/>
      <c r="F893" s="22"/>
      <c r="G893" s="130"/>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row>
    <row r="894" ht="15.75" customHeight="1">
      <c r="A894" s="22"/>
      <c r="B894" s="22"/>
      <c r="C894" s="22"/>
      <c r="D894" s="22"/>
      <c r="E894" s="22"/>
      <c r="F894" s="22"/>
      <c r="G894" s="130"/>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row>
    <row r="895" ht="15.75" customHeight="1">
      <c r="A895" s="22"/>
      <c r="B895" s="22"/>
      <c r="C895" s="22"/>
      <c r="D895" s="22"/>
      <c r="E895" s="22"/>
      <c r="F895" s="22"/>
      <c r="G895" s="130"/>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row>
    <row r="896" ht="15.75" customHeight="1">
      <c r="A896" s="22"/>
      <c r="B896" s="22"/>
      <c r="C896" s="22"/>
      <c r="D896" s="22"/>
      <c r="E896" s="22"/>
      <c r="F896" s="22"/>
      <c r="G896" s="130"/>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row>
    <row r="897" ht="15.75" customHeight="1">
      <c r="A897" s="22"/>
      <c r="B897" s="22"/>
      <c r="C897" s="22"/>
      <c r="D897" s="22"/>
      <c r="E897" s="22"/>
      <c r="F897" s="22"/>
      <c r="G897" s="130"/>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row>
    <row r="898" ht="15.75" customHeight="1">
      <c r="A898" s="22"/>
      <c r="B898" s="22"/>
      <c r="C898" s="22"/>
      <c r="D898" s="22"/>
      <c r="E898" s="22"/>
      <c r="F898" s="22"/>
      <c r="G898" s="130"/>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row>
    <row r="899" ht="15.75" customHeight="1">
      <c r="A899" s="22"/>
      <c r="B899" s="22"/>
      <c r="C899" s="22"/>
      <c r="D899" s="22"/>
      <c r="E899" s="22"/>
      <c r="F899" s="22"/>
      <c r="G899" s="130"/>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row>
    <row r="900" ht="15.75" customHeight="1">
      <c r="A900" s="22"/>
      <c r="B900" s="22"/>
      <c r="C900" s="22"/>
      <c r="D900" s="22"/>
      <c r="E900" s="22"/>
      <c r="F900" s="22"/>
      <c r="G900" s="130"/>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row>
    <row r="901" ht="15.75" customHeight="1">
      <c r="A901" s="22"/>
      <c r="B901" s="22"/>
      <c r="C901" s="22"/>
      <c r="D901" s="22"/>
      <c r="E901" s="22"/>
      <c r="F901" s="22"/>
      <c r="G901" s="130"/>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row>
    <row r="902" ht="15.75" customHeight="1">
      <c r="A902" s="22"/>
      <c r="B902" s="22"/>
      <c r="C902" s="22"/>
      <c r="D902" s="22"/>
      <c r="E902" s="22"/>
      <c r="F902" s="22"/>
      <c r="G902" s="130"/>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row>
    <row r="903" ht="15.75" customHeight="1">
      <c r="A903" s="22"/>
      <c r="B903" s="22"/>
      <c r="C903" s="22"/>
      <c r="D903" s="22"/>
      <c r="E903" s="22"/>
      <c r="F903" s="22"/>
      <c r="G903" s="130"/>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row>
    <row r="904" ht="15.75" customHeight="1">
      <c r="A904" s="22"/>
      <c r="B904" s="22"/>
      <c r="C904" s="22"/>
      <c r="D904" s="22"/>
      <c r="E904" s="22"/>
      <c r="F904" s="22"/>
      <c r="G904" s="130"/>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row>
    <row r="905" ht="15.75" customHeight="1">
      <c r="A905" s="22"/>
      <c r="B905" s="22"/>
      <c r="C905" s="22"/>
      <c r="D905" s="22"/>
      <c r="E905" s="22"/>
      <c r="F905" s="22"/>
      <c r="G905" s="130"/>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row>
    <row r="906" ht="15.75" customHeight="1">
      <c r="A906" s="22"/>
      <c r="B906" s="22"/>
      <c r="C906" s="22"/>
      <c r="D906" s="22"/>
      <c r="E906" s="22"/>
      <c r="F906" s="22"/>
      <c r="G906" s="130"/>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row>
    <row r="907" ht="15.75" customHeight="1">
      <c r="A907" s="22"/>
      <c r="B907" s="22"/>
      <c r="C907" s="22"/>
      <c r="D907" s="22"/>
      <c r="E907" s="22"/>
      <c r="F907" s="22"/>
      <c r="G907" s="130"/>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row>
    <row r="908" ht="15.75" customHeight="1">
      <c r="A908" s="22"/>
      <c r="B908" s="22"/>
      <c r="C908" s="22"/>
      <c r="D908" s="22"/>
      <c r="E908" s="22"/>
      <c r="F908" s="22"/>
      <c r="G908" s="130"/>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row>
    <row r="909" ht="15.75" customHeight="1">
      <c r="A909" s="22"/>
      <c r="B909" s="22"/>
      <c r="C909" s="22"/>
      <c r="D909" s="22"/>
      <c r="E909" s="22"/>
      <c r="F909" s="22"/>
      <c r="G909" s="130"/>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row>
    <row r="910" ht="15.75" customHeight="1">
      <c r="A910" s="22"/>
      <c r="B910" s="22"/>
      <c r="C910" s="22"/>
      <c r="D910" s="22"/>
      <c r="E910" s="22"/>
      <c r="F910" s="22"/>
      <c r="G910" s="130"/>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row>
    <row r="911" ht="15.75" customHeight="1">
      <c r="A911" s="22"/>
      <c r="B911" s="22"/>
      <c r="C911" s="22"/>
      <c r="D911" s="22"/>
      <c r="E911" s="22"/>
      <c r="F911" s="22"/>
      <c r="G911" s="130"/>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row>
    <row r="912" ht="15.75" customHeight="1">
      <c r="A912" s="22"/>
      <c r="B912" s="22"/>
      <c r="C912" s="22"/>
      <c r="D912" s="22"/>
      <c r="E912" s="22"/>
      <c r="F912" s="22"/>
      <c r="G912" s="130"/>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row>
    <row r="913" ht="15.75" customHeight="1">
      <c r="A913" s="22"/>
      <c r="B913" s="22"/>
      <c r="C913" s="22"/>
      <c r="D913" s="22"/>
      <c r="E913" s="22"/>
      <c r="F913" s="22"/>
      <c r="G913" s="130"/>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row>
    <row r="914" ht="15.75" customHeight="1">
      <c r="A914" s="22"/>
      <c r="B914" s="22"/>
      <c r="C914" s="22"/>
      <c r="D914" s="22"/>
      <c r="E914" s="22"/>
      <c r="F914" s="22"/>
      <c r="G914" s="130"/>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row>
    <row r="915" ht="15.75" customHeight="1">
      <c r="A915" s="22"/>
      <c r="B915" s="22"/>
      <c r="C915" s="22"/>
      <c r="D915" s="22"/>
      <c r="E915" s="22"/>
      <c r="F915" s="22"/>
      <c r="G915" s="130"/>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row>
    <row r="916" ht="15.75" customHeight="1">
      <c r="A916" s="22"/>
      <c r="B916" s="22"/>
      <c r="C916" s="22"/>
      <c r="D916" s="22"/>
      <c r="E916" s="22"/>
      <c r="F916" s="22"/>
      <c r="G916" s="130"/>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row>
    <row r="917" ht="15.75" customHeight="1">
      <c r="A917" s="22"/>
      <c r="B917" s="22"/>
      <c r="C917" s="22"/>
      <c r="D917" s="22"/>
      <c r="E917" s="22"/>
      <c r="F917" s="22"/>
      <c r="G917" s="130"/>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row>
    <row r="918" ht="15.75" customHeight="1">
      <c r="A918" s="22"/>
      <c r="B918" s="22"/>
      <c r="C918" s="22"/>
      <c r="D918" s="22"/>
      <c r="E918" s="22"/>
      <c r="F918" s="22"/>
      <c r="G918" s="130"/>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row>
    <row r="919" ht="15.75" customHeight="1">
      <c r="A919" s="22"/>
      <c r="B919" s="22"/>
      <c r="C919" s="22"/>
      <c r="D919" s="22"/>
      <c r="E919" s="22"/>
      <c r="F919" s="22"/>
      <c r="G919" s="130"/>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row>
    <row r="920" ht="15.75" customHeight="1">
      <c r="A920" s="22"/>
      <c r="B920" s="22"/>
      <c r="C920" s="22"/>
      <c r="D920" s="22"/>
      <c r="E920" s="22"/>
      <c r="F920" s="22"/>
      <c r="G920" s="130"/>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row>
    <row r="921" ht="15.75" customHeight="1">
      <c r="A921" s="22"/>
      <c r="B921" s="22"/>
      <c r="C921" s="22"/>
      <c r="D921" s="22"/>
      <c r="E921" s="22"/>
      <c r="F921" s="22"/>
      <c r="G921" s="130"/>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row>
    <row r="922" ht="15.75" customHeight="1">
      <c r="A922" s="22"/>
      <c r="B922" s="22"/>
      <c r="C922" s="22"/>
      <c r="D922" s="22"/>
      <c r="E922" s="22"/>
      <c r="F922" s="22"/>
      <c r="G922" s="130"/>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row>
    <row r="923" ht="15.75" customHeight="1">
      <c r="A923" s="22"/>
      <c r="B923" s="22"/>
      <c r="C923" s="22"/>
      <c r="D923" s="22"/>
      <c r="E923" s="22"/>
      <c r="F923" s="22"/>
      <c r="G923" s="130"/>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row>
    <row r="924" ht="15.75" customHeight="1">
      <c r="A924" s="22"/>
      <c r="B924" s="22"/>
      <c r="C924" s="22"/>
      <c r="D924" s="22"/>
      <c r="E924" s="22"/>
      <c r="F924" s="22"/>
      <c r="G924" s="130"/>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row>
    <row r="925" ht="15.75" customHeight="1">
      <c r="A925" s="22"/>
      <c r="B925" s="22"/>
      <c r="C925" s="22"/>
      <c r="D925" s="22"/>
      <c r="E925" s="22"/>
      <c r="F925" s="22"/>
      <c r="G925" s="130"/>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row>
    <row r="926" ht="15.75" customHeight="1">
      <c r="A926" s="22"/>
      <c r="B926" s="22"/>
      <c r="C926" s="22"/>
      <c r="D926" s="22"/>
      <c r="E926" s="22"/>
      <c r="F926" s="22"/>
      <c r="G926" s="130"/>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row>
    <row r="927" ht="15.75" customHeight="1">
      <c r="A927" s="22"/>
      <c r="B927" s="22"/>
      <c r="C927" s="22"/>
      <c r="D927" s="22"/>
      <c r="E927" s="22"/>
      <c r="F927" s="22"/>
      <c r="G927" s="130"/>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row>
    <row r="928" ht="15.75" customHeight="1">
      <c r="A928" s="22"/>
      <c r="B928" s="22"/>
      <c r="C928" s="22"/>
      <c r="D928" s="22"/>
      <c r="E928" s="22"/>
      <c r="F928" s="22"/>
      <c r="G928" s="130"/>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row>
    <row r="929" ht="15.75" customHeight="1">
      <c r="A929" s="22"/>
      <c r="B929" s="22"/>
      <c r="C929" s="22"/>
      <c r="D929" s="22"/>
      <c r="E929" s="22"/>
      <c r="F929" s="22"/>
      <c r="G929" s="130"/>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row>
    <row r="930" ht="15.75" customHeight="1">
      <c r="A930" s="22"/>
      <c r="B930" s="22"/>
      <c r="C930" s="22"/>
      <c r="D930" s="22"/>
      <c r="E930" s="22"/>
      <c r="F930" s="22"/>
      <c r="G930" s="130"/>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row>
    <row r="931" ht="15.75" customHeight="1">
      <c r="A931" s="22"/>
      <c r="B931" s="22"/>
      <c r="C931" s="22"/>
      <c r="D931" s="22"/>
      <c r="E931" s="22"/>
      <c r="F931" s="22"/>
      <c r="G931" s="130"/>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row>
    <row r="932" ht="15.75" customHeight="1">
      <c r="A932" s="22"/>
      <c r="B932" s="22"/>
      <c r="C932" s="22"/>
      <c r="D932" s="22"/>
      <c r="E932" s="22"/>
      <c r="F932" s="22"/>
      <c r="G932" s="130"/>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row>
    <row r="933" ht="15.75" customHeight="1">
      <c r="A933" s="22"/>
      <c r="B933" s="22"/>
      <c r="C933" s="22"/>
      <c r="D933" s="22"/>
      <c r="E933" s="22"/>
      <c r="F933" s="22"/>
      <c r="G933" s="130"/>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row>
    <row r="934" ht="15.75" customHeight="1">
      <c r="A934" s="22"/>
      <c r="B934" s="22"/>
      <c r="C934" s="22"/>
      <c r="D934" s="22"/>
      <c r="E934" s="22"/>
      <c r="F934" s="22"/>
      <c r="G934" s="130"/>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row>
    <row r="935" ht="15.75" customHeight="1">
      <c r="A935" s="22"/>
      <c r="B935" s="22"/>
      <c r="C935" s="22"/>
      <c r="D935" s="22"/>
      <c r="E935" s="22"/>
      <c r="F935" s="22"/>
      <c r="G935" s="130"/>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row>
    <row r="936" ht="15.75" customHeight="1">
      <c r="A936" s="22"/>
      <c r="B936" s="22"/>
      <c r="C936" s="22"/>
      <c r="D936" s="22"/>
      <c r="E936" s="22"/>
      <c r="F936" s="22"/>
      <c r="G936" s="130"/>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row>
    <row r="937" ht="15.75" customHeight="1">
      <c r="A937" s="22"/>
      <c r="B937" s="22"/>
      <c r="C937" s="22"/>
      <c r="D937" s="22"/>
      <c r="E937" s="22"/>
      <c r="F937" s="22"/>
      <c r="G937" s="130"/>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row>
    <row r="938" ht="15.75" customHeight="1">
      <c r="A938" s="22"/>
      <c r="B938" s="22"/>
      <c r="C938" s="22"/>
      <c r="D938" s="22"/>
      <c r="E938" s="22"/>
      <c r="F938" s="22"/>
      <c r="G938" s="130"/>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row>
    <row r="939" ht="15.75" customHeight="1">
      <c r="A939" s="22"/>
      <c r="B939" s="22"/>
      <c r="C939" s="22"/>
      <c r="D939" s="22"/>
      <c r="E939" s="22"/>
      <c r="F939" s="22"/>
      <c r="G939" s="130"/>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row>
    <row r="940" ht="15.75" customHeight="1">
      <c r="A940" s="22"/>
      <c r="B940" s="22"/>
      <c r="C940" s="22"/>
      <c r="D940" s="22"/>
      <c r="E940" s="22"/>
      <c r="F940" s="22"/>
      <c r="G940" s="130"/>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row>
    <row r="941" ht="15.75" customHeight="1">
      <c r="A941" s="22"/>
      <c r="B941" s="22"/>
      <c r="C941" s="22"/>
      <c r="D941" s="22"/>
      <c r="E941" s="22"/>
      <c r="F941" s="22"/>
      <c r="G941" s="130"/>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row>
    <row r="942" ht="15.75" customHeight="1">
      <c r="A942" s="22"/>
      <c r="B942" s="22"/>
      <c r="C942" s="22"/>
      <c r="D942" s="22"/>
      <c r="E942" s="22"/>
      <c r="F942" s="22"/>
      <c r="G942" s="130"/>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row>
    <row r="943" ht="15.75" customHeight="1">
      <c r="A943" s="22"/>
      <c r="B943" s="22"/>
      <c r="C943" s="22"/>
      <c r="D943" s="22"/>
      <c r="E943" s="22"/>
      <c r="F943" s="22"/>
      <c r="G943" s="130"/>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row>
    <row r="944" ht="15.75" customHeight="1">
      <c r="A944" s="22"/>
      <c r="B944" s="22"/>
      <c r="C944" s="22"/>
      <c r="D944" s="22"/>
      <c r="E944" s="22"/>
      <c r="F944" s="22"/>
      <c r="G944" s="130"/>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row>
    <row r="945" ht="15.75" customHeight="1">
      <c r="A945" s="22"/>
      <c r="B945" s="22"/>
      <c r="C945" s="22"/>
      <c r="D945" s="22"/>
      <c r="E945" s="22"/>
      <c r="F945" s="22"/>
      <c r="G945" s="130"/>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row>
    <row r="946" ht="15.75" customHeight="1">
      <c r="A946" s="22"/>
      <c r="B946" s="22"/>
      <c r="C946" s="22"/>
      <c r="D946" s="22"/>
      <c r="E946" s="22"/>
      <c r="F946" s="22"/>
      <c r="G946" s="130"/>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row>
    <row r="947" ht="15.75" customHeight="1">
      <c r="A947" s="22"/>
      <c r="B947" s="22"/>
      <c r="C947" s="22"/>
      <c r="D947" s="22"/>
      <c r="E947" s="22"/>
      <c r="F947" s="22"/>
      <c r="G947" s="130"/>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row>
    <row r="948" ht="15.75" customHeight="1">
      <c r="A948" s="22"/>
      <c r="B948" s="22"/>
      <c r="C948" s="22"/>
      <c r="D948" s="22"/>
      <c r="E948" s="22"/>
      <c r="F948" s="22"/>
      <c r="G948" s="130"/>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row>
    <row r="949" ht="15.75" customHeight="1">
      <c r="A949" s="22"/>
      <c r="B949" s="22"/>
      <c r="C949" s="22"/>
      <c r="D949" s="22"/>
      <c r="E949" s="22"/>
      <c r="F949" s="22"/>
      <c r="G949" s="130"/>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row>
    <row r="950" ht="15.75" customHeight="1">
      <c r="A950" s="22"/>
      <c r="B950" s="22"/>
      <c r="C950" s="22"/>
      <c r="D950" s="22"/>
      <c r="E950" s="22"/>
      <c r="F950" s="22"/>
      <c r="G950" s="130"/>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row>
    <row r="951" ht="15.75" customHeight="1">
      <c r="A951" s="22"/>
      <c r="B951" s="22"/>
      <c r="C951" s="22"/>
      <c r="D951" s="22"/>
      <c r="E951" s="22"/>
      <c r="F951" s="22"/>
      <c r="G951" s="130"/>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row>
    <row r="952" ht="15.75" customHeight="1">
      <c r="A952" s="22"/>
      <c r="B952" s="22"/>
      <c r="C952" s="22"/>
      <c r="D952" s="22"/>
      <c r="E952" s="22"/>
      <c r="F952" s="22"/>
      <c r="G952" s="130"/>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row>
    <row r="953" ht="15.75" customHeight="1">
      <c r="A953" s="22"/>
      <c r="B953" s="22"/>
      <c r="C953" s="22"/>
      <c r="D953" s="22"/>
      <c r="E953" s="22"/>
      <c r="F953" s="22"/>
      <c r="G953" s="130"/>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row>
    <row r="954" ht="15.75" customHeight="1">
      <c r="A954" s="22"/>
      <c r="B954" s="22"/>
      <c r="C954" s="22"/>
      <c r="D954" s="22"/>
      <c r="E954" s="22"/>
      <c r="F954" s="22"/>
      <c r="G954" s="130"/>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row>
    <row r="955" ht="15.75" customHeight="1">
      <c r="A955" s="22"/>
      <c r="B955" s="22"/>
      <c r="C955" s="22"/>
      <c r="D955" s="22"/>
      <c r="E955" s="22"/>
      <c r="F955" s="22"/>
      <c r="G955" s="130"/>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row>
    <row r="956" ht="15.75" customHeight="1">
      <c r="A956" s="22"/>
      <c r="B956" s="22"/>
      <c r="C956" s="22"/>
      <c r="D956" s="22"/>
      <c r="E956" s="22"/>
      <c r="F956" s="22"/>
      <c r="G956" s="130"/>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row>
    <row r="957" ht="15.75" customHeight="1">
      <c r="A957" s="22"/>
      <c r="B957" s="22"/>
      <c r="C957" s="22"/>
      <c r="D957" s="22"/>
      <c r="E957" s="22"/>
      <c r="F957" s="22"/>
      <c r="G957" s="130"/>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row>
    <row r="958" ht="15.75" customHeight="1">
      <c r="A958" s="22"/>
      <c r="B958" s="22"/>
      <c r="C958" s="22"/>
      <c r="D958" s="22"/>
      <c r="E958" s="22"/>
      <c r="F958" s="22"/>
      <c r="G958" s="130"/>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row>
    <row r="959" ht="15.75" customHeight="1">
      <c r="A959" s="22"/>
      <c r="B959" s="22"/>
      <c r="C959" s="22"/>
      <c r="D959" s="22"/>
      <c r="E959" s="22"/>
      <c r="F959" s="22"/>
      <c r="G959" s="130"/>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row>
    <row r="960" ht="15.75" customHeight="1">
      <c r="A960" s="22"/>
      <c r="B960" s="22"/>
      <c r="C960" s="22"/>
      <c r="D960" s="22"/>
      <c r="E960" s="22"/>
      <c r="F960" s="22"/>
      <c r="G960" s="130"/>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row>
    <row r="961" ht="15.75" customHeight="1">
      <c r="A961" s="22"/>
      <c r="B961" s="22"/>
      <c r="C961" s="22"/>
      <c r="D961" s="22"/>
      <c r="E961" s="22"/>
      <c r="F961" s="22"/>
      <c r="G961" s="130"/>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row>
    <row r="962" ht="15.75" customHeight="1">
      <c r="A962" s="22"/>
      <c r="B962" s="22"/>
      <c r="C962" s="22"/>
      <c r="D962" s="22"/>
      <c r="E962" s="22"/>
      <c r="F962" s="22"/>
      <c r="G962" s="130"/>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row>
    <row r="963" ht="15.75" customHeight="1">
      <c r="A963" s="22"/>
      <c r="B963" s="22"/>
      <c r="C963" s="22"/>
      <c r="D963" s="22"/>
      <c r="E963" s="22"/>
      <c r="F963" s="22"/>
      <c r="G963" s="130"/>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row>
    <row r="964" ht="15.75" customHeight="1">
      <c r="A964" s="22"/>
      <c r="B964" s="22"/>
      <c r="C964" s="22"/>
      <c r="D964" s="22"/>
      <c r="E964" s="22"/>
      <c r="F964" s="22"/>
      <c r="G964" s="130"/>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row>
    <row r="965" ht="15.75" customHeight="1">
      <c r="A965" s="22"/>
      <c r="B965" s="22"/>
      <c r="C965" s="22"/>
      <c r="D965" s="22"/>
      <c r="E965" s="22"/>
      <c r="F965" s="22"/>
      <c r="G965" s="130"/>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row>
    <row r="966" ht="15.75" customHeight="1">
      <c r="A966" s="22"/>
      <c r="B966" s="22"/>
      <c r="C966" s="22"/>
      <c r="D966" s="22"/>
      <c r="E966" s="22"/>
      <c r="F966" s="22"/>
      <c r="G966" s="130"/>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row>
    <row r="967" ht="15.75" customHeight="1">
      <c r="A967" s="22"/>
      <c r="B967" s="22"/>
      <c r="C967" s="22"/>
      <c r="D967" s="22"/>
      <c r="E967" s="22"/>
      <c r="F967" s="22"/>
      <c r="G967" s="130"/>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row>
    <row r="968" ht="15.75" customHeight="1">
      <c r="A968" s="22"/>
      <c r="B968" s="22"/>
      <c r="C968" s="22"/>
      <c r="D968" s="22"/>
      <c r="E968" s="22"/>
      <c r="F968" s="22"/>
      <c r="G968" s="130"/>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row>
    <row r="969" ht="15.75" customHeight="1">
      <c r="A969" s="22"/>
      <c r="B969" s="22"/>
      <c r="C969" s="22"/>
      <c r="D969" s="22"/>
      <c r="E969" s="22"/>
      <c r="F969" s="22"/>
      <c r="G969" s="130"/>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row>
    <row r="970" ht="15.75" customHeight="1">
      <c r="A970" s="22"/>
      <c r="B970" s="22"/>
      <c r="C970" s="22"/>
      <c r="D970" s="22"/>
      <c r="E970" s="22"/>
      <c r="F970" s="22"/>
      <c r="G970" s="130"/>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row>
    <row r="971" ht="15.75" customHeight="1">
      <c r="A971" s="22"/>
      <c r="B971" s="22"/>
      <c r="C971" s="22"/>
      <c r="D971" s="22"/>
      <c r="E971" s="22"/>
      <c r="F971" s="22"/>
      <c r="G971" s="130"/>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row>
    <row r="972" ht="15.75" customHeight="1">
      <c r="A972" s="22"/>
      <c r="B972" s="22"/>
      <c r="C972" s="22"/>
      <c r="D972" s="22"/>
      <c r="E972" s="22"/>
      <c r="F972" s="22"/>
      <c r="G972" s="130"/>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row>
    <row r="973" ht="15.75" customHeight="1">
      <c r="A973" s="22"/>
      <c r="B973" s="22"/>
      <c r="C973" s="22"/>
      <c r="D973" s="22"/>
      <c r="E973" s="22"/>
      <c r="F973" s="22"/>
      <c r="G973" s="130"/>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row>
    <row r="974" ht="15.75" customHeight="1">
      <c r="A974" s="22"/>
      <c r="B974" s="22"/>
      <c r="C974" s="22"/>
      <c r="D974" s="22"/>
      <c r="E974" s="22"/>
      <c r="F974" s="22"/>
      <c r="G974" s="130"/>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row>
    <row r="975" ht="15.75" customHeight="1">
      <c r="A975" s="22"/>
      <c r="B975" s="22"/>
      <c r="C975" s="22"/>
      <c r="D975" s="22"/>
      <c r="E975" s="22"/>
      <c r="F975" s="22"/>
      <c r="G975" s="130"/>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row>
    <row r="976" ht="15.75" customHeight="1">
      <c r="A976" s="22"/>
      <c r="B976" s="22"/>
      <c r="C976" s="22"/>
      <c r="D976" s="22"/>
      <c r="E976" s="22"/>
      <c r="F976" s="22"/>
      <c r="G976" s="130"/>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row>
    <row r="977" ht="15.75" customHeight="1">
      <c r="A977" s="22"/>
      <c r="B977" s="22"/>
      <c r="C977" s="22"/>
      <c r="D977" s="22"/>
      <c r="E977" s="22"/>
      <c r="F977" s="22"/>
      <c r="G977" s="130"/>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row>
    <row r="978" ht="15.75" customHeight="1">
      <c r="A978" s="22"/>
      <c r="B978" s="22"/>
      <c r="C978" s="22"/>
      <c r="D978" s="22"/>
      <c r="E978" s="22"/>
      <c r="F978" s="22"/>
      <c r="G978" s="130"/>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row>
    <row r="979" ht="15.75" customHeight="1">
      <c r="A979" s="22"/>
      <c r="B979" s="22"/>
      <c r="C979" s="22"/>
      <c r="D979" s="22"/>
      <c r="E979" s="22"/>
      <c r="F979" s="22"/>
      <c r="G979" s="130"/>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row>
    <row r="980" ht="15.75" customHeight="1">
      <c r="A980" s="22"/>
      <c r="B980" s="22"/>
      <c r="C980" s="22"/>
      <c r="D980" s="22"/>
      <c r="E980" s="22"/>
      <c r="F980" s="22"/>
      <c r="G980" s="130"/>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row>
    <row r="981" ht="15.75" customHeight="1">
      <c r="A981" s="22"/>
      <c r="B981" s="22"/>
      <c r="C981" s="22"/>
      <c r="D981" s="22"/>
      <c r="E981" s="22"/>
      <c r="F981" s="22"/>
      <c r="G981" s="130"/>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row>
    <row r="982" ht="15.75" customHeight="1">
      <c r="A982" s="22"/>
      <c r="B982" s="22"/>
      <c r="C982" s="22"/>
      <c r="D982" s="22"/>
      <c r="E982" s="22"/>
      <c r="F982" s="22"/>
      <c r="G982" s="130"/>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row>
    <row r="983" ht="15.75" customHeight="1">
      <c r="A983" s="22"/>
      <c r="B983" s="22"/>
      <c r="C983" s="22"/>
      <c r="D983" s="22"/>
      <c r="E983" s="22"/>
      <c r="F983" s="22"/>
      <c r="G983" s="130"/>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row>
    <row r="984" ht="15.75" customHeight="1">
      <c r="A984" s="22"/>
      <c r="B984" s="22"/>
      <c r="C984" s="22"/>
      <c r="D984" s="22"/>
      <c r="E984" s="22"/>
      <c r="F984" s="22"/>
      <c r="G984" s="130"/>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row>
    <row r="985" ht="15.75" customHeight="1">
      <c r="A985" s="22"/>
      <c r="B985" s="22"/>
      <c r="C985" s="22"/>
      <c r="D985" s="22"/>
      <c r="E985" s="22"/>
      <c r="F985" s="22"/>
      <c r="G985" s="130"/>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row>
    <row r="986" ht="15.75" customHeight="1">
      <c r="A986" s="22"/>
      <c r="B986" s="22"/>
      <c r="C986" s="22"/>
      <c r="D986" s="22"/>
      <c r="E986" s="22"/>
      <c r="F986" s="22"/>
      <c r="G986" s="130"/>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row>
    <row r="987" ht="15.75" customHeight="1">
      <c r="A987" s="22"/>
      <c r="B987" s="22"/>
      <c r="C987" s="22"/>
      <c r="D987" s="22"/>
      <c r="E987" s="22"/>
      <c r="F987" s="22"/>
      <c r="G987" s="130"/>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row>
    <row r="988" ht="15.75" customHeight="1">
      <c r="A988" s="22"/>
      <c r="B988" s="22"/>
      <c r="C988" s="22"/>
      <c r="D988" s="22"/>
      <c r="E988" s="22"/>
      <c r="F988" s="22"/>
      <c r="G988" s="130"/>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row>
    <row r="989" ht="15.75" customHeight="1">
      <c r="A989" s="22"/>
      <c r="B989" s="22"/>
      <c r="C989" s="22"/>
      <c r="D989" s="22"/>
      <c r="E989" s="22"/>
      <c r="F989" s="22"/>
      <c r="G989" s="130"/>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row>
    <row r="990" ht="15.75" customHeight="1">
      <c r="A990" s="22"/>
      <c r="B990" s="22"/>
      <c r="C990" s="22"/>
      <c r="D990" s="22"/>
      <c r="E990" s="22"/>
      <c r="F990" s="22"/>
      <c r="G990" s="130"/>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c r="AM990" s="22"/>
      <c r="AN990" s="22"/>
      <c r="AO990" s="22"/>
    </row>
    <row r="991" ht="15.75" customHeight="1">
      <c r="A991" s="22"/>
      <c r="B991" s="22"/>
      <c r="C991" s="22"/>
      <c r="D991" s="22"/>
      <c r="E991" s="22"/>
      <c r="F991" s="22"/>
      <c r="G991" s="130"/>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2"/>
    </row>
    <row r="992" ht="15.75" customHeight="1">
      <c r="A992" s="22"/>
      <c r="B992" s="22"/>
      <c r="C992" s="22"/>
      <c r="D992" s="22"/>
      <c r="E992" s="22"/>
      <c r="F992" s="22"/>
      <c r="G992" s="130"/>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row>
    <row r="993" ht="15.75" customHeight="1">
      <c r="A993" s="22"/>
      <c r="B993" s="22"/>
      <c r="C993" s="22"/>
      <c r="D993" s="22"/>
      <c r="E993" s="22"/>
      <c r="F993" s="22"/>
      <c r="G993" s="130"/>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c r="AM993" s="22"/>
      <c r="AN993" s="22"/>
      <c r="AO993" s="22"/>
    </row>
    <row r="994" ht="15.75" customHeight="1">
      <c r="A994" s="22"/>
      <c r="B994" s="22"/>
      <c r="C994" s="22"/>
      <c r="D994" s="22"/>
      <c r="E994" s="22"/>
      <c r="F994" s="22"/>
      <c r="G994" s="130"/>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c r="AM994" s="22"/>
      <c r="AN994" s="22"/>
      <c r="AO994" s="22"/>
    </row>
    <row r="995" ht="15.75" customHeight="1">
      <c r="A995" s="22"/>
      <c r="B995" s="22"/>
      <c r="C995" s="22"/>
      <c r="D995" s="22"/>
      <c r="E995" s="22"/>
      <c r="F995" s="22"/>
      <c r="G995" s="130"/>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c r="AM995" s="22"/>
      <c r="AN995" s="22"/>
      <c r="AO995" s="22"/>
    </row>
    <row r="996" ht="15.75" customHeight="1">
      <c r="A996" s="22"/>
      <c r="B996" s="22"/>
      <c r="C996" s="22"/>
      <c r="D996" s="22"/>
      <c r="E996" s="22"/>
      <c r="F996" s="22"/>
      <c r="G996" s="130"/>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c r="AK996" s="22"/>
      <c r="AL996" s="22"/>
      <c r="AM996" s="22"/>
      <c r="AN996" s="22"/>
      <c r="AO996" s="22"/>
    </row>
    <row r="997" ht="15.75" customHeight="1">
      <c r="A997" s="22"/>
      <c r="B997" s="22"/>
      <c r="C997" s="22"/>
      <c r="D997" s="22"/>
      <c r="E997" s="22"/>
      <c r="F997" s="22"/>
      <c r="G997" s="130"/>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c r="AK997" s="22"/>
      <c r="AL997" s="22"/>
      <c r="AM997" s="22"/>
      <c r="AN997" s="22"/>
      <c r="AO997" s="22"/>
    </row>
    <row r="998" ht="15.75" customHeight="1">
      <c r="A998" s="22"/>
      <c r="B998" s="22"/>
      <c r="C998" s="22"/>
      <c r="D998" s="22"/>
      <c r="E998" s="22"/>
      <c r="F998" s="22"/>
      <c r="G998" s="130"/>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c r="AK998" s="22"/>
      <c r="AL998" s="22"/>
      <c r="AM998" s="22"/>
      <c r="AN998" s="22"/>
      <c r="AO998" s="22"/>
    </row>
    <row r="999" ht="15.75" customHeight="1">
      <c r="A999" s="22"/>
      <c r="B999" s="22"/>
      <c r="C999" s="22"/>
      <c r="D999" s="22"/>
      <c r="E999" s="22"/>
      <c r="F999" s="22"/>
      <c r="G999" s="130"/>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c r="AH999" s="22"/>
      <c r="AI999" s="22"/>
      <c r="AJ999" s="22"/>
      <c r="AK999" s="22"/>
      <c r="AL999" s="22"/>
      <c r="AM999" s="22"/>
      <c r="AN999" s="22"/>
      <c r="AO999" s="22"/>
    </row>
    <row r="1000" ht="15.75" customHeight="1">
      <c r="A1000" s="22"/>
      <c r="B1000" s="22"/>
      <c r="C1000" s="22"/>
      <c r="D1000" s="22"/>
      <c r="E1000" s="22"/>
      <c r="F1000" s="22"/>
      <c r="G1000" s="130"/>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row>
    <row r="1001" ht="15.75" customHeight="1">
      <c r="A1001" s="22"/>
      <c r="B1001" s="22"/>
      <c r="C1001" s="22"/>
      <c r="D1001" s="22"/>
      <c r="E1001" s="22"/>
      <c r="F1001" s="22"/>
      <c r="G1001" s="130"/>
      <c r="H1001" s="22"/>
      <c r="I1001" s="22"/>
      <c r="J1001" s="22"/>
      <c r="K1001" s="22"/>
      <c r="L1001" s="22"/>
      <c r="M1001" s="22"/>
      <c r="N1001" s="22"/>
      <c r="O1001" s="22"/>
      <c r="P1001" s="22"/>
      <c r="Q1001" s="22"/>
      <c r="R1001" s="22"/>
      <c r="S1001" s="22"/>
      <c r="T1001" s="22"/>
      <c r="U1001" s="22"/>
      <c r="V1001" s="22"/>
      <c r="W1001" s="22"/>
      <c r="X1001" s="22"/>
      <c r="Y1001" s="22"/>
      <c r="Z1001" s="22"/>
      <c r="AA1001" s="22"/>
      <c r="AB1001" s="22"/>
      <c r="AC1001" s="22"/>
      <c r="AD1001" s="22"/>
      <c r="AE1001" s="22"/>
      <c r="AF1001" s="22"/>
      <c r="AG1001" s="22"/>
      <c r="AH1001" s="22"/>
      <c r="AI1001" s="22"/>
      <c r="AJ1001" s="22"/>
      <c r="AK1001" s="22"/>
      <c r="AL1001" s="22"/>
      <c r="AM1001" s="22"/>
      <c r="AN1001" s="22"/>
      <c r="AO1001" s="22"/>
    </row>
    <row r="1002" ht="15.75" customHeight="1">
      <c r="A1002" s="22"/>
      <c r="B1002" s="22"/>
      <c r="C1002" s="22"/>
      <c r="D1002" s="22"/>
      <c r="E1002" s="22"/>
      <c r="F1002" s="22"/>
      <c r="G1002" s="130"/>
      <c r="H1002" s="22"/>
      <c r="I1002" s="22"/>
      <c r="J1002" s="22"/>
      <c r="K1002" s="22"/>
      <c r="L1002" s="22"/>
      <c r="M1002" s="22"/>
      <c r="N1002" s="22"/>
      <c r="O1002" s="22"/>
      <c r="P1002" s="22"/>
      <c r="Q1002" s="22"/>
      <c r="R1002" s="22"/>
      <c r="S1002" s="22"/>
      <c r="T1002" s="22"/>
      <c r="U1002" s="22"/>
      <c r="V1002" s="22"/>
      <c r="W1002" s="22"/>
      <c r="X1002" s="22"/>
      <c r="Y1002" s="22"/>
      <c r="Z1002" s="22"/>
      <c r="AA1002" s="22"/>
      <c r="AB1002" s="22"/>
      <c r="AC1002" s="22"/>
      <c r="AD1002" s="22"/>
      <c r="AE1002" s="22"/>
      <c r="AF1002" s="22"/>
      <c r="AG1002" s="22"/>
      <c r="AH1002" s="22"/>
      <c r="AI1002" s="22"/>
      <c r="AJ1002" s="22"/>
      <c r="AK1002" s="22"/>
      <c r="AL1002" s="22"/>
      <c r="AM1002" s="22"/>
      <c r="AN1002" s="22"/>
      <c r="AO1002" s="22"/>
    </row>
    <row r="1003" ht="15.75" customHeight="1">
      <c r="A1003" s="22"/>
      <c r="B1003" s="22"/>
      <c r="C1003" s="22"/>
      <c r="D1003" s="22"/>
      <c r="E1003" s="22"/>
      <c r="F1003" s="22"/>
      <c r="G1003" s="130"/>
      <c r="H1003" s="22"/>
      <c r="I1003" s="22"/>
      <c r="J1003" s="22"/>
      <c r="K1003" s="22"/>
      <c r="L1003" s="22"/>
      <c r="M1003" s="22"/>
      <c r="N1003" s="22"/>
      <c r="O1003" s="22"/>
      <c r="P1003" s="22"/>
      <c r="Q1003" s="22"/>
      <c r="R1003" s="22"/>
      <c r="S1003" s="22"/>
      <c r="T1003" s="22"/>
      <c r="U1003" s="22"/>
      <c r="V1003" s="22"/>
      <c r="W1003" s="22"/>
      <c r="X1003" s="22"/>
      <c r="Y1003" s="22"/>
      <c r="Z1003" s="22"/>
      <c r="AA1003" s="22"/>
      <c r="AB1003" s="22"/>
      <c r="AC1003" s="22"/>
      <c r="AD1003" s="22"/>
      <c r="AE1003" s="22"/>
      <c r="AF1003" s="22"/>
      <c r="AG1003" s="22"/>
      <c r="AH1003" s="22"/>
      <c r="AI1003" s="22"/>
      <c r="AJ1003" s="22"/>
      <c r="AK1003" s="22"/>
      <c r="AL1003" s="22"/>
      <c r="AM1003" s="22"/>
      <c r="AN1003" s="22"/>
      <c r="AO1003" s="22"/>
    </row>
    <row r="1004" ht="15.75" customHeight="1">
      <c r="A1004" s="22"/>
      <c r="B1004" s="22"/>
      <c r="C1004" s="22"/>
      <c r="D1004" s="22"/>
      <c r="E1004" s="22"/>
      <c r="F1004" s="22"/>
      <c r="G1004" s="130"/>
      <c r="H1004" s="22"/>
      <c r="I1004" s="22"/>
      <c r="J1004" s="22"/>
      <c r="K1004" s="22"/>
      <c r="L1004" s="22"/>
      <c r="M1004" s="22"/>
      <c r="N1004" s="22"/>
      <c r="O1004" s="22"/>
      <c r="P1004" s="22"/>
      <c r="Q1004" s="22"/>
      <c r="R1004" s="22"/>
      <c r="S1004" s="22"/>
      <c r="T1004" s="22"/>
      <c r="U1004" s="22"/>
      <c r="V1004" s="22"/>
      <c r="W1004" s="22"/>
      <c r="X1004" s="22"/>
      <c r="Y1004" s="22"/>
      <c r="Z1004" s="22"/>
      <c r="AA1004" s="22"/>
      <c r="AB1004" s="22"/>
      <c r="AC1004" s="22"/>
      <c r="AD1004" s="22"/>
      <c r="AE1004" s="22"/>
      <c r="AF1004" s="22"/>
      <c r="AG1004" s="22"/>
      <c r="AH1004" s="22"/>
      <c r="AI1004" s="22"/>
      <c r="AJ1004" s="22"/>
      <c r="AK1004" s="22"/>
      <c r="AL1004" s="22"/>
      <c r="AM1004" s="22"/>
      <c r="AN1004" s="22"/>
      <c r="AO1004" s="22"/>
    </row>
    <row r="1005" ht="15.75" customHeight="1">
      <c r="A1005" s="22"/>
      <c r="B1005" s="22"/>
      <c r="C1005" s="22"/>
      <c r="D1005" s="22"/>
      <c r="E1005" s="22"/>
      <c r="F1005" s="22"/>
      <c r="G1005" s="130"/>
      <c r="H1005" s="22"/>
      <c r="I1005" s="22"/>
      <c r="J1005" s="22"/>
      <c r="K1005" s="22"/>
      <c r="L1005" s="22"/>
      <c r="M1005" s="22"/>
      <c r="N1005" s="22"/>
      <c r="O1005" s="22"/>
      <c r="P1005" s="22"/>
      <c r="Q1005" s="22"/>
      <c r="R1005" s="22"/>
      <c r="S1005" s="22"/>
      <c r="T1005" s="22"/>
      <c r="U1005" s="22"/>
      <c r="V1005" s="22"/>
      <c r="W1005" s="22"/>
      <c r="X1005" s="22"/>
      <c r="Y1005" s="22"/>
      <c r="Z1005" s="22"/>
      <c r="AA1005" s="22"/>
      <c r="AB1005" s="22"/>
      <c r="AC1005" s="22"/>
      <c r="AD1005" s="22"/>
      <c r="AE1005" s="22"/>
      <c r="AF1005" s="22"/>
      <c r="AG1005" s="22"/>
      <c r="AH1005" s="22"/>
      <c r="AI1005" s="22"/>
      <c r="AJ1005" s="22"/>
      <c r="AK1005" s="22"/>
      <c r="AL1005" s="22"/>
      <c r="AM1005" s="22"/>
      <c r="AN1005" s="22"/>
      <c r="AO1005" s="22"/>
    </row>
    <row r="1006" ht="15.75" customHeight="1">
      <c r="A1006" s="22"/>
      <c r="B1006" s="22"/>
      <c r="C1006" s="22"/>
      <c r="D1006" s="22"/>
      <c r="E1006" s="22"/>
      <c r="F1006" s="22"/>
      <c r="G1006" s="130"/>
      <c r="H1006" s="22"/>
      <c r="I1006" s="22"/>
      <c r="J1006" s="22"/>
      <c r="K1006" s="22"/>
      <c r="L1006" s="22"/>
      <c r="M1006" s="22"/>
      <c r="N1006" s="22"/>
      <c r="O1006" s="22"/>
      <c r="P1006" s="22"/>
      <c r="Q1006" s="22"/>
      <c r="R1006" s="22"/>
      <c r="S1006" s="22"/>
      <c r="T1006" s="22"/>
      <c r="U1006" s="22"/>
      <c r="V1006" s="22"/>
      <c r="W1006" s="22"/>
      <c r="X1006" s="22"/>
      <c r="Y1006" s="22"/>
      <c r="Z1006" s="22"/>
      <c r="AA1006" s="22"/>
      <c r="AB1006" s="22"/>
      <c r="AC1006" s="22"/>
      <c r="AD1006" s="22"/>
      <c r="AE1006" s="22"/>
      <c r="AF1006" s="22"/>
      <c r="AG1006" s="22"/>
      <c r="AH1006" s="22"/>
      <c r="AI1006" s="22"/>
      <c r="AJ1006" s="22"/>
      <c r="AK1006" s="22"/>
      <c r="AL1006" s="22"/>
      <c r="AM1006" s="22"/>
      <c r="AN1006" s="22"/>
      <c r="AO1006" s="22"/>
    </row>
    <row r="1007" ht="15.75" customHeight="1">
      <c r="A1007" s="22"/>
      <c r="B1007" s="22"/>
      <c r="C1007" s="22"/>
      <c r="D1007" s="22"/>
      <c r="E1007" s="22"/>
      <c r="F1007" s="22"/>
      <c r="G1007" s="130"/>
      <c r="H1007" s="22"/>
      <c r="I1007" s="22"/>
      <c r="J1007" s="22"/>
      <c r="K1007" s="22"/>
      <c r="L1007" s="22"/>
      <c r="M1007" s="22"/>
      <c r="N1007" s="22"/>
      <c r="O1007" s="22"/>
      <c r="P1007" s="22"/>
      <c r="Q1007" s="22"/>
      <c r="R1007" s="22"/>
      <c r="S1007" s="22"/>
      <c r="T1007" s="22"/>
      <c r="U1007" s="22"/>
      <c r="V1007" s="22"/>
      <c r="W1007" s="22"/>
      <c r="X1007" s="22"/>
      <c r="Y1007" s="22"/>
      <c r="Z1007" s="22"/>
      <c r="AA1007" s="22"/>
      <c r="AB1007" s="22"/>
      <c r="AC1007" s="22"/>
      <c r="AD1007" s="22"/>
      <c r="AE1007" s="22"/>
      <c r="AF1007" s="22"/>
      <c r="AG1007" s="22"/>
      <c r="AH1007" s="22"/>
      <c r="AI1007" s="22"/>
      <c r="AJ1007" s="22"/>
      <c r="AK1007" s="22"/>
      <c r="AL1007" s="22"/>
      <c r="AM1007" s="22"/>
      <c r="AN1007" s="22"/>
      <c r="AO1007" s="22"/>
    </row>
    <row r="1008" ht="15.75" customHeight="1">
      <c r="A1008" s="22"/>
      <c r="B1008" s="22"/>
      <c r="C1008" s="22"/>
      <c r="D1008" s="22"/>
      <c r="E1008" s="22"/>
      <c r="F1008" s="22"/>
      <c r="G1008" s="130"/>
      <c r="H1008" s="22"/>
      <c r="I1008" s="22"/>
      <c r="J1008" s="22"/>
      <c r="K1008" s="22"/>
      <c r="L1008" s="22"/>
      <c r="M1008" s="22"/>
      <c r="N1008" s="22"/>
      <c r="O1008" s="22"/>
      <c r="P1008" s="22"/>
      <c r="Q1008" s="22"/>
      <c r="R1008" s="22"/>
      <c r="S1008" s="22"/>
      <c r="T1008" s="22"/>
      <c r="U1008" s="22"/>
      <c r="V1008" s="22"/>
      <c r="W1008" s="22"/>
      <c r="X1008" s="22"/>
      <c r="Y1008" s="22"/>
      <c r="Z1008" s="22"/>
      <c r="AA1008" s="22"/>
      <c r="AB1008" s="22"/>
      <c r="AC1008" s="22"/>
      <c r="AD1008" s="22"/>
      <c r="AE1008" s="22"/>
      <c r="AF1008" s="22"/>
      <c r="AG1008" s="22"/>
      <c r="AH1008" s="22"/>
      <c r="AI1008" s="22"/>
      <c r="AJ1008" s="22"/>
      <c r="AK1008" s="22"/>
      <c r="AL1008" s="22"/>
      <c r="AM1008" s="22"/>
      <c r="AN1008" s="22"/>
      <c r="AO1008" s="22"/>
    </row>
    <row r="1009" ht="15.75" customHeight="1">
      <c r="A1009" s="22"/>
      <c r="B1009" s="22"/>
      <c r="C1009" s="22"/>
      <c r="D1009" s="22"/>
      <c r="E1009" s="22"/>
      <c r="F1009" s="22"/>
      <c r="G1009" s="130"/>
      <c r="H1009" s="22"/>
      <c r="I1009" s="22"/>
      <c r="J1009" s="22"/>
      <c r="K1009" s="22"/>
      <c r="L1009" s="22"/>
      <c r="M1009" s="22"/>
      <c r="N1009" s="22"/>
      <c r="O1009" s="22"/>
      <c r="P1009" s="22"/>
      <c r="Q1009" s="22"/>
      <c r="R1009" s="22"/>
      <c r="S1009" s="22"/>
      <c r="T1009" s="22"/>
      <c r="U1009" s="22"/>
      <c r="V1009" s="22"/>
      <c r="W1009" s="22"/>
      <c r="X1009" s="22"/>
      <c r="Y1009" s="22"/>
      <c r="Z1009" s="22"/>
      <c r="AA1009" s="22"/>
      <c r="AB1009" s="22"/>
      <c r="AC1009" s="22"/>
      <c r="AD1009" s="22"/>
      <c r="AE1009" s="22"/>
      <c r="AF1009" s="22"/>
      <c r="AG1009" s="22"/>
      <c r="AH1009" s="22"/>
      <c r="AI1009" s="22"/>
      <c r="AJ1009" s="22"/>
      <c r="AK1009" s="22"/>
      <c r="AL1009" s="22"/>
      <c r="AM1009" s="22"/>
      <c r="AN1009" s="22"/>
      <c r="AO1009" s="22"/>
    </row>
    <row r="1010" ht="15.75" customHeight="1">
      <c r="A1010" s="22"/>
      <c r="B1010" s="22"/>
      <c r="C1010" s="22"/>
      <c r="D1010" s="22"/>
      <c r="E1010" s="22"/>
      <c r="F1010" s="22"/>
      <c r="G1010" s="130"/>
      <c r="H1010" s="22"/>
      <c r="I1010" s="22"/>
      <c r="J1010" s="22"/>
      <c r="K1010" s="22"/>
      <c r="L1010" s="22"/>
      <c r="M1010" s="22"/>
      <c r="N1010" s="22"/>
      <c r="O1010" s="22"/>
      <c r="P1010" s="22"/>
      <c r="Q1010" s="22"/>
      <c r="R1010" s="22"/>
      <c r="S1010" s="22"/>
      <c r="T1010" s="22"/>
      <c r="U1010" s="22"/>
      <c r="V1010" s="22"/>
      <c r="W1010" s="22"/>
      <c r="X1010" s="22"/>
      <c r="Y1010" s="22"/>
      <c r="Z1010" s="22"/>
      <c r="AA1010" s="22"/>
      <c r="AB1010" s="22"/>
      <c r="AC1010" s="22"/>
      <c r="AD1010" s="22"/>
      <c r="AE1010" s="22"/>
      <c r="AF1010" s="22"/>
      <c r="AG1010" s="22"/>
      <c r="AH1010" s="22"/>
      <c r="AI1010" s="22"/>
      <c r="AJ1010" s="22"/>
      <c r="AK1010" s="22"/>
      <c r="AL1010" s="22"/>
      <c r="AM1010" s="22"/>
      <c r="AN1010" s="22"/>
      <c r="AO1010" s="22"/>
    </row>
    <row r="1011" ht="15.75" customHeight="1">
      <c r="A1011" s="22"/>
      <c r="B1011" s="22"/>
      <c r="C1011" s="22"/>
      <c r="D1011" s="22"/>
      <c r="E1011" s="22"/>
      <c r="F1011" s="22"/>
      <c r="G1011" s="130"/>
      <c r="H1011" s="22"/>
      <c r="I1011" s="22"/>
      <c r="J1011" s="22"/>
      <c r="K1011" s="22"/>
      <c r="L1011" s="22"/>
      <c r="M1011" s="22"/>
      <c r="N1011" s="22"/>
      <c r="O1011" s="22"/>
      <c r="P1011" s="22"/>
      <c r="Q1011" s="22"/>
      <c r="R1011" s="22"/>
      <c r="S1011" s="22"/>
      <c r="T1011" s="22"/>
      <c r="U1011" s="22"/>
      <c r="V1011" s="22"/>
      <c r="W1011" s="22"/>
      <c r="X1011" s="22"/>
      <c r="Y1011" s="22"/>
      <c r="Z1011" s="22"/>
      <c r="AA1011" s="22"/>
      <c r="AB1011" s="22"/>
      <c r="AC1011" s="22"/>
      <c r="AD1011" s="22"/>
      <c r="AE1011" s="22"/>
      <c r="AF1011" s="22"/>
      <c r="AG1011" s="22"/>
      <c r="AH1011" s="22"/>
      <c r="AI1011" s="22"/>
      <c r="AJ1011" s="22"/>
      <c r="AK1011" s="22"/>
      <c r="AL1011" s="22"/>
      <c r="AM1011" s="22"/>
      <c r="AN1011" s="22"/>
      <c r="AO1011" s="22"/>
    </row>
    <row r="1012" ht="15.75" customHeight="1">
      <c r="A1012" s="22"/>
      <c r="B1012" s="22"/>
      <c r="C1012" s="22"/>
      <c r="D1012" s="22"/>
      <c r="E1012" s="22"/>
      <c r="F1012" s="22"/>
      <c r="G1012" s="130"/>
      <c r="H1012" s="22"/>
      <c r="I1012" s="22"/>
      <c r="J1012" s="22"/>
      <c r="K1012" s="22"/>
      <c r="L1012" s="22"/>
      <c r="M1012" s="22"/>
      <c r="N1012" s="22"/>
      <c r="O1012" s="22"/>
      <c r="P1012" s="22"/>
      <c r="Q1012" s="22"/>
      <c r="R1012" s="22"/>
      <c r="S1012" s="22"/>
      <c r="T1012" s="22"/>
      <c r="U1012" s="22"/>
      <c r="V1012" s="22"/>
      <c r="W1012" s="22"/>
      <c r="X1012" s="22"/>
      <c r="Y1012" s="22"/>
      <c r="Z1012" s="22"/>
      <c r="AA1012" s="22"/>
      <c r="AB1012" s="22"/>
      <c r="AC1012" s="22"/>
      <c r="AD1012" s="22"/>
      <c r="AE1012" s="22"/>
      <c r="AF1012" s="22"/>
      <c r="AG1012" s="22"/>
      <c r="AH1012" s="22"/>
      <c r="AI1012" s="22"/>
      <c r="AJ1012" s="22"/>
      <c r="AK1012" s="22"/>
      <c r="AL1012" s="22"/>
      <c r="AM1012" s="22"/>
      <c r="AN1012" s="22"/>
      <c r="AO1012" s="22"/>
    </row>
    <row r="1013" ht="15.75" customHeight="1">
      <c r="A1013" s="22"/>
      <c r="B1013" s="22"/>
      <c r="C1013" s="22"/>
      <c r="D1013" s="22"/>
      <c r="E1013" s="22"/>
      <c r="F1013" s="22"/>
      <c r="G1013" s="130"/>
      <c r="H1013" s="22"/>
      <c r="I1013" s="22"/>
      <c r="J1013" s="22"/>
      <c r="K1013" s="22"/>
      <c r="L1013" s="22"/>
      <c r="M1013" s="22"/>
      <c r="N1013" s="22"/>
      <c r="O1013" s="22"/>
      <c r="P1013" s="22"/>
      <c r="Q1013" s="22"/>
      <c r="R1013" s="22"/>
      <c r="S1013" s="22"/>
      <c r="T1013" s="22"/>
      <c r="U1013" s="22"/>
      <c r="V1013" s="22"/>
      <c r="W1013" s="22"/>
      <c r="X1013" s="22"/>
      <c r="Y1013" s="22"/>
      <c r="Z1013" s="22"/>
      <c r="AA1013" s="22"/>
      <c r="AB1013" s="22"/>
      <c r="AC1013" s="22"/>
      <c r="AD1013" s="22"/>
      <c r="AE1013" s="22"/>
      <c r="AF1013" s="22"/>
      <c r="AG1013" s="22"/>
      <c r="AH1013" s="22"/>
      <c r="AI1013" s="22"/>
      <c r="AJ1013" s="22"/>
      <c r="AK1013" s="22"/>
      <c r="AL1013" s="22"/>
      <c r="AM1013" s="22"/>
      <c r="AN1013" s="22"/>
      <c r="AO1013" s="22"/>
    </row>
    <row r="1014" ht="15.75" customHeight="1">
      <c r="A1014" s="22"/>
      <c r="B1014" s="22"/>
      <c r="C1014" s="22"/>
      <c r="D1014" s="22"/>
      <c r="E1014" s="22"/>
      <c r="F1014" s="22"/>
      <c r="G1014" s="130"/>
      <c r="H1014" s="22"/>
      <c r="I1014" s="22"/>
      <c r="J1014" s="22"/>
      <c r="K1014" s="22"/>
      <c r="L1014" s="22"/>
      <c r="M1014" s="22"/>
      <c r="N1014" s="22"/>
      <c r="O1014" s="22"/>
      <c r="P1014" s="22"/>
      <c r="Q1014" s="22"/>
      <c r="R1014" s="22"/>
      <c r="S1014" s="22"/>
      <c r="T1014" s="22"/>
      <c r="U1014" s="22"/>
      <c r="V1014" s="22"/>
      <c r="W1014" s="22"/>
      <c r="X1014" s="22"/>
      <c r="Y1014" s="22"/>
      <c r="Z1014" s="22"/>
      <c r="AA1014" s="22"/>
      <c r="AB1014" s="22"/>
      <c r="AC1014" s="22"/>
      <c r="AD1014" s="22"/>
      <c r="AE1014" s="22"/>
      <c r="AF1014" s="22"/>
      <c r="AG1014" s="22"/>
      <c r="AH1014" s="22"/>
      <c r="AI1014" s="22"/>
      <c r="AJ1014" s="22"/>
      <c r="AK1014" s="22"/>
      <c r="AL1014" s="22"/>
      <c r="AM1014" s="22"/>
      <c r="AN1014" s="22"/>
      <c r="AO1014" s="22"/>
    </row>
    <row r="1015" ht="15.75" customHeight="1">
      <c r="A1015" s="22"/>
      <c r="B1015" s="22"/>
      <c r="C1015" s="22"/>
      <c r="D1015" s="22"/>
      <c r="E1015" s="22"/>
      <c r="F1015" s="22"/>
      <c r="G1015" s="130"/>
      <c r="H1015" s="22"/>
      <c r="I1015" s="22"/>
      <c r="J1015" s="22"/>
      <c r="K1015" s="22"/>
      <c r="L1015" s="22"/>
      <c r="M1015" s="22"/>
      <c r="N1015" s="22"/>
      <c r="O1015" s="22"/>
      <c r="P1015" s="22"/>
      <c r="Q1015" s="22"/>
      <c r="R1015" s="22"/>
      <c r="S1015" s="22"/>
      <c r="T1015" s="22"/>
      <c r="U1015" s="22"/>
      <c r="V1015" s="22"/>
      <c r="W1015" s="22"/>
      <c r="X1015" s="22"/>
      <c r="Y1015" s="22"/>
      <c r="Z1015" s="22"/>
      <c r="AA1015" s="22"/>
      <c r="AB1015" s="22"/>
      <c r="AC1015" s="22"/>
      <c r="AD1015" s="22"/>
      <c r="AE1015" s="22"/>
      <c r="AF1015" s="22"/>
      <c r="AG1015" s="22"/>
      <c r="AH1015" s="22"/>
      <c r="AI1015" s="22"/>
      <c r="AJ1015" s="22"/>
      <c r="AK1015" s="22"/>
      <c r="AL1015" s="22"/>
      <c r="AM1015" s="22"/>
      <c r="AN1015" s="22"/>
      <c r="AO1015" s="22"/>
    </row>
    <row r="1016" ht="15.75" customHeight="1">
      <c r="A1016" s="22"/>
      <c r="B1016" s="22"/>
      <c r="C1016" s="22"/>
      <c r="D1016" s="22"/>
      <c r="E1016" s="22"/>
      <c r="F1016" s="22"/>
      <c r="G1016" s="130"/>
      <c r="H1016" s="22"/>
      <c r="I1016" s="22"/>
      <c r="J1016" s="22"/>
      <c r="K1016" s="22"/>
      <c r="L1016" s="22"/>
      <c r="M1016" s="22"/>
      <c r="N1016" s="22"/>
      <c r="O1016" s="22"/>
      <c r="P1016" s="22"/>
      <c r="Q1016" s="22"/>
      <c r="R1016" s="22"/>
      <c r="S1016" s="22"/>
      <c r="T1016" s="22"/>
      <c r="U1016" s="22"/>
      <c r="V1016" s="22"/>
      <c r="W1016" s="22"/>
      <c r="X1016" s="22"/>
      <c r="Y1016" s="22"/>
      <c r="Z1016" s="22"/>
      <c r="AA1016" s="22"/>
      <c r="AB1016" s="22"/>
      <c r="AC1016" s="22"/>
      <c r="AD1016" s="22"/>
      <c r="AE1016" s="22"/>
      <c r="AF1016" s="22"/>
      <c r="AG1016" s="22"/>
      <c r="AH1016" s="22"/>
      <c r="AI1016" s="22"/>
      <c r="AJ1016" s="22"/>
      <c r="AK1016" s="22"/>
      <c r="AL1016" s="22"/>
      <c r="AM1016" s="22"/>
      <c r="AN1016" s="22"/>
      <c r="AO1016" s="22"/>
    </row>
    <row r="1017" ht="15.75" customHeight="1">
      <c r="A1017" s="22"/>
      <c r="B1017" s="22"/>
      <c r="C1017" s="22"/>
      <c r="D1017" s="22"/>
      <c r="E1017" s="22"/>
      <c r="F1017" s="22"/>
      <c r="G1017" s="130"/>
      <c r="H1017" s="22"/>
      <c r="I1017" s="22"/>
      <c r="J1017" s="22"/>
      <c r="K1017" s="22"/>
      <c r="L1017" s="22"/>
      <c r="M1017" s="22"/>
      <c r="N1017" s="22"/>
      <c r="O1017" s="22"/>
      <c r="P1017" s="22"/>
      <c r="Q1017" s="22"/>
      <c r="R1017" s="22"/>
      <c r="S1017" s="22"/>
      <c r="T1017" s="22"/>
      <c r="U1017" s="22"/>
      <c r="V1017" s="22"/>
      <c r="W1017" s="22"/>
      <c r="X1017" s="22"/>
      <c r="Y1017" s="22"/>
      <c r="Z1017" s="22"/>
      <c r="AA1017" s="22"/>
      <c r="AB1017" s="22"/>
      <c r="AC1017" s="22"/>
      <c r="AD1017" s="22"/>
      <c r="AE1017" s="22"/>
      <c r="AF1017" s="22"/>
      <c r="AG1017" s="22"/>
      <c r="AH1017" s="22"/>
      <c r="AI1017" s="22"/>
      <c r="AJ1017" s="22"/>
      <c r="AK1017" s="22"/>
      <c r="AL1017" s="22"/>
      <c r="AM1017" s="22"/>
      <c r="AN1017" s="22"/>
      <c r="AO1017" s="22"/>
    </row>
    <row r="1018" ht="15.75" customHeight="1">
      <c r="A1018" s="22"/>
      <c r="B1018" s="22"/>
      <c r="C1018" s="22"/>
      <c r="D1018" s="22"/>
      <c r="E1018" s="22"/>
      <c r="F1018" s="22"/>
      <c r="G1018" s="130"/>
      <c r="H1018" s="22"/>
      <c r="I1018" s="22"/>
      <c r="J1018" s="22"/>
      <c r="K1018" s="22"/>
      <c r="L1018" s="22"/>
      <c r="M1018" s="22"/>
      <c r="N1018" s="22"/>
      <c r="O1018" s="22"/>
      <c r="P1018" s="22"/>
      <c r="Q1018" s="22"/>
      <c r="R1018" s="22"/>
      <c r="S1018" s="22"/>
      <c r="T1018" s="22"/>
      <c r="U1018" s="22"/>
      <c r="V1018" s="22"/>
      <c r="W1018" s="22"/>
      <c r="X1018" s="22"/>
      <c r="Y1018" s="22"/>
      <c r="Z1018" s="22"/>
      <c r="AA1018" s="22"/>
      <c r="AB1018" s="22"/>
      <c r="AC1018" s="22"/>
      <c r="AD1018" s="22"/>
      <c r="AE1018" s="22"/>
      <c r="AF1018" s="22"/>
      <c r="AG1018" s="22"/>
      <c r="AH1018" s="22"/>
      <c r="AI1018" s="22"/>
      <c r="AJ1018" s="22"/>
      <c r="AK1018" s="22"/>
      <c r="AL1018" s="22"/>
      <c r="AM1018" s="22"/>
      <c r="AN1018" s="22"/>
      <c r="AO1018" s="22"/>
    </row>
    <row r="1019" ht="15.75" customHeight="1">
      <c r="A1019" s="22"/>
      <c r="B1019" s="22"/>
      <c r="C1019" s="22"/>
      <c r="D1019" s="22"/>
      <c r="E1019" s="22"/>
      <c r="F1019" s="22"/>
      <c r="G1019" s="130"/>
      <c r="H1019" s="22"/>
      <c r="I1019" s="22"/>
      <c r="J1019" s="22"/>
      <c r="K1019" s="22"/>
      <c r="L1019" s="22"/>
      <c r="M1019" s="22"/>
      <c r="N1019" s="22"/>
      <c r="O1019" s="22"/>
      <c r="P1019" s="22"/>
      <c r="Q1019" s="22"/>
      <c r="R1019" s="22"/>
      <c r="S1019" s="22"/>
      <c r="T1019" s="22"/>
      <c r="U1019" s="22"/>
      <c r="V1019" s="22"/>
      <c r="W1019" s="22"/>
      <c r="X1019" s="22"/>
      <c r="Y1019" s="22"/>
      <c r="Z1019" s="22"/>
      <c r="AA1019" s="22"/>
      <c r="AB1019" s="22"/>
      <c r="AC1019" s="22"/>
      <c r="AD1019" s="22"/>
      <c r="AE1019" s="22"/>
      <c r="AF1019" s="22"/>
      <c r="AG1019" s="22"/>
      <c r="AH1019" s="22"/>
      <c r="AI1019" s="22"/>
      <c r="AJ1019" s="22"/>
      <c r="AK1019" s="22"/>
      <c r="AL1019" s="22"/>
      <c r="AM1019" s="22"/>
      <c r="AN1019" s="22"/>
      <c r="AO1019" s="22"/>
    </row>
    <row r="1020" ht="15.75" customHeight="1">
      <c r="A1020" s="22"/>
      <c r="B1020" s="22"/>
      <c r="C1020" s="22"/>
      <c r="D1020" s="22"/>
      <c r="E1020" s="22"/>
      <c r="F1020" s="22"/>
      <c r="G1020" s="130"/>
      <c r="H1020" s="22"/>
      <c r="I1020" s="22"/>
      <c r="J1020" s="22"/>
      <c r="K1020" s="22"/>
      <c r="L1020" s="22"/>
      <c r="M1020" s="22"/>
      <c r="N1020" s="22"/>
      <c r="O1020" s="22"/>
      <c r="P1020" s="22"/>
      <c r="Q1020" s="22"/>
      <c r="R1020" s="22"/>
      <c r="S1020" s="22"/>
      <c r="T1020" s="22"/>
      <c r="U1020" s="22"/>
      <c r="V1020" s="22"/>
      <c r="W1020" s="22"/>
      <c r="X1020" s="22"/>
      <c r="Y1020" s="22"/>
      <c r="Z1020" s="22"/>
      <c r="AA1020" s="22"/>
      <c r="AB1020" s="22"/>
      <c r="AC1020" s="22"/>
      <c r="AD1020" s="22"/>
      <c r="AE1020" s="22"/>
      <c r="AF1020" s="22"/>
      <c r="AG1020" s="22"/>
      <c r="AH1020" s="22"/>
      <c r="AI1020" s="22"/>
      <c r="AJ1020" s="22"/>
      <c r="AK1020" s="22"/>
      <c r="AL1020" s="22"/>
      <c r="AM1020" s="22"/>
      <c r="AN1020" s="22"/>
      <c r="AO1020" s="22"/>
    </row>
    <row r="1021" ht="15.75" customHeight="1">
      <c r="A1021" s="22"/>
      <c r="B1021" s="22"/>
      <c r="C1021" s="22"/>
      <c r="D1021" s="22"/>
      <c r="E1021" s="22"/>
      <c r="F1021" s="22"/>
      <c r="G1021" s="130"/>
      <c r="H1021" s="22"/>
      <c r="I1021" s="22"/>
      <c r="J1021" s="22"/>
      <c r="K1021" s="22"/>
      <c r="L1021" s="22"/>
      <c r="M1021" s="22"/>
      <c r="N1021" s="22"/>
      <c r="O1021" s="22"/>
      <c r="P1021" s="22"/>
      <c r="Q1021" s="22"/>
      <c r="R1021" s="22"/>
      <c r="S1021" s="22"/>
      <c r="T1021" s="22"/>
      <c r="U1021" s="22"/>
      <c r="V1021" s="22"/>
      <c r="W1021" s="22"/>
      <c r="X1021" s="22"/>
      <c r="Y1021" s="22"/>
      <c r="Z1021" s="22"/>
      <c r="AA1021" s="22"/>
      <c r="AB1021" s="22"/>
      <c r="AC1021" s="22"/>
      <c r="AD1021" s="22"/>
      <c r="AE1021" s="22"/>
      <c r="AF1021" s="22"/>
      <c r="AG1021" s="22"/>
      <c r="AH1021" s="22"/>
      <c r="AI1021" s="22"/>
      <c r="AJ1021" s="22"/>
      <c r="AK1021" s="22"/>
      <c r="AL1021" s="22"/>
      <c r="AM1021" s="22"/>
      <c r="AN1021" s="22"/>
      <c r="AO1021" s="22"/>
    </row>
    <row r="1022" ht="15.75" customHeight="1">
      <c r="A1022" s="22"/>
      <c r="B1022" s="22"/>
      <c r="C1022" s="22"/>
      <c r="D1022" s="22"/>
      <c r="E1022" s="22"/>
      <c r="F1022" s="22"/>
      <c r="G1022" s="130"/>
      <c r="H1022" s="22"/>
      <c r="I1022" s="22"/>
      <c r="J1022" s="22"/>
      <c r="K1022" s="22"/>
      <c r="L1022" s="22"/>
      <c r="M1022" s="22"/>
      <c r="N1022" s="22"/>
      <c r="O1022" s="22"/>
      <c r="P1022" s="22"/>
      <c r="Q1022" s="22"/>
      <c r="R1022" s="22"/>
      <c r="S1022" s="22"/>
      <c r="T1022" s="22"/>
      <c r="U1022" s="22"/>
      <c r="V1022" s="22"/>
      <c r="W1022" s="22"/>
      <c r="X1022" s="22"/>
      <c r="Y1022" s="22"/>
      <c r="Z1022" s="22"/>
      <c r="AA1022" s="22"/>
      <c r="AB1022" s="22"/>
      <c r="AC1022" s="22"/>
      <c r="AD1022" s="22"/>
      <c r="AE1022" s="22"/>
      <c r="AF1022" s="22"/>
      <c r="AG1022" s="22"/>
      <c r="AH1022" s="22"/>
      <c r="AI1022" s="22"/>
      <c r="AJ1022" s="22"/>
      <c r="AK1022" s="22"/>
      <c r="AL1022" s="22"/>
      <c r="AM1022" s="22"/>
      <c r="AN1022" s="22"/>
      <c r="AO1022" s="22"/>
    </row>
    <row r="1023" ht="15.75" customHeight="1">
      <c r="A1023" s="22"/>
      <c r="B1023" s="22"/>
      <c r="C1023" s="22"/>
      <c r="D1023" s="22"/>
      <c r="E1023" s="22"/>
      <c r="F1023" s="22"/>
      <c r="G1023" s="130"/>
      <c r="H1023" s="22"/>
      <c r="I1023" s="22"/>
      <c r="J1023" s="22"/>
      <c r="K1023" s="22"/>
      <c r="L1023" s="22"/>
      <c r="M1023" s="22"/>
      <c r="N1023" s="22"/>
      <c r="O1023" s="22"/>
      <c r="P1023" s="22"/>
      <c r="Q1023" s="22"/>
      <c r="R1023" s="22"/>
      <c r="S1023" s="22"/>
      <c r="T1023" s="22"/>
      <c r="U1023" s="22"/>
      <c r="V1023" s="22"/>
      <c r="W1023" s="22"/>
      <c r="X1023" s="22"/>
      <c r="Y1023" s="22"/>
      <c r="Z1023" s="22"/>
      <c r="AA1023" s="22"/>
      <c r="AB1023" s="22"/>
      <c r="AC1023" s="22"/>
      <c r="AD1023" s="22"/>
      <c r="AE1023" s="22"/>
      <c r="AF1023" s="22"/>
      <c r="AG1023" s="22"/>
      <c r="AH1023" s="22"/>
      <c r="AI1023" s="22"/>
      <c r="AJ1023" s="22"/>
      <c r="AK1023" s="22"/>
      <c r="AL1023" s="22"/>
      <c r="AM1023" s="22"/>
      <c r="AN1023" s="22"/>
      <c r="AO1023" s="22"/>
    </row>
    <row r="1024" ht="15.75" customHeight="1">
      <c r="A1024" s="22"/>
      <c r="B1024" s="22"/>
      <c r="C1024" s="22"/>
      <c r="D1024" s="22"/>
      <c r="E1024" s="22"/>
      <c r="F1024" s="22"/>
      <c r="G1024" s="130"/>
      <c r="H1024" s="22"/>
      <c r="I1024" s="22"/>
      <c r="J1024" s="22"/>
      <c r="K1024" s="22"/>
      <c r="L1024" s="22"/>
      <c r="M1024" s="22"/>
      <c r="N1024" s="22"/>
      <c r="O1024" s="22"/>
      <c r="P1024" s="22"/>
      <c r="Q1024" s="22"/>
      <c r="R1024" s="22"/>
      <c r="S1024" s="22"/>
      <c r="T1024" s="22"/>
      <c r="U1024" s="22"/>
      <c r="V1024" s="22"/>
      <c r="W1024" s="22"/>
      <c r="X1024" s="22"/>
      <c r="Y1024" s="22"/>
      <c r="Z1024" s="22"/>
      <c r="AA1024" s="22"/>
      <c r="AB1024" s="22"/>
      <c r="AC1024" s="22"/>
      <c r="AD1024" s="22"/>
      <c r="AE1024" s="22"/>
      <c r="AF1024" s="22"/>
      <c r="AG1024" s="22"/>
      <c r="AH1024" s="22"/>
      <c r="AI1024" s="22"/>
      <c r="AJ1024" s="22"/>
      <c r="AK1024" s="22"/>
      <c r="AL1024" s="22"/>
      <c r="AM1024" s="22"/>
      <c r="AN1024" s="22"/>
      <c r="AO1024" s="22"/>
    </row>
    <row r="1025" ht="15.75" customHeight="1">
      <c r="A1025" s="22"/>
      <c r="B1025" s="22"/>
      <c r="C1025" s="22"/>
      <c r="D1025" s="22"/>
      <c r="E1025" s="22"/>
      <c r="F1025" s="22"/>
      <c r="G1025" s="130"/>
      <c r="H1025" s="22"/>
      <c r="I1025" s="22"/>
      <c r="J1025" s="22"/>
      <c r="K1025" s="22"/>
      <c r="L1025" s="22"/>
      <c r="M1025" s="22"/>
      <c r="N1025" s="22"/>
      <c r="O1025" s="22"/>
      <c r="P1025" s="22"/>
      <c r="Q1025" s="22"/>
      <c r="R1025" s="22"/>
      <c r="S1025" s="22"/>
      <c r="T1025" s="22"/>
      <c r="U1025" s="22"/>
      <c r="V1025" s="22"/>
      <c r="W1025" s="22"/>
      <c r="X1025" s="22"/>
      <c r="Y1025" s="22"/>
      <c r="Z1025" s="22"/>
      <c r="AA1025" s="22"/>
      <c r="AB1025" s="22"/>
      <c r="AC1025" s="22"/>
      <c r="AD1025" s="22"/>
      <c r="AE1025" s="22"/>
      <c r="AF1025" s="22"/>
      <c r="AG1025" s="22"/>
      <c r="AH1025" s="22"/>
      <c r="AI1025" s="22"/>
      <c r="AJ1025" s="22"/>
      <c r="AK1025" s="22"/>
      <c r="AL1025" s="22"/>
      <c r="AM1025" s="22"/>
      <c r="AN1025" s="22"/>
      <c r="AO1025" s="22"/>
    </row>
    <row r="1026" ht="15.75" customHeight="1">
      <c r="A1026" s="22"/>
      <c r="B1026" s="22"/>
      <c r="C1026" s="22"/>
      <c r="D1026" s="22"/>
      <c r="E1026" s="22"/>
      <c r="F1026" s="22"/>
      <c r="G1026" s="130"/>
      <c r="H1026" s="22"/>
      <c r="I1026" s="22"/>
      <c r="J1026" s="22"/>
      <c r="K1026" s="22"/>
      <c r="L1026" s="22"/>
      <c r="M1026" s="22"/>
      <c r="N1026" s="22"/>
      <c r="O1026" s="22"/>
      <c r="P1026" s="22"/>
      <c r="Q1026" s="22"/>
      <c r="R1026" s="22"/>
      <c r="S1026" s="22"/>
      <c r="T1026" s="22"/>
      <c r="U1026" s="22"/>
      <c r="V1026" s="22"/>
      <c r="W1026" s="22"/>
      <c r="X1026" s="22"/>
      <c r="Y1026" s="22"/>
      <c r="Z1026" s="22"/>
      <c r="AA1026" s="22"/>
      <c r="AB1026" s="22"/>
      <c r="AC1026" s="22"/>
      <c r="AD1026" s="22"/>
      <c r="AE1026" s="22"/>
      <c r="AF1026" s="22"/>
      <c r="AG1026" s="22"/>
      <c r="AH1026" s="22"/>
      <c r="AI1026" s="22"/>
      <c r="AJ1026" s="22"/>
      <c r="AK1026" s="22"/>
      <c r="AL1026" s="22"/>
      <c r="AM1026" s="22"/>
      <c r="AN1026" s="22"/>
      <c r="AO1026" s="22"/>
    </row>
    <row r="1027" ht="15.75" customHeight="1">
      <c r="A1027" s="22"/>
      <c r="B1027" s="22"/>
      <c r="C1027" s="22"/>
      <c r="D1027" s="22"/>
      <c r="E1027" s="22"/>
      <c r="F1027" s="22"/>
      <c r="G1027" s="130"/>
      <c r="H1027" s="22"/>
      <c r="I1027" s="22"/>
      <c r="J1027" s="22"/>
      <c r="K1027" s="22"/>
      <c r="L1027" s="22"/>
      <c r="M1027" s="22"/>
      <c r="N1027" s="22"/>
      <c r="O1027" s="22"/>
      <c r="P1027" s="22"/>
      <c r="Q1027" s="22"/>
      <c r="R1027" s="22"/>
      <c r="S1027" s="22"/>
      <c r="T1027" s="22"/>
      <c r="U1027" s="22"/>
      <c r="V1027" s="22"/>
      <c r="W1027" s="22"/>
      <c r="X1027" s="22"/>
      <c r="Y1027" s="22"/>
      <c r="Z1027" s="22"/>
      <c r="AA1027" s="22"/>
      <c r="AB1027" s="22"/>
      <c r="AC1027" s="22"/>
      <c r="AD1027" s="22"/>
      <c r="AE1027" s="22"/>
      <c r="AF1027" s="22"/>
      <c r="AG1027" s="22"/>
      <c r="AH1027" s="22"/>
      <c r="AI1027" s="22"/>
      <c r="AJ1027" s="22"/>
      <c r="AK1027" s="22"/>
      <c r="AL1027" s="22"/>
      <c r="AM1027" s="22"/>
      <c r="AN1027" s="22"/>
      <c r="AO1027" s="22"/>
    </row>
    <row r="1028" ht="15.75" customHeight="1">
      <c r="A1028" s="22"/>
      <c r="B1028" s="22"/>
      <c r="C1028" s="22"/>
      <c r="D1028" s="22"/>
      <c r="E1028" s="22"/>
      <c r="F1028" s="22"/>
      <c r="G1028" s="130"/>
      <c r="H1028" s="22"/>
      <c r="I1028" s="22"/>
      <c r="J1028" s="22"/>
      <c r="K1028" s="22"/>
      <c r="L1028" s="22"/>
      <c r="M1028" s="22"/>
      <c r="N1028" s="22"/>
      <c r="O1028" s="22"/>
      <c r="P1028" s="22"/>
      <c r="Q1028" s="22"/>
      <c r="R1028" s="22"/>
      <c r="S1028" s="22"/>
      <c r="T1028" s="22"/>
      <c r="U1028" s="22"/>
      <c r="V1028" s="22"/>
      <c r="W1028" s="22"/>
      <c r="X1028" s="22"/>
      <c r="Y1028" s="22"/>
      <c r="Z1028" s="22"/>
      <c r="AA1028" s="22"/>
      <c r="AB1028" s="22"/>
      <c r="AC1028" s="22"/>
      <c r="AD1028" s="22"/>
      <c r="AE1028" s="22"/>
      <c r="AF1028" s="22"/>
      <c r="AG1028" s="22"/>
      <c r="AH1028" s="22"/>
      <c r="AI1028" s="22"/>
      <c r="AJ1028" s="22"/>
      <c r="AK1028" s="22"/>
      <c r="AL1028" s="22"/>
      <c r="AM1028" s="22"/>
      <c r="AN1028" s="22"/>
      <c r="AO1028" s="22"/>
    </row>
    <row r="1029" ht="15.75" customHeight="1">
      <c r="A1029" s="22"/>
      <c r="B1029" s="22"/>
      <c r="C1029" s="22"/>
      <c r="D1029" s="22"/>
      <c r="E1029" s="22"/>
      <c r="F1029" s="22"/>
      <c r="G1029" s="130"/>
      <c r="H1029" s="22"/>
      <c r="I1029" s="22"/>
      <c r="J1029" s="22"/>
      <c r="K1029" s="22"/>
      <c r="L1029" s="22"/>
      <c r="M1029" s="22"/>
      <c r="N1029" s="22"/>
      <c r="O1029" s="22"/>
      <c r="P1029" s="22"/>
      <c r="Q1029" s="22"/>
      <c r="R1029" s="22"/>
      <c r="S1029" s="22"/>
      <c r="T1029" s="22"/>
      <c r="U1029" s="22"/>
      <c r="V1029" s="22"/>
      <c r="W1029" s="22"/>
      <c r="X1029" s="22"/>
      <c r="Y1029" s="22"/>
      <c r="Z1029" s="22"/>
      <c r="AA1029" s="22"/>
      <c r="AB1029" s="22"/>
      <c r="AC1029" s="22"/>
      <c r="AD1029" s="22"/>
      <c r="AE1029" s="22"/>
      <c r="AF1029" s="22"/>
      <c r="AG1029" s="22"/>
      <c r="AH1029" s="22"/>
      <c r="AI1029" s="22"/>
      <c r="AJ1029" s="22"/>
      <c r="AK1029" s="22"/>
      <c r="AL1029" s="22"/>
      <c r="AM1029" s="22"/>
      <c r="AN1029" s="22"/>
      <c r="AO1029" s="22"/>
    </row>
    <row r="1030" ht="15.75" customHeight="1">
      <c r="A1030" s="22"/>
      <c r="B1030" s="22"/>
      <c r="C1030" s="22"/>
      <c r="D1030" s="22"/>
      <c r="E1030" s="22"/>
      <c r="F1030" s="22"/>
      <c r="G1030" s="130"/>
      <c r="H1030" s="22"/>
      <c r="I1030" s="22"/>
      <c r="J1030" s="22"/>
      <c r="K1030" s="22"/>
      <c r="L1030" s="22"/>
      <c r="M1030" s="22"/>
      <c r="N1030" s="22"/>
      <c r="O1030" s="22"/>
      <c r="P1030" s="22"/>
      <c r="Q1030" s="22"/>
      <c r="R1030" s="22"/>
      <c r="S1030" s="22"/>
      <c r="T1030" s="22"/>
      <c r="U1030" s="22"/>
      <c r="V1030" s="22"/>
      <c r="W1030" s="22"/>
      <c r="X1030" s="22"/>
      <c r="Y1030" s="22"/>
      <c r="Z1030" s="22"/>
      <c r="AA1030" s="22"/>
      <c r="AB1030" s="22"/>
      <c r="AC1030" s="22"/>
      <c r="AD1030" s="22"/>
      <c r="AE1030" s="22"/>
      <c r="AF1030" s="22"/>
      <c r="AG1030" s="22"/>
      <c r="AH1030" s="22"/>
      <c r="AI1030" s="22"/>
      <c r="AJ1030" s="22"/>
      <c r="AK1030" s="22"/>
      <c r="AL1030" s="22"/>
      <c r="AM1030" s="22"/>
      <c r="AN1030" s="22"/>
      <c r="AO1030" s="22"/>
    </row>
    <row r="1031" ht="15.75" customHeight="1">
      <c r="A1031" s="22"/>
      <c r="B1031" s="22"/>
      <c r="C1031" s="22"/>
      <c r="D1031" s="22"/>
      <c r="E1031" s="22"/>
      <c r="F1031" s="22"/>
      <c r="G1031" s="130"/>
      <c r="H1031" s="22"/>
      <c r="I1031" s="22"/>
      <c r="J1031" s="22"/>
      <c r="K1031" s="22"/>
      <c r="L1031" s="22"/>
      <c r="M1031" s="22"/>
      <c r="N1031" s="22"/>
      <c r="O1031" s="22"/>
      <c r="P1031" s="22"/>
      <c r="Q1031" s="22"/>
      <c r="R1031" s="22"/>
      <c r="S1031" s="22"/>
      <c r="T1031" s="22"/>
      <c r="U1031" s="22"/>
      <c r="V1031" s="22"/>
      <c r="W1031" s="22"/>
      <c r="X1031" s="22"/>
      <c r="Y1031" s="22"/>
      <c r="Z1031" s="22"/>
      <c r="AA1031" s="22"/>
      <c r="AB1031" s="22"/>
      <c r="AC1031" s="22"/>
      <c r="AD1031" s="22"/>
      <c r="AE1031" s="22"/>
      <c r="AF1031" s="22"/>
      <c r="AG1031" s="22"/>
      <c r="AH1031" s="22"/>
      <c r="AI1031" s="22"/>
      <c r="AJ1031" s="22"/>
      <c r="AK1031" s="22"/>
      <c r="AL1031" s="22"/>
      <c r="AM1031" s="22"/>
      <c r="AN1031" s="22"/>
      <c r="AO1031" s="22"/>
    </row>
    <row r="1032" ht="15.75" customHeight="1">
      <c r="A1032" s="22"/>
      <c r="B1032" s="22"/>
      <c r="C1032" s="22"/>
      <c r="D1032" s="22"/>
      <c r="E1032" s="22"/>
      <c r="F1032" s="22"/>
      <c r="G1032" s="130"/>
      <c r="H1032" s="22"/>
      <c r="I1032" s="22"/>
      <c r="J1032" s="22"/>
      <c r="K1032" s="22"/>
      <c r="L1032" s="22"/>
      <c r="M1032" s="22"/>
      <c r="N1032" s="22"/>
      <c r="O1032" s="22"/>
      <c r="P1032" s="22"/>
      <c r="Q1032" s="22"/>
      <c r="R1032" s="22"/>
      <c r="S1032" s="22"/>
      <c r="T1032" s="22"/>
      <c r="U1032" s="22"/>
      <c r="V1032" s="22"/>
      <c r="W1032" s="22"/>
      <c r="X1032" s="22"/>
      <c r="Y1032" s="22"/>
      <c r="Z1032" s="22"/>
      <c r="AA1032" s="22"/>
      <c r="AB1032" s="22"/>
      <c r="AC1032" s="22"/>
      <c r="AD1032" s="22"/>
      <c r="AE1032" s="22"/>
      <c r="AF1032" s="22"/>
      <c r="AG1032" s="22"/>
      <c r="AH1032" s="22"/>
      <c r="AI1032" s="22"/>
      <c r="AJ1032" s="22"/>
      <c r="AK1032" s="22"/>
      <c r="AL1032" s="22"/>
      <c r="AM1032" s="22"/>
      <c r="AN1032" s="22"/>
      <c r="AO1032" s="22"/>
    </row>
    <row r="1033" ht="15.75" customHeight="1">
      <c r="A1033" s="22"/>
      <c r="B1033" s="22"/>
      <c r="C1033" s="22"/>
      <c r="D1033" s="22"/>
      <c r="E1033" s="22"/>
      <c r="F1033" s="22"/>
      <c r="G1033" s="130"/>
      <c r="H1033" s="22"/>
      <c r="I1033" s="22"/>
      <c r="J1033" s="22"/>
      <c r="K1033" s="22"/>
      <c r="L1033" s="22"/>
      <c r="M1033" s="22"/>
      <c r="N1033" s="22"/>
      <c r="O1033" s="22"/>
      <c r="P1033" s="22"/>
      <c r="Q1033" s="22"/>
      <c r="R1033" s="22"/>
      <c r="S1033" s="22"/>
      <c r="T1033" s="22"/>
      <c r="U1033" s="22"/>
      <c r="V1033" s="22"/>
      <c r="W1033" s="22"/>
      <c r="X1033" s="22"/>
      <c r="Y1033" s="22"/>
      <c r="Z1033" s="22"/>
      <c r="AA1033" s="22"/>
      <c r="AB1033" s="22"/>
      <c r="AC1033" s="22"/>
      <c r="AD1033" s="22"/>
      <c r="AE1033" s="22"/>
      <c r="AF1033" s="22"/>
      <c r="AG1033" s="22"/>
      <c r="AH1033" s="22"/>
      <c r="AI1033" s="22"/>
      <c r="AJ1033" s="22"/>
      <c r="AK1033" s="22"/>
      <c r="AL1033" s="22"/>
      <c r="AM1033" s="22"/>
      <c r="AN1033" s="22"/>
      <c r="AO1033" s="22"/>
    </row>
    <row r="1034" ht="15.75" customHeight="1">
      <c r="A1034" s="22"/>
      <c r="B1034" s="22"/>
      <c r="C1034" s="22"/>
      <c r="D1034" s="22"/>
      <c r="E1034" s="22"/>
      <c r="F1034" s="22"/>
      <c r="G1034" s="130"/>
      <c r="H1034" s="22"/>
      <c r="I1034" s="22"/>
      <c r="J1034" s="22"/>
      <c r="K1034" s="22"/>
      <c r="L1034" s="22"/>
      <c r="M1034" s="22"/>
      <c r="N1034" s="22"/>
      <c r="O1034" s="22"/>
      <c r="P1034" s="22"/>
      <c r="Q1034" s="22"/>
      <c r="R1034" s="22"/>
      <c r="S1034" s="22"/>
      <c r="T1034" s="22"/>
      <c r="U1034" s="22"/>
      <c r="V1034" s="22"/>
      <c r="W1034" s="22"/>
      <c r="X1034" s="22"/>
      <c r="Y1034" s="22"/>
      <c r="Z1034" s="22"/>
      <c r="AA1034" s="22"/>
      <c r="AB1034" s="22"/>
      <c r="AC1034" s="22"/>
      <c r="AD1034" s="22"/>
      <c r="AE1034" s="22"/>
      <c r="AF1034" s="22"/>
      <c r="AG1034" s="22"/>
      <c r="AH1034" s="22"/>
      <c r="AI1034" s="22"/>
      <c r="AJ1034" s="22"/>
      <c r="AK1034" s="22"/>
      <c r="AL1034" s="22"/>
      <c r="AM1034" s="22"/>
      <c r="AN1034" s="22"/>
      <c r="AO1034" s="22"/>
    </row>
    <row r="1035" ht="15.75" customHeight="1">
      <c r="A1035" s="22"/>
      <c r="B1035" s="22"/>
      <c r="C1035" s="22"/>
      <c r="D1035" s="22"/>
      <c r="E1035" s="22"/>
      <c r="F1035" s="22"/>
      <c r="G1035" s="130"/>
      <c r="H1035" s="22"/>
      <c r="I1035" s="22"/>
      <c r="J1035" s="22"/>
      <c r="K1035" s="22"/>
      <c r="L1035" s="22"/>
      <c r="M1035" s="22"/>
      <c r="N1035" s="22"/>
      <c r="O1035" s="22"/>
      <c r="P1035" s="22"/>
      <c r="Q1035" s="22"/>
      <c r="R1035" s="22"/>
      <c r="S1035" s="22"/>
      <c r="T1035" s="22"/>
      <c r="U1035" s="22"/>
      <c r="V1035" s="22"/>
      <c r="W1035" s="22"/>
      <c r="X1035" s="22"/>
      <c r="Y1035" s="22"/>
      <c r="Z1035" s="22"/>
      <c r="AA1035" s="22"/>
      <c r="AB1035" s="22"/>
      <c r="AC1035" s="22"/>
      <c r="AD1035" s="22"/>
      <c r="AE1035" s="22"/>
      <c r="AF1035" s="22"/>
      <c r="AG1035" s="22"/>
      <c r="AH1035" s="22"/>
      <c r="AI1035" s="22"/>
      <c r="AJ1035" s="22"/>
      <c r="AK1035" s="22"/>
      <c r="AL1035" s="22"/>
      <c r="AM1035" s="22"/>
      <c r="AN1035" s="22"/>
      <c r="AO1035" s="22"/>
    </row>
    <row r="1036" ht="15.75" customHeight="1">
      <c r="A1036" s="22"/>
      <c r="B1036" s="22"/>
      <c r="C1036" s="22"/>
      <c r="D1036" s="22"/>
      <c r="E1036" s="22"/>
      <c r="F1036" s="22"/>
      <c r="G1036" s="130"/>
      <c r="H1036" s="22"/>
      <c r="I1036" s="22"/>
      <c r="J1036" s="22"/>
      <c r="K1036" s="22"/>
      <c r="L1036" s="22"/>
      <c r="M1036" s="22"/>
      <c r="N1036" s="22"/>
      <c r="O1036" s="22"/>
      <c r="P1036" s="22"/>
      <c r="Q1036" s="22"/>
      <c r="R1036" s="22"/>
      <c r="S1036" s="22"/>
      <c r="T1036" s="22"/>
      <c r="U1036" s="22"/>
      <c r="V1036" s="22"/>
      <c r="W1036" s="22"/>
      <c r="X1036" s="22"/>
      <c r="Y1036" s="22"/>
      <c r="Z1036" s="22"/>
      <c r="AA1036" s="22"/>
      <c r="AB1036" s="22"/>
      <c r="AC1036" s="22"/>
      <c r="AD1036" s="22"/>
      <c r="AE1036" s="22"/>
      <c r="AF1036" s="22"/>
      <c r="AG1036" s="22"/>
      <c r="AH1036" s="22"/>
      <c r="AI1036" s="22"/>
      <c r="AJ1036" s="22"/>
      <c r="AK1036" s="22"/>
      <c r="AL1036" s="22"/>
      <c r="AM1036" s="22"/>
      <c r="AN1036" s="22"/>
      <c r="AO1036" s="22"/>
    </row>
    <row r="1037" ht="15.75" customHeight="1">
      <c r="A1037" s="22"/>
      <c r="B1037" s="22"/>
      <c r="C1037" s="22"/>
      <c r="D1037" s="22"/>
      <c r="E1037" s="22"/>
      <c r="F1037" s="22"/>
      <c r="G1037" s="130"/>
      <c r="H1037" s="22"/>
      <c r="I1037" s="22"/>
      <c r="J1037" s="22"/>
      <c r="K1037" s="22"/>
      <c r="L1037" s="22"/>
      <c r="M1037" s="22"/>
      <c r="N1037" s="22"/>
      <c r="O1037" s="22"/>
      <c r="P1037" s="22"/>
      <c r="Q1037" s="22"/>
      <c r="R1037" s="22"/>
      <c r="S1037" s="22"/>
      <c r="T1037" s="22"/>
      <c r="U1037" s="22"/>
      <c r="V1037" s="22"/>
      <c r="W1037" s="22"/>
      <c r="X1037" s="22"/>
      <c r="Y1037" s="22"/>
      <c r="Z1037" s="22"/>
      <c r="AA1037" s="22"/>
      <c r="AB1037" s="22"/>
      <c r="AC1037" s="22"/>
      <c r="AD1037" s="22"/>
      <c r="AE1037" s="22"/>
      <c r="AF1037" s="22"/>
      <c r="AG1037" s="22"/>
      <c r="AH1037" s="22"/>
      <c r="AI1037" s="22"/>
      <c r="AJ1037" s="22"/>
      <c r="AK1037" s="22"/>
      <c r="AL1037" s="22"/>
      <c r="AM1037" s="22"/>
      <c r="AN1037" s="22"/>
      <c r="AO1037" s="22"/>
    </row>
    <row r="1038" ht="15.75" customHeight="1">
      <c r="A1038" s="22"/>
      <c r="B1038" s="22"/>
      <c r="C1038" s="22"/>
      <c r="D1038" s="22"/>
      <c r="E1038" s="22"/>
      <c r="F1038" s="22"/>
      <c r="G1038" s="130"/>
      <c r="H1038" s="22"/>
      <c r="I1038" s="22"/>
      <c r="J1038" s="22"/>
      <c r="K1038" s="22"/>
      <c r="L1038" s="22"/>
      <c r="M1038" s="22"/>
      <c r="N1038" s="22"/>
      <c r="O1038" s="22"/>
      <c r="P1038" s="22"/>
      <c r="Q1038" s="22"/>
      <c r="R1038" s="22"/>
      <c r="S1038" s="22"/>
      <c r="T1038" s="22"/>
      <c r="U1038" s="22"/>
      <c r="V1038" s="22"/>
      <c r="W1038" s="22"/>
      <c r="X1038" s="22"/>
      <c r="Y1038" s="22"/>
      <c r="Z1038" s="22"/>
      <c r="AA1038" s="22"/>
      <c r="AB1038" s="22"/>
      <c r="AC1038" s="22"/>
      <c r="AD1038" s="22"/>
      <c r="AE1038" s="22"/>
      <c r="AF1038" s="22"/>
      <c r="AG1038" s="22"/>
      <c r="AH1038" s="22"/>
      <c r="AI1038" s="22"/>
      <c r="AJ1038" s="22"/>
      <c r="AK1038" s="22"/>
      <c r="AL1038" s="22"/>
      <c r="AM1038" s="22"/>
      <c r="AN1038" s="22"/>
      <c r="AO1038" s="22"/>
    </row>
    <row r="1039" ht="15.75" customHeight="1">
      <c r="A1039" s="22"/>
      <c r="B1039" s="22"/>
      <c r="C1039" s="22"/>
      <c r="D1039" s="22"/>
      <c r="E1039" s="22"/>
      <c r="F1039" s="22"/>
      <c r="G1039" s="130"/>
      <c r="H1039" s="22"/>
      <c r="I1039" s="22"/>
      <c r="J1039" s="22"/>
      <c r="K1039" s="22"/>
      <c r="L1039" s="22"/>
      <c r="M1039" s="22"/>
      <c r="N1039" s="22"/>
      <c r="O1039" s="22"/>
      <c r="P1039" s="22"/>
      <c r="Q1039" s="22"/>
      <c r="R1039" s="22"/>
      <c r="S1039" s="22"/>
      <c r="T1039" s="22"/>
      <c r="U1039" s="22"/>
      <c r="V1039" s="22"/>
      <c r="W1039" s="22"/>
      <c r="X1039" s="22"/>
      <c r="Y1039" s="22"/>
      <c r="Z1039" s="22"/>
      <c r="AA1039" s="22"/>
      <c r="AB1039" s="22"/>
      <c r="AC1039" s="22"/>
      <c r="AD1039" s="22"/>
      <c r="AE1039" s="22"/>
      <c r="AF1039" s="22"/>
      <c r="AG1039" s="22"/>
      <c r="AH1039" s="22"/>
      <c r="AI1039" s="22"/>
      <c r="AJ1039" s="22"/>
      <c r="AK1039" s="22"/>
      <c r="AL1039" s="22"/>
      <c r="AM1039" s="22"/>
      <c r="AN1039" s="22"/>
      <c r="AO1039" s="22"/>
    </row>
    <row r="1040" ht="15.75" customHeight="1">
      <c r="A1040" s="22"/>
      <c r="B1040" s="22"/>
      <c r="C1040" s="22"/>
      <c r="D1040" s="22"/>
      <c r="E1040" s="22"/>
      <c r="F1040" s="22"/>
      <c r="G1040" s="130"/>
      <c r="H1040" s="22"/>
      <c r="I1040" s="22"/>
      <c r="J1040" s="22"/>
      <c r="K1040" s="22"/>
      <c r="L1040" s="22"/>
      <c r="M1040" s="22"/>
      <c r="N1040" s="22"/>
      <c r="O1040" s="22"/>
      <c r="P1040" s="22"/>
      <c r="Q1040" s="22"/>
      <c r="R1040" s="22"/>
      <c r="S1040" s="22"/>
      <c r="T1040" s="22"/>
      <c r="U1040" s="22"/>
      <c r="V1040" s="22"/>
      <c r="W1040" s="22"/>
      <c r="X1040" s="22"/>
      <c r="Y1040" s="22"/>
      <c r="Z1040" s="22"/>
      <c r="AA1040" s="22"/>
      <c r="AB1040" s="22"/>
      <c r="AC1040" s="22"/>
      <c r="AD1040" s="22"/>
      <c r="AE1040" s="22"/>
      <c r="AF1040" s="22"/>
      <c r="AG1040" s="22"/>
      <c r="AH1040" s="22"/>
      <c r="AI1040" s="22"/>
      <c r="AJ1040" s="22"/>
      <c r="AK1040" s="22"/>
      <c r="AL1040" s="22"/>
      <c r="AM1040" s="22"/>
      <c r="AN1040" s="22"/>
      <c r="AO1040" s="22"/>
    </row>
    <row r="1041" ht="15.75" customHeight="1">
      <c r="A1041" s="22"/>
      <c r="B1041" s="22"/>
      <c r="C1041" s="22"/>
      <c r="D1041" s="22"/>
      <c r="E1041" s="22"/>
      <c r="F1041" s="22"/>
      <c r="G1041" s="130"/>
      <c r="H1041" s="22"/>
      <c r="I1041" s="22"/>
      <c r="J1041" s="22"/>
      <c r="K1041" s="22"/>
      <c r="L1041" s="22"/>
      <c r="M1041" s="22"/>
      <c r="N1041" s="22"/>
      <c r="O1041" s="22"/>
      <c r="P1041" s="22"/>
      <c r="Q1041" s="22"/>
      <c r="R1041" s="22"/>
      <c r="S1041" s="22"/>
      <c r="T1041" s="22"/>
      <c r="U1041" s="22"/>
      <c r="V1041" s="22"/>
      <c r="W1041" s="22"/>
      <c r="X1041" s="22"/>
      <c r="Y1041" s="22"/>
      <c r="Z1041" s="22"/>
      <c r="AA1041" s="22"/>
      <c r="AB1041" s="22"/>
      <c r="AC1041" s="22"/>
      <c r="AD1041" s="22"/>
      <c r="AE1041" s="22"/>
      <c r="AF1041" s="22"/>
      <c r="AG1041" s="22"/>
      <c r="AH1041" s="22"/>
      <c r="AI1041" s="22"/>
      <c r="AJ1041" s="22"/>
      <c r="AK1041" s="22"/>
      <c r="AL1041" s="22"/>
      <c r="AM1041" s="22"/>
      <c r="AN1041" s="22"/>
      <c r="AO1041" s="22"/>
    </row>
    <row r="1042" ht="15.75" customHeight="1">
      <c r="A1042" s="22"/>
      <c r="B1042" s="22"/>
      <c r="C1042" s="22"/>
      <c r="D1042" s="22"/>
      <c r="E1042" s="22"/>
      <c r="F1042" s="22"/>
      <c r="G1042" s="130"/>
      <c r="H1042" s="22"/>
      <c r="I1042" s="22"/>
      <c r="J1042" s="22"/>
      <c r="K1042" s="22"/>
      <c r="L1042" s="22"/>
      <c r="M1042" s="22"/>
      <c r="N1042" s="22"/>
      <c r="O1042" s="22"/>
      <c r="P1042" s="22"/>
      <c r="Q1042" s="22"/>
      <c r="R1042" s="22"/>
      <c r="S1042" s="22"/>
      <c r="T1042" s="22"/>
      <c r="U1042" s="22"/>
      <c r="V1042" s="22"/>
      <c r="W1042" s="22"/>
      <c r="X1042" s="22"/>
      <c r="Y1042" s="22"/>
      <c r="Z1042" s="22"/>
      <c r="AA1042" s="22"/>
      <c r="AB1042" s="22"/>
      <c r="AC1042" s="22"/>
      <c r="AD1042" s="22"/>
      <c r="AE1042" s="22"/>
      <c r="AF1042" s="22"/>
      <c r="AG1042" s="22"/>
      <c r="AH1042" s="22"/>
      <c r="AI1042" s="22"/>
      <c r="AJ1042" s="22"/>
      <c r="AK1042" s="22"/>
      <c r="AL1042" s="22"/>
      <c r="AM1042" s="22"/>
      <c r="AN1042" s="22"/>
      <c r="AO1042" s="22"/>
    </row>
    <row r="1043" ht="15.75" customHeight="1">
      <c r="A1043" s="22"/>
      <c r="B1043" s="22"/>
      <c r="C1043" s="22"/>
      <c r="D1043" s="22"/>
      <c r="E1043" s="22"/>
      <c r="F1043" s="22"/>
      <c r="G1043" s="130"/>
      <c r="H1043" s="22"/>
      <c r="I1043" s="22"/>
      <c r="J1043" s="22"/>
      <c r="K1043" s="22"/>
      <c r="L1043" s="22"/>
      <c r="M1043" s="22"/>
      <c r="N1043" s="22"/>
      <c r="O1043" s="22"/>
      <c r="P1043" s="22"/>
      <c r="Q1043" s="22"/>
      <c r="R1043" s="22"/>
      <c r="S1043" s="22"/>
      <c r="T1043" s="22"/>
      <c r="U1043" s="22"/>
      <c r="V1043" s="22"/>
      <c r="W1043" s="22"/>
      <c r="X1043" s="22"/>
      <c r="Y1043" s="22"/>
      <c r="Z1043" s="22"/>
      <c r="AA1043" s="22"/>
      <c r="AB1043" s="22"/>
      <c r="AC1043" s="22"/>
      <c r="AD1043" s="22"/>
      <c r="AE1043" s="22"/>
      <c r="AF1043" s="22"/>
      <c r="AG1043" s="22"/>
      <c r="AH1043" s="22"/>
      <c r="AI1043" s="22"/>
      <c r="AJ1043" s="22"/>
      <c r="AK1043" s="22"/>
      <c r="AL1043" s="22"/>
      <c r="AM1043" s="22"/>
      <c r="AN1043" s="22"/>
      <c r="AO1043" s="22"/>
    </row>
    <row r="1044" ht="15.75" customHeight="1">
      <c r="A1044" s="22"/>
      <c r="B1044" s="22"/>
      <c r="C1044" s="22"/>
      <c r="D1044" s="22"/>
      <c r="E1044" s="22"/>
      <c r="F1044" s="22"/>
      <c r="G1044" s="130"/>
      <c r="H1044" s="22"/>
      <c r="I1044" s="22"/>
      <c r="J1044" s="22"/>
      <c r="K1044" s="22"/>
      <c r="L1044" s="22"/>
      <c r="M1044" s="22"/>
      <c r="N1044" s="22"/>
      <c r="O1044" s="22"/>
      <c r="P1044" s="22"/>
      <c r="Q1044" s="22"/>
      <c r="R1044" s="22"/>
      <c r="S1044" s="22"/>
      <c r="T1044" s="22"/>
      <c r="U1044" s="22"/>
      <c r="V1044" s="22"/>
      <c r="W1044" s="22"/>
      <c r="X1044" s="22"/>
      <c r="Y1044" s="22"/>
      <c r="Z1044" s="22"/>
      <c r="AA1044" s="22"/>
      <c r="AB1044" s="22"/>
      <c r="AC1044" s="22"/>
      <c r="AD1044" s="22"/>
      <c r="AE1044" s="22"/>
      <c r="AF1044" s="22"/>
      <c r="AG1044" s="22"/>
      <c r="AH1044" s="22"/>
      <c r="AI1044" s="22"/>
      <c r="AJ1044" s="22"/>
      <c r="AK1044" s="22"/>
      <c r="AL1044" s="22"/>
      <c r="AM1044" s="22"/>
      <c r="AN1044" s="22"/>
      <c r="AO1044" s="22"/>
    </row>
    <row r="1045" ht="15.75" customHeight="1">
      <c r="A1045" s="22"/>
      <c r="B1045" s="22"/>
      <c r="C1045" s="22"/>
      <c r="D1045" s="22"/>
      <c r="E1045" s="22"/>
      <c r="F1045" s="22"/>
      <c r="G1045" s="130"/>
      <c r="H1045" s="22"/>
      <c r="I1045" s="22"/>
      <c r="J1045" s="22"/>
      <c r="K1045" s="22"/>
      <c r="L1045" s="22"/>
      <c r="M1045" s="22"/>
      <c r="N1045" s="22"/>
      <c r="O1045" s="22"/>
      <c r="P1045" s="22"/>
      <c r="Q1045" s="22"/>
      <c r="R1045" s="22"/>
      <c r="S1045" s="22"/>
      <c r="T1045" s="22"/>
      <c r="U1045" s="22"/>
      <c r="V1045" s="22"/>
      <c r="W1045" s="22"/>
      <c r="X1045" s="22"/>
      <c r="Y1045" s="22"/>
      <c r="Z1045" s="22"/>
      <c r="AA1045" s="22"/>
      <c r="AB1045" s="22"/>
      <c r="AC1045" s="22"/>
      <c r="AD1045" s="22"/>
      <c r="AE1045" s="22"/>
      <c r="AF1045" s="22"/>
      <c r="AG1045" s="22"/>
      <c r="AH1045" s="22"/>
      <c r="AI1045" s="22"/>
      <c r="AJ1045" s="22"/>
      <c r="AK1045" s="22"/>
      <c r="AL1045" s="22"/>
      <c r="AM1045" s="22"/>
      <c r="AN1045" s="22"/>
      <c r="AO1045" s="22"/>
    </row>
    <row r="1046" ht="15.75" customHeight="1">
      <c r="A1046" s="22"/>
      <c r="B1046" s="22"/>
      <c r="C1046" s="22"/>
      <c r="D1046" s="22"/>
      <c r="E1046" s="22"/>
      <c r="F1046" s="22"/>
      <c r="G1046" s="130"/>
      <c r="H1046" s="22"/>
      <c r="I1046" s="22"/>
      <c r="J1046" s="22"/>
      <c r="K1046" s="22"/>
      <c r="L1046" s="22"/>
      <c r="M1046" s="22"/>
      <c r="N1046" s="22"/>
      <c r="O1046" s="22"/>
      <c r="P1046" s="22"/>
      <c r="Q1046" s="22"/>
      <c r="R1046" s="22"/>
      <c r="S1046" s="22"/>
      <c r="T1046" s="22"/>
      <c r="U1046" s="22"/>
      <c r="V1046" s="22"/>
      <c r="W1046" s="22"/>
      <c r="X1046" s="22"/>
      <c r="Y1046" s="22"/>
      <c r="Z1046" s="22"/>
      <c r="AA1046" s="22"/>
      <c r="AB1046" s="22"/>
      <c r="AC1046" s="22"/>
      <c r="AD1046" s="22"/>
      <c r="AE1046" s="22"/>
      <c r="AF1046" s="22"/>
      <c r="AG1046" s="22"/>
      <c r="AH1046" s="22"/>
      <c r="AI1046" s="22"/>
      <c r="AJ1046" s="22"/>
      <c r="AK1046" s="22"/>
      <c r="AL1046" s="22"/>
      <c r="AM1046" s="22"/>
      <c r="AN1046" s="22"/>
      <c r="AO1046" s="22"/>
    </row>
    <row r="1047" ht="15.75" customHeight="1">
      <c r="A1047" s="22"/>
      <c r="B1047" s="22"/>
      <c r="C1047" s="22"/>
      <c r="D1047" s="22"/>
      <c r="E1047" s="22"/>
      <c r="F1047" s="22"/>
      <c r="G1047" s="130"/>
      <c r="H1047" s="22"/>
      <c r="I1047" s="22"/>
      <c r="J1047" s="22"/>
      <c r="K1047" s="22"/>
      <c r="L1047" s="22"/>
      <c r="M1047" s="22"/>
      <c r="N1047" s="22"/>
      <c r="O1047" s="22"/>
      <c r="P1047" s="22"/>
      <c r="Q1047" s="22"/>
      <c r="R1047" s="22"/>
      <c r="S1047" s="22"/>
      <c r="T1047" s="22"/>
      <c r="U1047" s="22"/>
      <c r="V1047" s="22"/>
      <c r="W1047" s="22"/>
      <c r="X1047" s="22"/>
      <c r="Y1047" s="22"/>
      <c r="Z1047" s="22"/>
      <c r="AA1047" s="22"/>
      <c r="AB1047" s="22"/>
      <c r="AC1047" s="22"/>
      <c r="AD1047" s="22"/>
      <c r="AE1047" s="22"/>
      <c r="AF1047" s="22"/>
      <c r="AG1047" s="22"/>
      <c r="AH1047" s="22"/>
      <c r="AI1047" s="22"/>
      <c r="AJ1047" s="22"/>
      <c r="AK1047" s="22"/>
      <c r="AL1047" s="22"/>
      <c r="AM1047" s="22"/>
      <c r="AN1047" s="22"/>
      <c r="AO1047" s="22"/>
    </row>
    <row r="1048" ht="15.75" customHeight="1">
      <c r="A1048" s="22"/>
      <c r="B1048" s="22"/>
      <c r="C1048" s="22"/>
      <c r="D1048" s="22"/>
      <c r="E1048" s="22"/>
      <c r="F1048" s="22"/>
      <c r="G1048" s="130"/>
      <c r="H1048" s="22"/>
      <c r="I1048" s="22"/>
      <c r="J1048" s="22"/>
      <c r="K1048" s="22"/>
      <c r="L1048" s="22"/>
      <c r="M1048" s="22"/>
      <c r="N1048" s="22"/>
      <c r="O1048" s="22"/>
      <c r="P1048" s="22"/>
      <c r="Q1048" s="22"/>
      <c r="R1048" s="22"/>
      <c r="S1048" s="22"/>
      <c r="T1048" s="22"/>
      <c r="U1048" s="22"/>
      <c r="V1048" s="22"/>
      <c r="W1048" s="22"/>
      <c r="X1048" s="22"/>
      <c r="Y1048" s="22"/>
      <c r="Z1048" s="22"/>
      <c r="AA1048" s="22"/>
      <c r="AB1048" s="22"/>
      <c r="AC1048" s="22"/>
      <c r="AD1048" s="22"/>
      <c r="AE1048" s="22"/>
      <c r="AF1048" s="22"/>
      <c r="AG1048" s="22"/>
      <c r="AH1048" s="22"/>
      <c r="AI1048" s="22"/>
      <c r="AJ1048" s="22"/>
      <c r="AK1048" s="22"/>
      <c r="AL1048" s="22"/>
      <c r="AM1048" s="22"/>
      <c r="AN1048" s="22"/>
      <c r="AO1048" s="22"/>
    </row>
    <row r="1049" ht="15.75" customHeight="1">
      <c r="A1049" s="22"/>
      <c r="B1049" s="22"/>
      <c r="C1049" s="22"/>
      <c r="D1049" s="22"/>
      <c r="E1049" s="22"/>
      <c r="F1049" s="22"/>
      <c r="G1049" s="130"/>
      <c r="H1049" s="22"/>
      <c r="I1049" s="22"/>
      <c r="J1049" s="22"/>
      <c r="K1049" s="22"/>
      <c r="L1049" s="22"/>
      <c r="M1049" s="22"/>
      <c r="N1049" s="22"/>
      <c r="O1049" s="22"/>
      <c r="P1049" s="22"/>
      <c r="Q1049" s="22"/>
      <c r="R1049" s="22"/>
      <c r="S1049" s="22"/>
      <c r="T1049" s="22"/>
      <c r="U1049" s="22"/>
      <c r="V1049" s="22"/>
      <c r="W1049" s="22"/>
      <c r="X1049" s="22"/>
      <c r="Y1049" s="22"/>
      <c r="Z1049" s="22"/>
      <c r="AA1049" s="22"/>
      <c r="AB1049" s="22"/>
      <c r="AC1049" s="22"/>
      <c r="AD1049" s="22"/>
      <c r="AE1049" s="22"/>
      <c r="AF1049" s="22"/>
      <c r="AG1049" s="22"/>
      <c r="AH1049" s="22"/>
      <c r="AI1049" s="22"/>
      <c r="AJ1049" s="22"/>
      <c r="AK1049" s="22"/>
      <c r="AL1049" s="22"/>
      <c r="AM1049" s="22"/>
      <c r="AN1049" s="22"/>
      <c r="AO1049" s="22"/>
    </row>
    <row r="1050" ht="15.75" customHeight="1">
      <c r="A1050" s="22"/>
      <c r="B1050" s="22"/>
      <c r="C1050" s="22"/>
      <c r="D1050" s="22"/>
      <c r="E1050" s="22"/>
      <c r="F1050" s="22"/>
      <c r="G1050" s="130"/>
      <c r="H1050" s="22"/>
      <c r="I1050" s="22"/>
      <c r="J1050" s="22"/>
      <c r="K1050" s="22"/>
      <c r="L1050" s="22"/>
      <c r="M1050" s="22"/>
      <c r="N1050" s="22"/>
      <c r="O1050" s="22"/>
      <c r="P1050" s="22"/>
      <c r="Q1050" s="22"/>
      <c r="R1050" s="22"/>
      <c r="S1050" s="22"/>
      <c r="T1050" s="22"/>
      <c r="U1050" s="22"/>
      <c r="V1050" s="22"/>
      <c r="W1050" s="22"/>
      <c r="X1050" s="22"/>
      <c r="Y1050" s="22"/>
      <c r="Z1050" s="22"/>
      <c r="AA1050" s="22"/>
      <c r="AB1050" s="22"/>
      <c r="AC1050" s="22"/>
      <c r="AD1050" s="22"/>
      <c r="AE1050" s="22"/>
      <c r="AF1050" s="22"/>
      <c r="AG1050" s="22"/>
      <c r="AH1050" s="22"/>
      <c r="AI1050" s="22"/>
      <c r="AJ1050" s="22"/>
      <c r="AK1050" s="22"/>
      <c r="AL1050" s="22"/>
      <c r="AM1050" s="22"/>
      <c r="AN1050" s="22"/>
      <c r="AO1050" s="22"/>
    </row>
    <row r="1051" ht="15.75" customHeight="1">
      <c r="A1051" s="22"/>
      <c r="B1051" s="22"/>
      <c r="C1051" s="22"/>
      <c r="D1051" s="22"/>
      <c r="E1051" s="22"/>
      <c r="F1051" s="22"/>
      <c r="G1051" s="130"/>
      <c r="H1051" s="22"/>
      <c r="I1051" s="22"/>
      <c r="J1051" s="22"/>
      <c r="K1051" s="22"/>
      <c r="L1051" s="22"/>
      <c r="M1051" s="22"/>
      <c r="N1051" s="22"/>
      <c r="O1051" s="22"/>
      <c r="P1051" s="22"/>
      <c r="Q1051" s="22"/>
      <c r="R1051" s="22"/>
      <c r="S1051" s="22"/>
      <c r="T1051" s="22"/>
      <c r="U1051" s="22"/>
      <c r="V1051" s="22"/>
      <c r="W1051" s="22"/>
      <c r="X1051" s="22"/>
      <c r="Y1051" s="22"/>
      <c r="Z1051" s="22"/>
      <c r="AA1051" s="22"/>
      <c r="AB1051" s="22"/>
      <c r="AC1051" s="22"/>
      <c r="AD1051" s="22"/>
      <c r="AE1051" s="22"/>
      <c r="AF1051" s="22"/>
      <c r="AG1051" s="22"/>
      <c r="AH1051" s="22"/>
      <c r="AI1051" s="22"/>
      <c r="AJ1051" s="22"/>
      <c r="AK1051" s="22"/>
      <c r="AL1051" s="22"/>
      <c r="AM1051" s="22"/>
      <c r="AN1051" s="22"/>
      <c r="AO1051" s="22"/>
    </row>
    <row r="1052" ht="15.75" customHeight="1">
      <c r="A1052" s="22"/>
      <c r="B1052" s="22"/>
      <c r="C1052" s="22"/>
      <c r="D1052" s="22"/>
      <c r="E1052" s="22"/>
      <c r="F1052" s="22"/>
      <c r="G1052" s="130"/>
      <c r="H1052" s="22"/>
      <c r="I1052" s="22"/>
      <c r="J1052" s="22"/>
      <c r="K1052" s="22"/>
      <c r="L1052" s="22"/>
      <c r="M1052" s="22"/>
      <c r="N1052" s="22"/>
      <c r="O1052" s="22"/>
      <c r="P1052" s="22"/>
      <c r="Q1052" s="22"/>
      <c r="R1052" s="22"/>
      <c r="S1052" s="22"/>
      <c r="T1052" s="22"/>
      <c r="U1052" s="22"/>
      <c r="V1052" s="22"/>
      <c r="W1052" s="22"/>
      <c r="X1052" s="22"/>
      <c r="Y1052" s="22"/>
      <c r="Z1052" s="22"/>
      <c r="AA1052" s="22"/>
      <c r="AB1052" s="22"/>
      <c r="AC1052" s="22"/>
      <c r="AD1052" s="22"/>
      <c r="AE1052" s="22"/>
      <c r="AF1052" s="22"/>
      <c r="AG1052" s="22"/>
      <c r="AH1052" s="22"/>
      <c r="AI1052" s="22"/>
      <c r="AJ1052" s="22"/>
      <c r="AK1052" s="22"/>
      <c r="AL1052" s="22"/>
      <c r="AM1052" s="22"/>
      <c r="AN1052" s="22"/>
      <c r="AO1052" s="22"/>
    </row>
    <row r="1053" ht="15.75" customHeight="1">
      <c r="A1053" s="22"/>
      <c r="B1053" s="22"/>
      <c r="C1053" s="22"/>
      <c r="D1053" s="22"/>
      <c r="E1053" s="22"/>
      <c r="F1053" s="22"/>
      <c r="G1053" s="130"/>
      <c r="H1053" s="22"/>
      <c r="I1053" s="22"/>
      <c r="J1053" s="22"/>
      <c r="K1053" s="22"/>
      <c r="L1053" s="22"/>
      <c r="M1053" s="22"/>
      <c r="N1053" s="22"/>
      <c r="O1053" s="22"/>
      <c r="P1053" s="22"/>
      <c r="Q1053" s="22"/>
      <c r="R1053" s="22"/>
      <c r="S1053" s="22"/>
      <c r="T1053" s="22"/>
      <c r="U1053" s="22"/>
      <c r="V1053" s="22"/>
      <c r="W1053" s="22"/>
      <c r="X1053" s="22"/>
      <c r="Y1053" s="22"/>
      <c r="Z1053" s="22"/>
      <c r="AA1053" s="22"/>
      <c r="AB1053" s="22"/>
      <c r="AC1053" s="22"/>
      <c r="AD1053" s="22"/>
      <c r="AE1053" s="22"/>
      <c r="AF1053" s="22"/>
      <c r="AG1053" s="22"/>
      <c r="AH1053" s="22"/>
      <c r="AI1053" s="22"/>
      <c r="AJ1053" s="22"/>
      <c r="AK1053" s="22"/>
      <c r="AL1053" s="22"/>
      <c r="AM1053" s="22"/>
      <c r="AN1053" s="22"/>
      <c r="AO1053" s="22"/>
    </row>
    <row r="1054" ht="15.75" customHeight="1">
      <c r="A1054" s="22"/>
      <c r="B1054" s="22"/>
      <c r="C1054" s="22"/>
      <c r="D1054" s="22"/>
      <c r="E1054" s="22"/>
      <c r="F1054" s="22"/>
      <c r="G1054" s="130"/>
      <c r="H1054" s="22"/>
      <c r="I1054" s="22"/>
      <c r="J1054" s="22"/>
      <c r="K1054" s="22"/>
      <c r="L1054" s="22"/>
      <c r="M1054" s="22"/>
      <c r="N1054" s="22"/>
      <c r="O1054" s="22"/>
      <c r="P1054" s="22"/>
      <c r="Q1054" s="22"/>
      <c r="R1054" s="22"/>
      <c r="S1054" s="22"/>
      <c r="T1054" s="22"/>
      <c r="U1054" s="22"/>
      <c r="V1054" s="22"/>
      <c r="W1054" s="22"/>
      <c r="X1054" s="22"/>
      <c r="Y1054" s="22"/>
      <c r="Z1054" s="22"/>
      <c r="AA1054" s="22"/>
      <c r="AB1054" s="22"/>
      <c r="AC1054" s="22"/>
      <c r="AD1054" s="22"/>
      <c r="AE1054" s="22"/>
      <c r="AF1054" s="22"/>
      <c r="AG1054" s="22"/>
      <c r="AH1054" s="22"/>
      <c r="AI1054" s="22"/>
      <c r="AJ1054" s="22"/>
      <c r="AK1054" s="22"/>
      <c r="AL1054" s="22"/>
      <c r="AM1054" s="22"/>
      <c r="AN1054" s="22"/>
      <c r="AO1054" s="22"/>
    </row>
    <row r="1055" ht="15.75" customHeight="1">
      <c r="A1055" s="22"/>
      <c r="B1055" s="22"/>
      <c r="C1055" s="22"/>
      <c r="D1055" s="22"/>
      <c r="E1055" s="22"/>
      <c r="F1055" s="22"/>
      <c r="G1055" s="130"/>
      <c r="H1055" s="22"/>
      <c r="I1055" s="22"/>
      <c r="J1055" s="22"/>
      <c r="K1055" s="22"/>
      <c r="L1055" s="22"/>
      <c r="M1055" s="22"/>
      <c r="N1055" s="22"/>
      <c r="O1055" s="22"/>
      <c r="P1055" s="22"/>
      <c r="Q1055" s="22"/>
      <c r="R1055" s="22"/>
      <c r="S1055" s="22"/>
      <c r="T1055" s="22"/>
      <c r="U1055" s="22"/>
      <c r="V1055" s="22"/>
      <c r="W1055" s="22"/>
      <c r="X1055" s="22"/>
      <c r="Y1055" s="22"/>
      <c r="Z1055" s="22"/>
      <c r="AA1055" s="22"/>
      <c r="AB1055" s="22"/>
      <c r="AC1055" s="22"/>
      <c r="AD1055" s="22"/>
      <c r="AE1055" s="22"/>
      <c r="AF1055" s="22"/>
      <c r="AG1055" s="22"/>
      <c r="AH1055" s="22"/>
      <c r="AI1055" s="22"/>
      <c r="AJ1055" s="22"/>
      <c r="AK1055" s="22"/>
      <c r="AL1055" s="22"/>
      <c r="AM1055" s="22"/>
      <c r="AN1055" s="22"/>
      <c r="AO1055" s="22"/>
    </row>
    <row r="1056" ht="15.75" customHeight="1">
      <c r="A1056" s="22"/>
      <c r="B1056" s="22"/>
      <c r="C1056" s="22"/>
      <c r="D1056" s="22"/>
      <c r="E1056" s="22"/>
      <c r="F1056" s="22"/>
      <c r="G1056" s="130"/>
      <c r="H1056" s="22"/>
      <c r="I1056" s="22"/>
      <c r="J1056" s="22"/>
      <c r="K1056" s="22"/>
      <c r="L1056" s="22"/>
      <c r="M1056" s="22"/>
      <c r="N1056" s="22"/>
      <c r="O1056" s="22"/>
      <c r="P1056" s="22"/>
      <c r="Q1056" s="22"/>
      <c r="R1056" s="22"/>
      <c r="S1056" s="22"/>
      <c r="T1056" s="22"/>
      <c r="U1056" s="22"/>
      <c r="V1056" s="22"/>
      <c r="W1056" s="22"/>
      <c r="X1056" s="22"/>
      <c r="Y1056" s="22"/>
      <c r="Z1056" s="22"/>
      <c r="AA1056" s="22"/>
      <c r="AB1056" s="22"/>
      <c r="AC1056" s="22"/>
      <c r="AD1056" s="22"/>
      <c r="AE1056" s="22"/>
      <c r="AF1056" s="22"/>
      <c r="AG1056" s="22"/>
      <c r="AH1056" s="22"/>
      <c r="AI1056" s="22"/>
      <c r="AJ1056" s="22"/>
      <c r="AK1056" s="22"/>
      <c r="AL1056" s="22"/>
      <c r="AM1056" s="22"/>
      <c r="AN1056" s="22"/>
      <c r="AO1056" s="22"/>
    </row>
    <row r="1057" ht="15.75" customHeight="1">
      <c r="A1057" s="22"/>
      <c r="B1057" s="22"/>
      <c r="C1057" s="22"/>
      <c r="D1057" s="22"/>
      <c r="E1057" s="22"/>
      <c r="F1057" s="22"/>
      <c r="G1057" s="130"/>
      <c r="H1057" s="22"/>
      <c r="I1057" s="22"/>
      <c r="J1057" s="22"/>
      <c r="K1057" s="22"/>
      <c r="L1057" s="22"/>
      <c r="M1057" s="22"/>
      <c r="N1057" s="22"/>
      <c r="O1057" s="22"/>
      <c r="P1057" s="22"/>
      <c r="Q1057" s="22"/>
      <c r="R1057" s="22"/>
      <c r="S1057" s="22"/>
      <c r="T1057" s="22"/>
      <c r="U1057" s="22"/>
      <c r="V1057" s="22"/>
      <c r="W1057" s="22"/>
      <c r="X1057" s="22"/>
      <c r="Y1057" s="22"/>
      <c r="Z1057" s="22"/>
      <c r="AA1057" s="22"/>
      <c r="AB1057" s="22"/>
      <c r="AC1057" s="22"/>
      <c r="AD1057" s="22"/>
      <c r="AE1057" s="22"/>
      <c r="AF1057" s="22"/>
      <c r="AG1057" s="22"/>
      <c r="AH1057" s="22"/>
      <c r="AI1057" s="22"/>
      <c r="AJ1057" s="22"/>
      <c r="AK1057" s="22"/>
      <c r="AL1057" s="22"/>
      <c r="AM1057" s="22"/>
      <c r="AN1057" s="22"/>
      <c r="AO1057" s="22"/>
    </row>
    <row r="1058" ht="15.75" customHeight="1">
      <c r="A1058" s="22"/>
      <c r="B1058" s="22"/>
      <c r="C1058" s="22"/>
      <c r="D1058" s="22"/>
      <c r="E1058" s="22"/>
      <c r="F1058" s="22"/>
      <c r="G1058" s="130"/>
      <c r="H1058" s="22"/>
      <c r="I1058" s="22"/>
      <c r="J1058" s="22"/>
      <c r="K1058" s="22"/>
      <c r="L1058" s="22"/>
      <c r="M1058" s="22"/>
      <c r="N1058" s="22"/>
      <c r="O1058" s="22"/>
      <c r="P1058" s="22"/>
      <c r="Q1058" s="22"/>
      <c r="R1058" s="22"/>
      <c r="S1058" s="22"/>
      <c r="T1058" s="22"/>
      <c r="U1058" s="22"/>
      <c r="V1058" s="22"/>
      <c r="W1058" s="22"/>
      <c r="X1058" s="22"/>
      <c r="Y1058" s="22"/>
      <c r="Z1058" s="22"/>
      <c r="AA1058" s="22"/>
      <c r="AB1058" s="22"/>
      <c r="AC1058" s="22"/>
      <c r="AD1058" s="22"/>
      <c r="AE1058" s="22"/>
      <c r="AF1058" s="22"/>
      <c r="AG1058" s="22"/>
      <c r="AH1058" s="22"/>
      <c r="AI1058" s="22"/>
      <c r="AJ1058" s="22"/>
      <c r="AK1058" s="22"/>
      <c r="AL1058" s="22"/>
      <c r="AM1058" s="22"/>
      <c r="AN1058" s="22"/>
      <c r="AO1058" s="22"/>
    </row>
    <row r="1059" ht="15.75" customHeight="1">
      <c r="A1059" s="22"/>
      <c r="B1059" s="22"/>
      <c r="C1059" s="22"/>
      <c r="D1059" s="22"/>
      <c r="E1059" s="22"/>
      <c r="F1059" s="22"/>
      <c r="G1059" s="130"/>
      <c r="H1059" s="22"/>
      <c r="I1059" s="22"/>
      <c r="J1059" s="22"/>
      <c r="K1059" s="22"/>
      <c r="L1059" s="22"/>
      <c r="M1059" s="22"/>
      <c r="N1059" s="22"/>
      <c r="O1059" s="22"/>
      <c r="P1059" s="22"/>
      <c r="Q1059" s="22"/>
      <c r="R1059" s="22"/>
      <c r="S1059" s="22"/>
      <c r="T1059" s="22"/>
      <c r="U1059" s="22"/>
      <c r="V1059" s="22"/>
      <c r="W1059" s="22"/>
      <c r="X1059" s="22"/>
      <c r="Y1059" s="22"/>
      <c r="Z1059" s="22"/>
      <c r="AA1059" s="22"/>
      <c r="AB1059" s="22"/>
      <c r="AC1059" s="22"/>
      <c r="AD1059" s="22"/>
      <c r="AE1059" s="22"/>
      <c r="AF1059" s="22"/>
      <c r="AG1059" s="22"/>
      <c r="AH1059" s="22"/>
      <c r="AI1059" s="22"/>
      <c r="AJ1059" s="22"/>
      <c r="AK1059" s="22"/>
      <c r="AL1059" s="22"/>
      <c r="AM1059" s="22"/>
      <c r="AN1059" s="22"/>
      <c r="AO1059" s="22"/>
    </row>
    <row r="1060" ht="15.75" customHeight="1">
      <c r="A1060" s="22"/>
      <c r="B1060" s="22"/>
      <c r="C1060" s="22"/>
      <c r="D1060" s="22"/>
      <c r="E1060" s="22"/>
      <c r="F1060" s="22"/>
      <c r="G1060" s="130"/>
      <c r="H1060" s="22"/>
      <c r="I1060" s="22"/>
      <c r="J1060" s="22"/>
      <c r="K1060" s="22"/>
      <c r="L1060" s="22"/>
      <c r="M1060" s="22"/>
      <c r="N1060" s="22"/>
      <c r="O1060" s="22"/>
      <c r="P1060" s="22"/>
      <c r="Q1060" s="22"/>
      <c r="R1060" s="22"/>
      <c r="S1060" s="22"/>
      <c r="T1060" s="22"/>
      <c r="U1060" s="22"/>
      <c r="V1060" s="22"/>
      <c r="W1060" s="22"/>
      <c r="X1060" s="22"/>
      <c r="Y1060" s="22"/>
      <c r="Z1060" s="22"/>
      <c r="AA1060" s="22"/>
      <c r="AB1060" s="22"/>
      <c r="AC1060" s="22"/>
      <c r="AD1060" s="22"/>
      <c r="AE1060" s="22"/>
      <c r="AF1060" s="22"/>
      <c r="AG1060" s="22"/>
      <c r="AH1060" s="22"/>
      <c r="AI1060" s="22"/>
      <c r="AJ1060" s="22"/>
      <c r="AK1060" s="22"/>
      <c r="AL1060" s="22"/>
      <c r="AM1060" s="22"/>
      <c r="AN1060" s="22"/>
      <c r="AO1060" s="22"/>
    </row>
    <row r="1061" ht="15.75" customHeight="1">
      <c r="A1061" s="22"/>
      <c r="B1061" s="22"/>
      <c r="C1061" s="22"/>
      <c r="D1061" s="22"/>
      <c r="E1061" s="22"/>
      <c r="F1061" s="22"/>
      <c r="G1061" s="130"/>
      <c r="H1061" s="22"/>
      <c r="I1061" s="22"/>
      <c r="J1061" s="22"/>
      <c r="K1061" s="22"/>
      <c r="L1061" s="22"/>
      <c r="M1061" s="22"/>
      <c r="N1061" s="22"/>
      <c r="O1061" s="22"/>
      <c r="P1061" s="22"/>
      <c r="Q1061" s="22"/>
      <c r="R1061" s="22"/>
      <c r="S1061" s="22"/>
      <c r="T1061" s="22"/>
      <c r="U1061" s="22"/>
      <c r="V1061" s="22"/>
      <c r="W1061" s="22"/>
      <c r="X1061" s="22"/>
      <c r="Y1061" s="22"/>
      <c r="Z1061" s="22"/>
      <c r="AA1061" s="22"/>
      <c r="AB1061" s="22"/>
      <c r="AC1061" s="22"/>
      <c r="AD1061" s="22"/>
      <c r="AE1061" s="22"/>
      <c r="AF1061" s="22"/>
      <c r="AG1061" s="22"/>
      <c r="AH1061" s="22"/>
      <c r="AI1061" s="22"/>
      <c r="AJ1061" s="22"/>
      <c r="AK1061" s="22"/>
      <c r="AL1061" s="22"/>
      <c r="AM1061" s="22"/>
      <c r="AN1061" s="22"/>
      <c r="AO1061" s="22"/>
    </row>
    <row r="1062" ht="15.75" customHeight="1">
      <c r="A1062" s="22"/>
      <c r="B1062" s="22"/>
      <c r="C1062" s="22"/>
      <c r="D1062" s="22"/>
      <c r="E1062" s="22"/>
      <c r="F1062" s="22"/>
      <c r="G1062" s="130"/>
      <c r="H1062" s="22"/>
      <c r="I1062" s="22"/>
      <c r="J1062" s="22"/>
      <c r="K1062" s="22"/>
      <c r="L1062" s="22"/>
      <c r="M1062" s="22"/>
      <c r="N1062" s="22"/>
      <c r="O1062" s="22"/>
      <c r="P1062" s="22"/>
      <c r="Q1062" s="22"/>
      <c r="R1062" s="22"/>
      <c r="S1062" s="22"/>
      <c r="T1062" s="22"/>
      <c r="U1062" s="22"/>
      <c r="V1062" s="22"/>
      <c r="W1062" s="22"/>
      <c r="X1062" s="22"/>
      <c r="Y1062" s="22"/>
      <c r="Z1062" s="22"/>
      <c r="AA1062" s="22"/>
      <c r="AB1062" s="22"/>
      <c r="AC1062" s="22"/>
      <c r="AD1062" s="22"/>
      <c r="AE1062" s="22"/>
      <c r="AF1062" s="22"/>
      <c r="AG1062" s="22"/>
      <c r="AH1062" s="22"/>
      <c r="AI1062" s="22"/>
      <c r="AJ1062" s="22"/>
      <c r="AK1062" s="22"/>
      <c r="AL1062" s="22"/>
      <c r="AM1062" s="22"/>
      <c r="AN1062" s="22"/>
      <c r="AO1062" s="22"/>
    </row>
    <row r="1063" ht="15.75" customHeight="1">
      <c r="A1063" s="22"/>
      <c r="B1063" s="22"/>
      <c r="C1063" s="22"/>
      <c r="D1063" s="22"/>
      <c r="E1063" s="22"/>
      <c r="F1063" s="22"/>
      <c r="G1063" s="130"/>
      <c r="H1063" s="22"/>
      <c r="I1063" s="22"/>
      <c r="J1063" s="22"/>
      <c r="K1063" s="22"/>
      <c r="L1063" s="22"/>
      <c r="M1063" s="22"/>
      <c r="N1063" s="22"/>
      <c r="O1063" s="22"/>
      <c r="P1063" s="22"/>
      <c r="Q1063" s="22"/>
      <c r="R1063" s="22"/>
      <c r="S1063" s="22"/>
      <c r="T1063" s="22"/>
      <c r="U1063" s="22"/>
      <c r="V1063" s="22"/>
      <c r="W1063" s="22"/>
      <c r="X1063" s="22"/>
      <c r="Y1063" s="22"/>
      <c r="Z1063" s="22"/>
      <c r="AA1063" s="22"/>
      <c r="AB1063" s="22"/>
      <c r="AC1063" s="22"/>
      <c r="AD1063" s="22"/>
      <c r="AE1063" s="22"/>
      <c r="AF1063" s="22"/>
      <c r="AG1063" s="22"/>
      <c r="AH1063" s="22"/>
      <c r="AI1063" s="22"/>
      <c r="AJ1063" s="22"/>
      <c r="AK1063" s="22"/>
      <c r="AL1063" s="22"/>
      <c r="AM1063" s="22"/>
      <c r="AN1063" s="22"/>
      <c r="AO1063" s="22"/>
    </row>
    <row r="1064" ht="15.75" customHeight="1">
      <c r="A1064" s="22"/>
      <c r="B1064" s="22"/>
      <c r="C1064" s="22"/>
      <c r="D1064" s="22"/>
      <c r="E1064" s="22"/>
      <c r="F1064" s="22"/>
      <c r="G1064" s="130"/>
      <c r="H1064" s="22"/>
      <c r="I1064" s="22"/>
      <c r="J1064" s="22"/>
      <c r="K1064" s="22"/>
      <c r="L1064" s="22"/>
      <c r="M1064" s="22"/>
      <c r="N1064" s="22"/>
      <c r="O1064" s="22"/>
      <c r="P1064" s="22"/>
      <c r="Q1064" s="22"/>
      <c r="R1064" s="22"/>
      <c r="S1064" s="22"/>
      <c r="T1064" s="22"/>
      <c r="U1064" s="22"/>
      <c r="V1064" s="22"/>
      <c r="W1064" s="22"/>
      <c r="X1064" s="22"/>
      <c r="Y1064" s="22"/>
      <c r="Z1064" s="22"/>
      <c r="AA1064" s="22"/>
      <c r="AB1064" s="22"/>
      <c r="AC1064" s="22"/>
      <c r="AD1064" s="22"/>
      <c r="AE1064" s="22"/>
      <c r="AF1064" s="22"/>
      <c r="AG1064" s="22"/>
      <c r="AH1064" s="22"/>
      <c r="AI1064" s="22"/>
      <c r="AJ1064" s="22"/>
      <c r="AK1064" s="22"/>
      <c r="AL1064" s="22"/>
      <c r="AM1064" s="22"/>
      <c r="AN1064" s="22"/>
      <c r="AO1064" s="22"/>
    </row>
    <row r="1065" ht="15.75" customHeight="1">
      <c r="A1065" s="22"/>
      <c r="B1065" s="22"/>
      <c r="C1065" s="22"/>
      <c r="D1065" s="22"/>
      <c r="E1065" s="22"/>
      <c r="F1065" s="22"/>
      <c r="G1065" s="130"/>
      <c r="H1065" s="22"/>
      <c r="I1065" s="22"/>
      <c r="J1065" s="22"/>
      <c r="K1065" s="22"/>
      <c r="L1065" s="22"/>
      <c r="M1065" s="22"/>
      <c r="N1065" s="22"/>
      <c r="O1065" s="22"/>
      <c r="P1065" s="22"/>
      <c r="Q1065" s="22"/>
      <c r="R1065" s="22"/>
      <c r="S1065" s="22"/>
      <c r="T1065" s="22"/>
      <c r="U1065" s="22"/>
      <c r="V1065" s="22"/>
      <c r="W1065" s="22"/>
      <c r="X1065" s="22"/>
      <c r="Y1065" s="22"/>
      <c r="Z1065" s="22"/>
      <c r="AA1065" s="22"/>
      <c r="AB1065" s="22"/>
      <c r="AC1065" s="22"/>
      <c r="AD1065" s="22"/>
      <c r="AE1065" s="22"/>
      <c r="AF1065" s="22"/>
      <c r="AG1065" s="22"/>
      <c r="AH1065" s="22"/>
      <c r="AI1065" s="22"/>
      <c r="AJ1065" s="22"/>
      <c r="AK1065" s="22"/>
      <c r="AL1065" s="22"/>
      <c r="AM1065" s="22"/>
      <c r="AN1065" s="22"/>
      <c r="AO1065" s="22"/>
    </row>
    <row r="1066" ht="15.75" customHeight="1">
      <c r="A1066" s="22"/>
      <c r="B1066" s="22"/>
      <c r="C1066" s="22"/>
      <c r="D1066" s="22"/>
      <c r="E1066" s="22"/>
      <c r="F1066" s="22"/>
      <c r="G1066" s="130"/>
      <c r="H1066" s="22"/>
      <c r="I1066" s="22"/>
      <c r="J1066" s="22"/>
      <c r="K1066" s="22"/>
      <c r="L1066" s="22"/>
      <c r="M1066" s="22"/>
      <c r="N1066" s="22"/>
      <c r="O1066" s="22"/>
      <c r="P1066" s="22"/>
      <c r="Q1066" s="22"/>
      <c r="R1066" s="22"/>
      <c r="S1066" s="22"/>
      <c r="T1066" s="22"/>
      <c r="U1066" s="22"/>
      <c r="V1066" s="22"/>
      <c r="W1066" s="22"/>
      <c r="X1066" s="22"/>
      <c r="Y1066" s="22"/>
      <c r="Z1066" s="22"/>
      <c r="AA1066" s="22"/>
      <c r="AB1066" s="22"/>
      <c r="AC1066" s="22"/>
      <c r="AD1066" s="22"/>
      <c r="AE1066" s="22"/>
      <c r="AF1066" s="22"/>
      <c r="AG1066" s="22"/>
      <c r="AH1066" s="22"/>
      <c r="AI1066" s="22"/>
      <c r="AJ1066" s="22"/>
      <c r="AK1066" s="22"/>
      <c r="AL1066" s="22"/>
      <c r="AM1066" s="22"/>
      <c r="AN1066" s="22"/>
      <c r="AO1066" s="22"/>
    </row>
    <row r="1067" ht="15.75" customHeight="1">
      <c r="A1067" s="22"/>
      <c r="B1067" s="22"/>
      <c r="C1067" s="22"/>
      <c r="D1067" s="22"/>
      <c r="E1067" s="22"/>
      <c r="F1067" s="22"/>
      <c r="G1067" s="130"/>
      <c r="H1067" s="22"/>
      <c r="I1067" s="22"/>
      <c r="J1067" s="22"/>
      <c r="K1067" s="22"/>
      <c r="L1067" s="22"/>
      <c r="M1067" s="22"/>
      <c r="N1067" s="22"/>
      <c r="O1067" s="22"/>
      <c r="P1067" s="22"/>
      <c r="Q1067" s="22"/>
      <c r="R1067" s="22"/>
      <c r="S1067" s="22"/>
      <c r="T1067" s="22"/>
      <c r="U1067" s="22"/>
      <c r="V1067" s="22"/>
      <c r="W1067" s="22"/>
      <c r="X1067" s="22"/>
      <c r="Y1067" s="22"/>
      <c r="Z1067" s="22"/>
      <c r="AA1067" s="22"/>
      <c r="AB1067" s="22"/>
      <c r="AC1067" s="22"/>
      <c r="AD1067" s="22"/>
      <c r="AE1067" s="22"/>
      <c r="AF1067" s="22"/>
      <c r="AG1067" s="22"/>
      <c r="AH1067" s="22"/>
      <c r="AI1067" s="22"/>
      <c r="AJ1067" s="22"/>
      <c r="AK1067" s="22"/>
      <c r="AL1067" s="22"/>
      <c r="AM1067" s="22"/>
      <c r="AN1067" s="22"/>
      <c r="AO1067" s="22"/>
    </row>
    <row r="1068" ht="15.75" customHeight="1">
      <c r="A1068" s="22"/>
      <c r="B1068" s="22"/>
      <c r="C1068" s="22"/>
      <c r="D1068" s="22"/>
      <c r="E1068" s="22"/>
      <c r="F1068" s="22"/>
      <c r="G1068" s="130"/>
      <c r="H1068" s="22"/>
      <c r="I1068" s="22"/>
      <c r="J1068" s="22"/>
      <c r="K1068" s="22"/>
      <c r="L1068" s="22"/>
      <c r="M1068" s="22"/>
      <c r="N1068" s="22"/>
      <c r="O1068" s="22"/>
      <c r="P1068" s="22"/>
      <c r="Q1068" s="22"/>
      <c r="R1068" s="22"/>
      <c r="S1068" s="22"/>
      <c r="T1068" s="22"/>
      <c r="U1068" s="22"/>
      <c r="V1068" s="22"/>
      <c r="W1068" s="22"/>
      <c r="X1068" s="22"/>
      <c r="Y1068" s="22"/>
      <c r="Z1068" s="22"/>
      <c r="AA1068" s="22"/>
      <c r="AB1068" s="22"/>
      <c r="AC1068" s="22"/>
      <c r="AD1068" s="22"/>
      <c r="AE1068" s="22"/>
      <c r="AF1068" s="22"/>
      <c r="AG1068" s="22"/>
      <c r="AH1068" s="22"/>
      <c r="AI1068" s="22"/>
      <c r="AJ1068" s="22"/>
      <c r="AK1068" s="22"/>
      <c r="AL1068" s="22"/>
      <c r="AM1068" s="22"/>
      <c r="AN1068" s="22"/>
      <c r="AO1068" s="22"/>
    </row>
    <row r="1069" ht="15.75" customHeight="1">
      <c r="A1069" s="22"/>
      <c r="B1069" s="22"/>
      <c r="C1069" s="22"/>
      <c r="D1069" s="22"/>
      <c r="E1069" s="22"/>
      <c r="F1069" s="22"/>
      <c r="G1069" s="130"/>
      <c r="H1069" s="22"/>
      <c r="I1069" s="22"/>
      <c r="J1069" s="22"/>
      <c r="K1069" s="22"/>
      <c r="L1069" s="22"/>
      <c r="M1069" s="22"/>
      <c r="N1069" s="22"/>
      <c r="O1069" s="22"/>
      <c r="P1069" s="22"/>
      <c r="Q1069" s="22"/>
      <c r="R1069" s="22"/>
      <c r="S1069" s="22"/>
      <c r="T1069" s="22"/>
      <c r="U1069" s="22"/>
      <c r="V1069" s="22"/>
      <c r="W1069" s="22"/>
      <c r="X1069" s="22"/>
      <c r="Y1069" s="22"/>
      <c r="Z1069" s="22"/>
      <c r="AA1069" s="22"/>
      <c r="AB1069" s="22"/>
      <c r="AC1069" s="22"/>
      <c r="AD1069" s="22"/>
      <c r="AE1069" s="22"/>
      <c r="AF1069" s="22"/>
      <c r="AG1069" s="22"/>
      <c r="AH1069" s="22"/>
      <c r="AI1069" s="22"/>
      <c r="AJ1069" s="22"/>
      <c r="AK1069" s="22"/>
      <c r="AL1069" s="22"/>
      <c r="AM1069" s="22"/>
      <c r="AN1069" s="22"/>
      <c r="AO1069" s="22"/>
    </row>
    <row r="1070" ht="15.75" customHeight="1">
      <c r="A1070" s="22"/>
      <c r="B1070" s="22"/>
      <c r="C1070" s="22"/>
      <c r="D1070" s="22"/>
      <c r="E1070" s="22"/>
      <c r="F1070" s="22"/>
      <c r="G1070" s="130"/>
      <c r="H1070" s="22"/>
      <c r="I1070" s="22"/>
      <c r="J1070" s="22"/>
      <c r="K1070" s="22"/>
      <c r="L1070" s="22"/>
      <c r="M1070" s="22"/>
      <c r="N1070" s="22"/>
      <c r="O1070" s="22"/>
      <c r="P1070" s="22"/>
      <c r="Q1070" s="22"/>
      <c r="R1070" s="22"/>
      <c r="S1070" s="22"/>
      <c r="T1070" s="22"/>
      <c r="U1070" s="22"/>
      <c r="V1070" s="22"/>
      <c r="W1070" s="22"/>
      <c r="X1070" s="22"/>
      <c r="Y1070" s="22"/>
      <c r="Z1070" s="22"/>
      <c r="AA1070" s="22"/>
      <c r="AB1070" s="22"/>
      <c r="AC1070" s="22"/>
      <c r="AD1070" s="22"/>
      <c r="AE1070" s="22"/>
      <c r="AF1070" s="22"/>
      <c r="AG1070" s="22"/>
      <c r="AH1070" s="22"/>
      <c r="AI1070" s="22"/>
      <c r="AJ1070" s="22"/>
      <c r="AK1070" s="22"/>
      <c r="AL1070" s="22"/>
      <c r="AM1070" s="22"/>
      <c r="AN1070" s="22"/>
      <c r="AO1070" s="22"/>
    </row>
    <row r="1071" ht="15.75" customHeight="1">
      <c r="A1071" s="22"/>
      <c r="B1071" s="22"/>
      <c r="C1071" s="22"/>
      <c r="D1071" s="22"/>
      <c r="E1071" s="22"/>
      <c r="F1071" s="22"/>
      <c r="G1071" s="130"/>
      <c r="H1071" s="22"/>
      <c r="I1071" s="22"/>
      <c r="J1071" s="22"/>
      <c r="K1071" s="22"/>
      <c r="L1071" s="22"/>
      <c r="M1071" s="22"/>
      <c r="N1071" s="22"/>
      <c r="O1071" s="22"/>
      <c r="P1071" s="22"/>
      <c r="Q1071" s="22"/>
      <c r="R1071" s="22"/>
      <c r="S1071" s="22"/>
      <c r="T1071" s="22"/>
      <c r="U1071" s="22"/>
      <c r="V1071" s="22"/>
      <c r="W1071" s="22"/>
      <c r="X1071" s="22"/>
      <c r="Y1071" s="22"/>
      <c r="Z1071" s="22"/>
      <c r="AA1071" s="22"/>
      <c r="AB1071" s="22"/>
      <c r="AC1071" s="22"/>
      <c r="AD1071" s="22"/>
      <c r="AE1071" s="22"/>
      <c r="AF1071" s="22"/>
      <c r="AG1071" s="22"/>
      <c r="AH1071" s="22"/>
      <c r="AI1071" s="22"/>
      <c r="AJ1071" s="22"/>
      <c r="AK1071" s="22"/>
      <c r="AL1071" s="22"/>
      <c r="AM1071" s="22"/>
      <c r="AN1071" s="22"/>
      <c r="AO1071" s="22"/>
    </row>
    <row r="1072" ht="15.75" customHeight="1">
      <c r="A1072" s="22"/>
      <c r="B1072" s="22"/>
      <c r="C1072" s="22"/>
      <c r="D1072" s="22"/>
      <c r="E1072" s="22"/>
      <c r="F1072" s="22"/>
      <c r="G1072" s="130"/>
      <c r="H1072" s="22"/>
      <c r="I1072" s="22"/>
      <c r="J1072" s="22"/>
      <c r="K1072" s="22"/>
      <c r="L1072" s="22"/>
      <c r="M1072" s="22"/>
      <c r="N1072" s="22"/>
      <c r="O1072" s="22"/>
      <c r="P1072" s="22"/>
      <c r="Q1072" s="22"/>
      <c r="R1072" s="22"/>
      <c r="S1072" s="22"/>
      <c r="T1072" s="22"/>
      <c r="U1072" s="22"/>
      <c r="V1072" s="22"/>
      <c r="W1072" s="22"/>
      <c r="X1072" s="22"/>
      <c r="Y1072" s="22"/>
      <c r="Z1072" s="22"/>
      <c r="AA1072" s="22"/>
      <c r="AB1072" s="22"/>
      <c r="AC1072" s="22"/>
      <c r="AD1072" s="22"/>
      <c r="AE1072" s="22"/>
      <c r="AF1072" s="22"/>
      <c r="AG1072" s="22"/>
      <c r="AH1072" s="22"/>
      <c r="AI1072" s="22"/>
      <c r="AJ1072" s="22"/>
      <c r="AK1072" s="22"/>
      <c r="AL1072" s="22"/>
      <c r="AM1072" s="22"/>
      <c r="AN1072" s="22"/>
      <c r="AO1072" s="22"/>
    </row>
    <row r="1073" ht="15.75" customHeight="1">
      <c r="A1073" s="22"/>
      <c r="B1073" s="22"/>
      <c r="C1073" s="22"/>
      <c r="D1073" s="22"/>
      <c r="E1073" s="22"/>
      <c r="F1073" s="22"/>
      <c r="G1073" s="130"/>
      <c r="H1073" s="22"/>
      <c r="I1073" s="22"/>
      <c r="J1073" s="22"/>
      <c r="K1073" s="22"/>
      <c r="L1073" s="22"/>
      <c r="M1073" s="22"/>
      <c r="N1073" s="22"/>
      <c r="O1073" s="22"/>
      <c r="P1073" s="22"/>
      <c r="Q1073" s="22"/>
      <c r="R1073" s="22"/>
      <c r="S1073" s="22"/>
      <c r="T1073" s="22"/>
      <c r="U1073" s="22"/>
      <c r="V1073" s="22"/>
      <c r="W1073" s="22"/>
      <c r="X1073" s="22"/>
      <c r="Y1073" s="22"/>
      <c r="Z1073" s="22"/>
      <c r="AA1073" s="22"/>
      <c r="AB1073" s="22"/>
      <c r="AC1073" s="22"/>
      <c r="AD1073" s="22"/>
      <c r="AE1073" s="22"/>
      <c r="AF1073" s="22"/>
      <c r="AG1073" s="22"/>
      <c r="AH1073" s="22"/>
      <c r="AI1073" s="22"/>
      <c r="AJ1073" s="22"/>
      <c r="AK1073" s="22"/>
      <c r="AL1073" s="22"/>
      <c r="AM1073" s="22"/>
      <c r="AN1073" s="22"/>
      <c r="AO1073" s="22"/>
    </row>
    <row r="1074" ht="15.75" customHeight="1">
      <c r="A1074" s="22"/>
      <c r="B1074" s="22"/>
      <c r="C1074" s="22"/>
      <c r="D1074" s="22"/>
      <c r="E1074" s="22"/>
      <c r="F1074" s="22"/>
      <c r="G1074" s="130"/>
      <c r="H1074" s="22"/>
      <c r="I1074" s="22"/>
      <c r="J1074" s="22"/>
      <c r="K1074" s="22"/>
      <c r="L1074" s="22"/>
      <c r="M1074" s="22"/>
      <c r="N1074" s="22"/>
      <c r="O1074" s="22"/>
      <c r="P1074" s="22"/>
      <c r="Q1074" s="22"/>
      <c r="R1074" s="22"/>
      <c r="S1074" s="22"/>
      <c r="T1074" s="22"/>
      <c r="U1074" s="22"/>
      <c r="V1074" s="22"/>
      <c r="W1074" s="22"/>
      <c r="X1074" s="22"/>
      <c r="Y1074" s="22"/>
      <c r="Z1074" s="22"/>
      <c r="AA1074" s="22"/>
      <c r="AB1074" s="22"/>
      <c r="AC1074" s="22"/>
      <c r="AD1074" s="22"/>
      <c r="AE1074" s="22"/>
      <c r="AF1074" s="22"/>
      <c r="AG1074" s="22"/>
      <c r="AH1074" s="22"/>
      <c r="AI1074" s="22"/>
      <c r="AJ1074" s="22"/>
      <c r="AK1074" s="22"/>
      <c r="AL1074" s="22"/>
      <c r="AM1074" s="22"/>
      <c r="AN1074" s="22"/>
      <c r="AO1074" s="22"/>
    </row>
    <row r="1075" ht="15.75" customHeight="1">
      <c r="A1075" s="22"/>
      <c r="B1075" s="22"/>
      <c r="C1075" s="22"/>
      <c r="D1075" s="22"/>
      <c r="E1075" s="22"/>
      <c r="F1075" s="22"/>
      <c r="G1075" s="130"/>
      <c r="H1075" s="22"/>
      <c r="I1075" s="22"/>
      <c r="J1075" s="22"/>
      <c r="K1075" s="22"/>
      <c r="L1075" s="22"/>
      <c r="M1075" s="22"/>
      <c r="N1075" s="22"/>
      <c r="O1075" s="22"/>
      <c r="P1075" s="22"/>
      <c r="Q1075" s="22"/>
      <c r="R1075" s="22"/>
      <c r="S1075" s="22"/>
      <c r="T1075" s="22"/>
      <c r="U1075" s="22"/>
      <c r="V1075" s="22"/>
      <c r="W1075" s="22"/>
      <c r="X1075" s="22"/>
      <c r="Y1075" s="22"/>
      <c r="Z1075" s="22"/>
      <c r="AA1075" s="22"/>
      <c r="AB1075" s="22"/>
      <c r="AC1075" s="22"/>
      <c r="AD1075" s="22"/>
      <c r="AE1075" s="22"/>
      <c r="AF1075" s="22"/>
      <c r="AG1075" s="22"/>
      <c r="AH1075" s="22"/>
      <c r="AI1075" s="22"/>
      <c r="AJ1075" s="22"/>
      <c r="AK1075" s="22"/>
      <c r="AL1075" s="22"/>
      <c r="AM1075" s="22"/>
      <c r="AN1075" s="22"/>
      <c r="AO1075" s="22"/>
    </row>
    <row r="1076" ht="15.75" customHeight="1">
      <c r="A1076" s="22"/>
      <c r="B1076" s="22"/>
      <c r="C1076" s="22"/>
      <c r="D1076" s="22"/>
      <c r="E1076" s="22"/>
      <c r="F1076" s="22"/>
      <c r="G1076" s="130"/>
      <c r="H1076" s="22"/>
      <c r="I1076" s="22"/>
      <c r="J1076" s="22"/>
      <c r="K1076" s="22"/>
      <c r="L1076" s="22"/>
      <c r="M1076" s="22"/>
      <c r="N1076" s="22"/>
      <c r="O1076" s="22"/>
      <c r="P1076" s="22"/>
      <c r="Q1076" s="22"/>
      <c r="R1076" s="22"/>
      <c r="S1076" s="22"/>
      <c r="T1076" s="22"/>
      <c r="U1076" s="22"/>
      <c r="V1076" s="22"/>
      <c r="W1076" s="22"/>
      <c r="X1076" s="22"/>
      <c r="Y1076" s="22"/>
      <c r="Z1076" s="22"/>
      <c r="AA1076" s="22"/>
      <c r="AB1076" s="22"/>
      <c r="AC1076" s="22"/>
      <c r="AD1076" s="22"/>
      <c r="AE1076" s="22"/>
      <c r="AF1076" s="22"/>
      <c r="AG1076" s="22"/>
      <c r="AH1076" s="22"/>
      <c r="AI1076" s="22"/>
      <c r="AJ1076" s="22"/>
      <c r="AK1076" s="22"/>
      <c r="AL1076" s="22"/>
      <c r="AM1076" s="22"/>
      <c r="AN1076" s="22"/>
      <c r="AO1076" s="22"/>
    </row>
    <row r="1077" ht="15.75" customHeight="1">
      <c r="A1077" s="22"/>
      <c r="B1077" s="22"/>
      <c r="C1077" s="22"/>
      <c r="D1077" s="22"/>
      <c r="E1077" s="22"/>
      <c r="F1077" s="22"/>
      <c r="G1077" s="130"/>
      <c r="H1077" s="22"/>
      <c r="I1077" s="22"/>
      <c r="J1077" s="22"/>
      <c r="K1077" s="22"/>
      <c r="L1077" s="22"/>
      <c r="M1077" s="22"/>
      <c r="N1077" s="22"/>
      <c r="O1077" s="22"/>
      <c r="P1077" s="22"/>
      <c r="Q1077" s="22"/>
      <c r="R1077" s="22"/>
      <c r="S1077" s="22"/>
      <c r="T1077" s="22"/>
      <c r="U1077" s="22"/>
      <c r="V1077" s="22"/>
      <c r="W1077" s="22"/>
      <c r="X1077" s="22"/>
      <c r="Y1077" s="22"/>
      <c r="Z1077" s="22"/>
      <c r="AA1077" s="22"/>
      <c r="AB1077" s="22"/>
      <c r="AC1077" s="22"/>
      <c r="AD1077" s="22"/>
      <c r="AE1077" s="22"/>
      <c r="AF1077" s="22"/>
      <c r="AG1077" s="22"/>
      <c r="AH1077" s="22"/>
      <c r="AI1077" s="22"/>
      <c r="AJ1077" s="22"/>
      <c r="AK1077" s="22"/>
      <c r="AL1077" s="22"/>
      <c r="AM1077" s="22"/>
      <c r="AN1077" s="22"/>
      <c r="AO1077" s="22"/>
    </row>
    <row r="1078" ht="15.75" customHeight="1">
      <c r="A1078" s="22"/>
      <c r="B1078" s="22"/>
      <c r="C1078" s="22"/>
      <c r="D1078" s="22"/>
      <c r="E1078" s="22"/>
      <c r="F1078" s="22"/>
      <c r="G1078" s="130"/>
      <c r="H1078" s="22"/>
      <c r="I1078" s="22"/>
      <c r="J1078" s="22"/>
      <c r="K1078" s="22"/>
      <c r="L1078" s="22"/>
      <c r="M1078" s="22"/>
      <c r="N1078" s="22"/>
      <c r="O1078" s="22"/>
      <c r="P1078" s="22"/>
      <c r="Q1078" s="22"/>
      <c r="R1078" s="22"/>
      <c r="S1078" s="22"/>
      <c r="T1078" s="22"/>
      <c r="U1078" s="22"/>
      <c r="V1078" s="22"/>
      <c r="W1078" s="22"/>
      <c r="X1078" s="22"/>
      <c r="Y1078" s="22"/>
      <c r="Z1078" s="22"/>
      <c r="AA1078" s="22"/>
      <c r="AB1078" s="22"/>
      <c r="AC1078" s="22"/>
      <c r="AD1078" s="22"/>
      <c r="AE1078" s="22"/>
      <c r="AF1078" s="22"/>
      <c r="AG1078" s="22"/>
      <c r="AH1078" s="22"/>
      <c r="AI1078" s="22"/>
      <c r="AJ1078" s="22"/>
      <c r="AK1078" s="22"/>
      <c r="AL1078" s="22"/>
      <c r="AM1078" s="22"/>
      <c r="AN1078" s="22"/>
      <c r="AO1078" s="22"/>
    </row>
    <row r="1079" ht="15.75" customHeight="1">
      <c r="A1079" s="22"/>
      <c r="B1079" s="22"/>
      <c r="C1079" s="22"/>
      <c r="D1079" s="22"/>
      <c r="E1079" s="22"/>
      <c r="F1079" s="22"/>
      <c r="G1079" s="130"/>
      <c r="H1079" s="22"/>
      <c r="I1079" s="22"/>
      <c r="J1079" s="22"/>
      <c r="K1079" s="22"/>
      <c r="L1079" s="22"/>
      <c r="M1079" s="22"/>
      <c r="N1079" s="22"/>
      <c r="O1079" s="22"/>
      <c r="P1079" s="22"/>
      <c r="Q1079" s="22"/>
      <c r="R1079" s="22"/>
      <c r="S1079" s="22"/>
      <c r="T1079" s="22"/>
      <c r="U1079" s="22"/>
      <c r="V1079" s="22"/>
      <c r="W1079" s="22"/>
      <c r="X1079" s="22"/>
      <c r="Y1079" s="22"/>
      <c r="Z1079" s="22"/>
      <c r="AA1079" s="22"/>
      <c r="AB1079" s="22"/>
      <c r="AC1079" s="22"/>
      <c r="AD1079" s="22"/>
      <c r="AE1079" s="22"/>
      <c r="AF1079" s="22"/>
      <c r="AG1079" s="22"/>
      <c r="AH1079" s="22"/>
      <c r="AI1079" s="22"/>
      <c r="AJ1079" s="22"/>
      <c r="AK1079" s="22"/>
      <c r="AL1079" s="22"/>
      <c r="AM1079" s="22"/>
      <c r="AN1079" s="22"/>
      <c r="AO1079" s="22"/>
    </row>
    <row r="1080" ht="15.75" customHeight="1">
      <c r="A1080" s="22"/>
      <c r="B1080" s="22"/>
      <c r="C1080" s="22"/>
      <c r="D1080" s="22"/>
      <c r="E1080" s="22"/>
      <c r="F1080" s="22"/>
      <c r="G1080" s="130"/>
      <c r="H1080" s="22"/>
      <c r="I1080" s="22"/>
      <c r="J1080" s="22"/>
      <c r="K1080" s="22"/>
      <c r="L1080" s="22"/>
      <c r="M1080" s="22"/>
      <c r="N1080" s="22"/>
      <c r="O1080" s="22"/>
      <c r="P1080" s="22"/>
      <c r="Q1080" s="22"/>
      <c r="R1080" s="22"/>
      <c r="S1080" s="22"/>
      <c r="T1080" s="22"/>
      <c r="U1080" s="22"/>
      <c r="V1080" s="22"/>
      <c r="W1080" s="22"/>
      <c r="X1080" s="22"/>
      <c r="Y1080" s="22"/>
      <c r="Z1080" s="22"/>
      <c r="AA1080" s="22"/>
      <c r="AB1080" s="22"/>
      <c r="AC1080" s="22"/>
      <c r="AD1080" s="22"/>
      <c r="AE1080" s="22"/>
      <c r="AF1080" s="22"/>
      <c r="AG1080" s="22"/>
      <c r="AH1080" s="22"/>
      <c r="AI1080" s="22"/>
      <c r="AJ1080" s="22"/>
      <c r="AK1080" s="22"/>
      <c r="AL1080" s="22"/>
      <c r="AM1080" s="22"/>
      <c r="AN1080" s="22"/>
      <c r="AO1080" s="22"/>
    </row>
    <row r="1081" ht="15.75" customHeight="1">
      <c r="A1081" s="22"/>
      <c r="B1081" s="22"/>
      <c r="C1081" s="22"/>
      <c r="D1081" s="22"/>
      <c r="E1081" s="22"/>
      <c r="F1081" s="22"/>
      <c r="G1081" s="130"/>
      <c r="H1081" s="22"/>
      <c r="I1081" s="22"/>
      <c r="J1081" s="22"/>
      <c r="K1081" s="22"/>
      <c r="L1081" s="22"/>
      <c r="M1081" s="22"/>
      <c r="N1081" s="22"/>
      <c r="O1081" s="22"/>
      <c r="P1081" s="22"/>
      <c r="Q1081" s="22"/>
      <c r="R1081" s="22"/>
      <c r="S1081" s="22"/>
      <c r="T1081" s="22"/>
      <c r="U1081" s="22"/>
      <c r="V1081" s="22"/>
      <c r="W1081" s="22"/>
      <c r="X1081" s="22"/>
      <c r="Y1081" s="22"/>
      <c r="Z1081" s="22"/>
      <c r="AA1081" s="22"/>
      <c r="AB1081" s="22"/>
      <c r="AC1081" s="22"/>
      <c r="AD1081" s="22"/>
      <c r="AE1081" s="22"/>
      <c r="AF1081" s="22"/>
      <c r="AG1081" s="22"/>
      <c r="AH1081" s="22"/>
      <c r="AI1081" s="22"/>
      <c r="AJ1081" s="22"/>
      <c r="AK1081" s="22"/>
      <c r="AL1081" s="22"/>
      <c r="AM1081" s="22"/>
      <c r="AN1081" s="22"/>
      <c r="AO1081" s="22"/>
    </row>
    <row r="1082" ht="15.75" customHeight="1">
      <c r="A1082" s="22"/>
      <c r="B1082" s="22"/>
      <c r="C1082" s="22"/>
      <c r="D1082" s="22"/>
      <c r="E1082" s="22"/>
      <c r="F1082" s="22"/>
      <c r="G1082" s="130"/>
      <c r="H1082" s="22"/>
      <c r="I1082" s="22"/>
      <c r="J1082" s="22"/>
      <c r="K1082" s="22"/>
      <c r="L1082" s="22"/>
      <c r="M1082" s="22"/>
      <c r="N1082" s="22"/>
      <c r="O1082" s="22"/>
      <c r="P1082" s="22"/>
      <c r="Q1082" s="22"/>
      <c r="R1082" s="22"/>
      <c r="S1082" s="22"/>
      <c r="T1082" s="22"/>
      <c r="U1082" s="22"/>
      <c r="V1082" s="22"/>
      <c r="W1082" s="22"/>
      <c r="X1082" s="22"/>
      <c r="Y1082" s="22"/>
      <c r="Z1082" s="22"/>
      <c r="AA1082" s="22"/>
      <c r="AB1082" s="22"/>
      <c r="AC1082" s="22"/>
      <c r="AD1082" s="22"/>
      <c r="AE1082" s="22"/>
      <c r="AF1082" s="22"/>
      <c r="AG1082" s="22"/>
      <c r="AH1082" s="22"/>
      <c r="AI1082" s="22"/>
      <c r="AJ1082" s="22"/>
      <c r="AK1082" s="22"/>
      <c r="AL1082" s="22"/>
      <c r="AM1082" s="22"/>
      <c r="AN1082" s="22"/>
      <c r="AO1082" s="22"/>
    </row>
    <row r="1083" ht="15.75" customHeight="1">
      <c r="A1083" s="22"/>
      <c r="B1083" s="22"/>
      <c r="C1083" s="22"/>
      <c r="D1083" s="22"/>
      <c r="E1083" s="22"/>
      <c r="F1083" s="22"/>
      <c r="G1083" s="130"/>
      <c r="H1083" s="22"/>
      <c r="I1083" s="22"/>
      <c r="J1083" s="22"/>
      <c r="K1083" s="22"/>
      <c r="L1083" s="22"/>
      <c r="M1083" s="22"/>
      <c r="N1083" s="22"/>
      <c r="O1083" s="22"/>
      <c r="P1083" s="22"/>
      <c r="Q1083" s="22"/>
      <c r="R1083" s="22"/>
      <c r="S1083" s="22"/>
      <c r="T1083" s="22"/>
      <c r="U1083" s="22"/>
      <c r="V1083" s="22"/>
      <c r="W1083" s="22"/>
      <c r="X1083" s="22"/>
      <c r="Y1083" s="22"/>
      <c r="Z1083" s="22"/>
      <c r="AA1083" s="22"/>
      <c r="AB1083" s="22"/>
      <c r="AC1083" s="22"/>
      <c r="AD1083" s="22"/>
      <c r="AE1083" s="22"/>
      <c r="AF1083" s="22"/>
      <c r="AG1083" s="22"/>
      <c r="AH1083" s="22"/>
      <c r="AI1083" s="22"/>
      <c r="AJ1083" s="22"/>
      <c r="AK1083" s="22"/>
      <c r="AL1083" s="22"/>
      <c r="AM1083" s="22"/>
      <c r="AN1083" s="22"/>
      <c r="AO1083" s="22"/>
    </row>
    <row r="1084" ht="15.75" customHeight="1">
      <c r="A1084" s="22"/>
      <c r="B1084" s="22"/>
      <c r="C1084" s="22"/>
      <c r="D1084" s="22"/>
      <c r="E1084" s="22"/>
      <c r="F1084" s="22"/>
      <c r="G1084" s="130"/>
      <c r="H1084" s="22"/>
      <c r="I1084" s="22"/>
      <c r="J1084" s="22"/>
      <c r="K1084" s="22"/>
      <c r="L1084" s="22"/>
      <c r="M1084" s="22"/>
      <c r="N1084" s="22"/>
      <c r="O1084" s="22"/>
      <c r="P1084" s="22"/>
      <c r="Q1084" s="22"/>
      <c r="R1084" s="22"/>
      <c r="S1084" s="22"/>
      <c r="T1084" s="22"/>
      <c r="U1084" s="22"/>
      <c r="V1084" s="22"/>
      <c r="W1084" s="22"/>
      <c r="X1084" s="22"/>
      <c r="Y1084" s="22"/>
      <c r="Z1084" s="22"/>
      <c r="AA1084" s="22"/>
      <c r="AB1084" s="22"/>
      <c r="AC1084" s="22"/>
      <c r="AD1084" s="22"/>
      <c r="AE1084" s="22"/>
      <c r="AF1084" s="22"/>
      <c r="AG1084" s="22"/>
      <c r="AH1084" s="22"/>
      <c r="AI1084" s="22"/>
      <c r="AJ1084" s="22"/>
      <c r="AK1084" s="22"/>
      <c r="AL1084" s="22"/>
      <c r="AM1084" s="22"/>
      <c r="AN1084" s="22"/>
      <c r="AO1084" s="22"/>
    </row>
    <row r="1085" ht="15.75" customHeight="1">
      <c r="A1085" s="22"/>
      <c r="B1085" s="22"/>
      <c r="C1085" s="22"/>
      <c r="D1085" s="22"/>
      <c r="E1085" s="22"/>
      <c r="F1085" s="22"/>
      <c r="G1085" s="130"/>
      <c r="H1085" s="22"/>
      <c r="I1085" s="22"/>
      <c r="J1085" s="22"/>
      <c r="K1085" s="22"/>
      <c r="L1085" s="22"/>
      <c r="M1085" s="22"/>
      <c r="N1085" s="22"/>
      <c r="O1085" s="22"/>
      <c r="P1085" s="22"/>
      <c r="Q1085" s="22"/>
      <c r="R1085" s="22"/>
      <c r="S1085" s="22"/>
      <c r="T1085" s="22"/>
      <c r="U1085" s="22"/>
      <c r="V1085" s="22"/>
      <c r="W1085" s="22"/>
      <c r="X1085" s="22"/>
      <c r="Y1085" s="22"/>
      <c r="Z1085" s="22"/>
      <c r="AA1085" s="22"/>
      <c r="AB1085" s="22"/>
      <c r="AC1085" s="22"/>
      <c r="AD1085" s="22"/>
      <c r="AE1085" s="22"/>
      <c r="AF1085" s="22"/>
      <c r="AG1085" s="22"/>
      <c r="AH1085" s="22"/>
      <c r="AI1085" s="22"/>
      <c r="AJ1085" s="22"/>
      <c r="AK1085" s="22"/>
      <c r="AL1085" s="22"/>
      <c r="AM1085" s="22"/>
      <c r="AN1085" s="22"/>
      <c r="AO1085" s="22"/>
    </row>
    <row r="1086" ht="15.75" customHeight="1">
      <c r="A1086" s="22"/>
      <c r="B1086" s="22"/>
      <c r="C1086" s="22"/>
      <c r="D1086" s="22"/>
      <c r="E1086" s="22"/>
      <c r="F1086" s="22"/>
      <c r="G1086" s="130"/>
      <c r="H1086" s="22"/>
      <c r="I1086" s="22"/>
      <c r="J1086" s="22"/>
      <c r="K1086" s="22"/>
      <c r="L1086" s="22"/>
      <c r="M1086" s="22"/>
      <c r="N1086" s="22"/>
      <c r="O1086" s="22"/>
      <c r="P1086" s="22"/>
      <c r="Q1086" s="22"/>
      <c r="R1086" s="22"/>
      <c r="S1086" s="22"/>
      <c r="T1086" s="22"/>
      <c r="U1086" s="22"/>
      <c r="V1086" s="22"/>
      <c r="W1086" s="22"/>
      <c r="X1086" s="22"/>
      <c r="Y1086" s="22"/>
      <c r="Z1086" s="22"/>
      <c r="AA1086" s="22"/>
      <c r="AB1086" s="22"/>
      <c r="AC1086" s="22"/>
      <c r="AD1086" s="22"/>
      <c r="AE1086" s="22"/>
      <c r="AF1086" s="22"/>
      <c r="AG1086" s="22"/>
      <c r="AH1086" s="22"/>
      <c r="AI1086" s="22"/>
      <c r="AJ1086" s="22"/>
      <c r="AK1086" s="22"/>
      <c r="AL1086" s="22"/>
      <c r="AM1086" s="22"/>
      <c r="AN1086" s="22"/>
      <c r="AO1086" s="22"/>
    </row>
    <row r="1087" ht="15.75" customHeight="1">
      <c r="A1087" s="22"/>
      <c r="B1087" s="22"/>
      <c r="C1087" s="22"/>
      <c r="D1087" s="22"/>
      <c r="E1087" s="22"/>
      <c r="F1087" s="22"/>
      <c r="G1087" s="130"/>
      <c r="H1087" s="22"/>
      <c r="I1087" s="22"/>
      <c r="J1087" s="22"/>
      <c r="K1087" s="22"/>
      <c r="L1087" s="22"/>
      <c r="M1087" s="22"/>
      <c r="N1087" s="22"/>
      <c r="O1087" s="22"/>
      <c r="P1087" s="22"/>
      <c r="Q1087" s="22"/>
      <c r="R1087" s="22"/>
      <c r="S1087" s="22"/>
      <c r="T1087" s="22"/>
      <c r="U1087" s="22"/>
      <c r="V1087" s="22"/>
      <c r="W1087" s="22"/>
      <c r="X1087" s="22"/>
      <c r="Y1087" s="22"/>
      <c r="Z1087" s="22"/>
      <c r="AA1087" s="22"/>
      <c r="AB1087" s="22"/>
      <c r="AC1087" s="22"/>
      <c r="AD1087" s="22"/>
      <c r="AE1087" s="22"/>
      <c r="AF1087" s="22"/>
      <c r="AG1087" s="22"/>
      <c r="AH1087" s="22"/>
      <c r="AI1087" s="22"/>
      <c r="AJ1087" s="22"/>
      <c r="AK1087" s="22"/>
      <c r="AL1087" s="22"/>
      <c r="AM1087" s="22"/>
      <c r="AN1087" s="22"/>
      <c r="AO1087" s="22"/>
    </row>
    <row r="1088" ht="15.75" customHeight="1">
      <c r="A1088" s="22"/>
      <c r="B1088" s="22"/>
      <c r="C1088" s="22"/>
      <c r="D1088" s="22"/>
      <c r="E1088" s="22"/>
      <c r="F1088" s="22"/>
      <c r="G1088" s="130"/>
      <c r="H1088" s="22"/>
      <c r="I1088" s="22"/>
      <c r="J1088" s="22"/>
      <c r="K1088" s="22"/>
      <c r="L1088" s="22"/>
      <c r="M1088" s="22"/>
      <c r="N1088" s="22"/>
      <c r="O1088" s="22"/>
      <c r="P1088" s="22"/>
      <c r="Q1088" s="22"/>
      <c r="R1088" s="22"/>
      <c r="S1088" s="22"/>
      <c r="T1088" s="22"/>
      <c r="U1088" s="22"/>
      <c r="V1088" s="22"/>
      <c r="W1088" s="22"/>
      <c r="X1088" s="22"/>
      <c r="Y1088" s="22"/>
      <c r="Z1088" s="22"/>
      <c r="AA1088" s="22"/>
      <c r="AB1088" s="22"/>
      <c r="AC1088" s="22"/>
      <c r="AD1088" s="22"/>
      <c r="AE1088" s="22"/>
      <c r="AF1088" s="22"/>
      <c r="AG1088" s="22"/>
      <c r="AH1088" s="22"/>
      <c r="AI1088" s="22"/>
      <c r="AJ1088" s="22"/>
      <c r="AK1088" s="22"/>
      <c r="AL1088" s="22"/>
      <c r="AM1088" s="22"/>
      <c r="AN1088" s="22"/>
      <c r="AO1088" s="22"/>
    </row>
    <row r="1089" ht="15.75" customHeight="1">
      <c r="A1089" s="22"/>
      <c r="B1089" s="22"/>
      <c r="C1089" s="22"/>
      <c r="D1089" s="22"/>
      <c r="E1089" s="22"/>
      <c r="F1089" s="22"/>
      <c r="G1089" s="130"/>
      <c r="H1089" s="22"/>
      <c r="I1089" s="22"/>
      <c r="J1089" s="22"/>
      <c r="K1089" s="22"/>
      <c r="L1089" s="22"/>
      <c r="M1089" s="22"/>
      <c r="N1089" s="22"/>
      <c r="O1089" s="22"/>
      <c r="P1089" s="22"/>
      <c r="Q1089" s="22"/>
      <c r="R1089" s="22"/>
      <c r="S1089" s="22"/>
      <c r="T1089" s="22"/>
      <c r="U1089" s="22"/>
      <c r="V1089" s="22"/>
      <c r="W1089" s="22"/>
      <c r="X1089" s="22"/>
      <c r="Y1089" s="22"/>
      <c r="Z1089" s="22"/>
      <c r="AA1089" s="22"/>
      <c r="AB1089" s="22"/>
      <c r="AC1089" s="22"/>
      <c r="AD1089" s="22"/>
      <c r="AE1089" s="22"/>
      <c r="AF1089" s="22"/>
      <c r="AG1089" s="22"/>
      <c r="AH1089" s="22"/>
      <c r="AI1089" s="22"/>
      <c r="AJ1089" s="22"/>
      <c r="AK1089" s="22"/>
      <c r="AL1089" s="22"/>
      <c r="AM1089" s="22"/>
      <c r="AN1089" s="22"/>
      <c r="AO1089" s="22"/>
    </row>
    <row r="1090" ht="15.75" customHeight="1">
      <c r="A1090" s="22"/>
      <c r="B1090" s="22"/>
      <c r="C1090" s="22"/>
      <c r="D1090" s="22"/>
      <c r="E1090" s="22"/>
      <c r="F1090" s="22"/>
      <c r="G1090" s="130"/>
      <c r="H1090" s="22"/>
      <c r="I1090" s="22"/>
      <c r="J1090" s="22"/>
      <c r="K1090" s="22"/>
      <c r="L1090" s="22"/>
      <c r="M1090" s="22"/>
      <c r="N1090" s="22"/>
      <c r="O1090" s="22"/>
      <c r="P1090" s="22"/>
      <c r="Q1090" s="22"/>
      <c r="R1090" s="22"/>
      <c r="S1090" s="22"/>
      <c r="T1090" s="22"/>
      <c r="U1090" s="22"/>
      <c r="V1090" s="22"/>
      <c r="W1090" s="22"/>
      <c r="X1090" s="22"/>
      <c r="Y1090" s="22"/>
      <c r="Z1090" s="22"/>
      <c r="AA1090" s="22"/>
      <c r="AB1090" s="22"/>
      <c r="AC1090" s="22"/>
      <c r="AD1090" s="22"/>
      <c r="AE1090" s="22"/>
      <c r="AF1090" s="22"/>
      <c r="AG1090" s="22"/>
      <c r="AH1090" s="22"/>
      <c r="AI1090" s="22"/>
      <c r="AJ1090" s="22"/>
      <c r="AK1090" s="22"/>
      <c r="AL1090" s="22"/>
      <c r="AM1090" s="22"/>
      <c r="AN1090" s="22"/>
      <c r="AO1090" s="22"/>
    </row>
    <row r="1091" ht="15.75" customHeight="1">
      <c r="A1091" s="22"/>
      <c r="B1091" s="22"/>
      <c r="C1091" s="22"/>
      <c r="D1091" s="22"/>
      <c r="E1091" s="22"/>
      <c r="F1091" s="22"/>
      <c r="G1091" s="130"/>
      <c r="H1091" s="22"/>
      <c r="I1091" s="22"/>
      <c r="J1091" s="22"/>
      <c r="K1091" s="22"/>
      <c r="L1091" s="22"/>
      <c r="M1091" s="22"/>
      <c r="N1091" s="22"/>
      <c r="O1091" s="22"/>
      <c r="P1091" s="22"/>
      <c r="Q1091" s="22"/>
      <c r="R1091" s="22"/>
      <c r="S1091" s="22"/>
      <c r="T1091" s="22"/>
      <c r="U1091" s="22"/>
      <c r="V1091" s="22"/>
      <c r="W1091" s="22"/>
      <c r="X1091" s="22"/>
      <c r="Y1091" s="22"/>
      <c r="Z1091" s="22"/>
      <c r="AA1091" s="22"/>
      <c r="AB1091" s="22"/>
      <c r="AC1091" s="22"/>
      <c r="AD1091" s="22"/>
      <c r="AE1091" s="22"/>
      <c r="AF1091" s="22"/>
      <c r="AG1091" s="22"/>
      <c r="AH1091" s="22"/>
      <c r="AI1091" s="22"/>
      <c r="AJ1091" s="22"/>
      <c r="AK1091" s="22"/>
      <c r="AL1091" s="22"/>
      <c r="AM1091" s="22"/>
      <c r="AN1091" s="22"/>
      <c r="AO1091" s="22"/>
    </row>
    <row r="1092" ht="15.75" customHeight="1">
      <c r="A1092" s="22"/>
      <c r="B1092" s="22"/>
      <c r="C1092" s="22"/>
      <c r="D1092" s="22"/>
      <c r="E1092" s="22"/>
      <c r="F1092" s="22"/>
      <c r="G1092" s="130"/>
      <c r="H1092" s="22"/>
      <c r="I1092" s="22"/>
      <c r="J1092" s="22"/>
      <c r="K1092" s="22"/>
      <c r="L1092" s="22"/>
      <c r="M1092" s="22"/>
      <c r="N1092" s="22"/>
      <c r="O1092" s="22"/>
      <c r="P1092" s="22"/>
      <c r="Q1092" s="22"/>
      <c r="R1092" s="22"/>
      <c r="S1092" s="22"/>
      <c r="T1092" s="22"/>
      <c r="U1092" s="22"/>
      <c r="V1092" s="22"/>
      <c r="W1092" s="22"/>
      <c r="X1092" s="22"/>
      <c r="Y1092" s="22"/>
      <c r="Z1092" s="22"/>
      <c r="AA1092" s="22"/>
      <c r="AB1092" s="22"/>
      <c r="AC1092" s="22"/>
      <c r="AD1092" s="22"/>
      <c r="AE1092" s="22"/>
      <c r="AF1092" s="22"/>
      <c r="AG1092" s="22"/>
      <c r="AH1092" s="22"/>
      <c r="AI1092" s="22"/>
      <c r="AJ1092" s="22"/>
      <c r="AK1092" s="22"/>
      <c r="AL1092" s="22"/>
      <c r="AM1092" s="22"/>
      <c r="AN1092" s="22"/>
      <c r="AO1092" s="22"/>
    </row>
    <row r="1093" ht="15.75" customHeight="1">
      <c r="A1093" s="22"/>
      <c r="B1093" s="22"/>
      <c r="C1093" s="22"/>
      <c r="D1093" s="22"/>
      <c r="E1093" s="22"/>
      <c r="F1093" s="22"/>
      <c r="G1093" s="130"/>
      <c r="H1093" s="22"/>
      <c r="I1093" s="22"/>
      <c r="J1093" s="22"/>
      <c r="K1093" s="22"/>
      <c r="L1093" s="22"/>
      <c r="M1093" s="22"/>
      <c r="N1093" s="22"/>
      <c r="O1093" s="22"/>
      <c r="P1093" s="22"/>
      <c r="Q1093" s="22"/>
      <c r="R1093" s="22"/>
      <c r="S1093" s="22"/>
      <c r="T1093" s="22"/>
      <c r="U1093" s="22"/>
      <c r="V1093" s="22"/>
      <c r="W1093" s="22"/>
      <c r="X1093" s="22"/>
      <c r="Y1093" s="22"/>
      <c r="Z1093" s="22"/>
      <c r="AA1093" s="22"/>
      <c r="AB1093" s="22"/>
      <c r="AC1093" s="22"/>
      <c r="AD1093" s="22"/>
      <c r="AE1093" s="22"/>
      <c r="AF1093" s="22"/>
      <c r="AG1093" s="22"/>
      <c r="AH1093" s="22"/>
      <c r="AI1093" s="22"/>
      <c r="AJ1093" s="22"/>
      <c r="AK1093" s="22"/>
      <c r="AL1093" s="22"/>
      <c r="AM1093" s="22"/>
      <c r="AN1093" s="22"/>
      <c r="AO1093" s="22"/>
    </row>
    <row r="1094" ht="15.75" customHeight="1">
      <c r="A1094" s="22"/>
      <c r="B1094" s="22"/>
      <c r="C1094" s="22"/>
      <c r="D1094" s="22"/>
      <c r="E1094" s="22"/>
      <c r="F1094" s="22"/>
      <c r="G1094" s="130"/>
      <c r="H1094" s="22"/>
      <c r="I1094" s="22"/>
      <c r="J1094" s="22"/>
      <c r="K1094" s="22"/>
      <c r="L1094" s="22"/>
      <c r="M1094" s="22"/>
      <c r="N1094" s="22"/>
      <c r="O1094" s="22"/>
      <c r="P1094" s="22"/>
      <c r="Q1094" s="22"/>
      <c r="R1094" s="22"/>
      <c r="S1094" s="22"/>
      <c r="T1094" s="22"/>
      <c r="U1094" s="22"/>
      <c r="V1094" s="22"/>
      <c r="W1094" s="22"/>
      <c r="X1094" s="22"/>
      <c r="Y1094" s="22"/>
      <c r="Z1094" s="22"/>
      <c r="AA1094" s="22"/>
      <c r="AB1094" s="22"/>
      <c r="AC1094" s="22"/>
      <c r="AD1094" s="22"/>
      <c r="AE1094" s="22"/>
      <c r="AF1094" s="22"/>
      <c r="AG1094" s="22"/>
      <c r="AH1094" s="22"/>
      <c r="AI1094" s="22"/>
      <c r="AJ1094" s="22"/>
      <c r="AK1094" s="22"/>
      <c r="AL1094" s="22"/>
      <c r="AM1094" s="22"/>
      <c r="AN1094" s="22"/>
      <c r="AO1094" s="22"/>
    </row>
    <row r="1095" ht="15.75" customHeight="1">
      <c r="A1095" s="22"/>
      <c r="B1095" s="22"/>
      <c r="C1095" s="22"/>
      <c r="D1095" s="22"/>
      <c r="E1095" s="22"/>
      <c r="F1095" s="22"/>
      <c r="G1095" s="130"/>
      <c r="H1095" s="22"/>
      <c r="I1095" s="22"/>
      <c r="J1095" s="22"/>
      <c r="K1095" s="22"/>
      <c r="L1095" s="22"/>
      <c r="M1095" s="22"/>
      <c r="N1095" s="22"/>
      <c r="O1095" s="22"/>
      <c r="P1095" s="22"/>
      <c r="Q1095" s="22"/>
      <c r="R1095" s="22"/>
      <c r="S1095" s="22"/>
      <c r="T1095" s="22"/>
      <c r="U1095" s="22"/>
      <c r="V1095" s="22"/>
      <c r="W1095" s="22"/>
      <c r="X1095" s="22"/>
      <c r="Y1095" s="22"/>
      <c r="Z1095" s="22"/>
      <c r="AA1095" s="22"/>
      <c r="AB1095" s="22"/>
      <c r="AC1095" s="22"/>
      <c r="AD1095" s="22"/>
      <c r="AE1095" s="22"/>
      <c r="AF1095" s="22"/>
      <c r="AG1095" s="22"/>
      <c r="AH1095" s="22"/>
      <c r="AI1095" s="22"/>
      <c r="AJ1095" s="22"/>
      <c r="AK1095" s="22"/>
      <c r="AL1095" s="22"/>
      <c r="AM1095" s="22"/>
      <c r="AN1095" s="22"/>
      <c r="AO1095" s="22"/>
    </row>
    <row r="1096" ht="15.75" customHeight="1">
      <c r="A1096" s="22"/>
      <c r="B1096" s="22"/>
      <c r="C1096" s="22"/>
      <c r="D1096" s="22"/>
      <c r="E1096" s="22"/>
      <c r="F1096" s="22"/>
      <c r="G1096" s="130"/>
      <c r="H1096" s="22"/>
      <c r="I1096" s="22"/>
      <c r="J1096" s="22"/>
      <c r="K1096" s="22"/>
      <c r="L1096" s="22"/>
      <c r="M1096" s="22"/>
      <c r="N1096" s="22"/>
      <c r="O1096" s="22"/>
      <c r="P1096" s="22"/>
      <c r="Q1096" s="22"/>
      <c r="R1096" s="22"/>
      <c r="S1096" s="22"/>
      <c r="T1096" s="22"/>
      <c r="U1096" s="22"/>
      <c r="V1096" s="22"/>
      <c r="W1096" s="22"/>
      <c r="X1096" s="22"/>
      <c r="Y1096" s="22"/>
      <c r="Z1096" s="22"/>
      <c r="AA1096" s="22"/>
      <c r="AB1096" s="22"/>
      <c r="AC1096" s="22"/>
      <c r="AD1096" s="22"/>
      <c r="AE1096" s="22"/>
      <c r="AF1096" s="22"/>
      <c r="AG1096" s="22"/>
      <c r="AH1096" s="22"/>
      <c r="AI1096" s="22"/>
      <c r="AJ1096" s="22"/>
      <c r="AK1096" s="22"/>
      <c r="AL1096" s="22"/>
      <c r="AM1096" s="22"/>
      <c r="AN1096" s="22"/>
      <c r="AO1096" s="22"/>
    </row>
    <row r="1097" ht="15.75" customHeight="1">
      <c r="A1097" s="22"/>
      <c r="B1097" s="22"/>
      <c r="C1097" s="22"/>
      <c r="D1097" s="22"/>
      <c r="E1097" s="22"/>
      <c r="F1097" s="22"/>
      <c r="G1097" s="130"/>
      <c r="H1097" s="22"/>
      <c r="I1097" s="22"/>
      <c r="J1097" s="22"/>
      <c r="K1097" s="22"/>
      <c r="L1097" s="22"/>
      <c r="M1097" s="22"/>
      <c r="N1097" s="22"/>
      <c r="O1097" s="22"/>
      <c r="P1097" s="22"/>
      <c r="Q1097" s="22"/>
      <c r="R1097" s="22"/>
      <c r="S1097" s="22"/>
      <c r="T1097" s="22"/>
      <c r="U1097" s="22"/>
      <c r="V1097" s="22"/>
      <c r="W1097" s="22"/>
      <c r="X1097" s="22"/>
      <c r="Y1097" s="22"/>
      <c r="Z1097" s="22"/>
      <c r="AA1097" s="22"/>
      <c r="AB1097" s="22"/>
      <c r="AC1097" s="22"/>
      <c r="AD1097" s="22"/>
      <c r="AE1097" s="22"/>
      <c r="AF1097" s="22"/>
      <c r="AG1097" s="22"/>
      <c r="AH1097" s="22"/>
      <c r="AI1097" s="22"/>
      <c r="AJ1097" s="22"/>
      <c r="AK1097" s="22"/>
      <c r="AL1097" s="22"/>
      <c r="AM1097" s="22"/>
      <c r="AN1097" s="22"/>
      <c r="AO1097" s="22"/>
    </row>
    <row r="1098" ht="15.75" customHeight="1">
      <c r="A1098" s="22"/>
      <c r="B1098" s="22"/>
      <c r="C1098" s="22"/>
      <c r="D1098" s="22"/>
      <c r="E1098" s="22"/>
      <c r="F1098" s="22"/>
      <c r="G1098" s="130"/>
      <c r="H1098" s="22"/>
      <c r="I1098" s="22"/>
      <c r="J1098" s="22"/>
      <c r="K1098" s="22"/>
      <c r="L1098" s="22"/>
      <c r="M1098" s="22"/>
      <c r="N1098" s="22"/>
      <c r="O1098" s="22"/>
      <c r="P1098" s="22"/>
      <c r="Q1098" s="22"/>
      <c r="R1098" s="22"/>
      <c r="S1098" s="22"/>
      <c r="T1098" s="22"/>
      <c r="U1098" s="22"/>
      <c r="V1098" s="22"/>
      <c r="W1098" s="22"/>
      <c r="X1098" s="22"/>
      <c r="Y1098" s="22"/>
      <c r="Z1098" s="22"/>
      <c r="AA1098" s="22"/>
      <c r="AB1098" s="22"/>
      <c r="AC1098" s="22"/>
      <c r="AD1098" s="22"/>
      <c r="AE1098" s="22"/>
      <c r="AF1098" s="22"/>
      <c r="AG1098" s="22"/>
      <c r="AH1098" s="22"/>
      <c r="AI1098" s="22"/>
      <c r="AJ1098" s="22"/>
      <c r="AK1098" s="22"/>
      <c r="AL1098" s="22"/>
      <c r="AM1098" s="22"/>
      <c r="AN1098" s="22"/>
      <c r="AO1098" s="22"/>
    </row>
    <row r="1099" ht="15.75" customHeight="1">
      <c r="A1099" s="22"/>
      <c r="B1099" s="22"/>
      <c r="C1099" s="22"/>
      <c r="D1099" s="22"/>
      <c r="E1099" s="22"/>
      <c r="F1099" s="22"/>
      <c r="G1099" s="130"/>
      <c r="H1099" s="22"/>
      <c r="I1099" s="22"/>
      <c r="J1099" s="22"/>
      <c r="K1099" s="22"/>
      <c r="L1099" s="22"/>
      <c r="M1099" s="22"/>
      <c r="N1099" s="22"/>
      <c r="O1099" s="22"/>
      <c r="P1099" s="22"/>
      <c r="Q1099" s="22"/>
      <c r="R1099" s="22"/>
      <c r="S1099" s="22"/>
      <c r="T1099" s="22"/>
      <c r="U1099" s="22"/>
      <c r="V1099" s="22"/>
      <c r="W1099" s="22"/>
      <c r="X1099" s="22"/>
      <c r="Y1099" s="22"/>
      <c r="Z1099" s="22"/>
      <c r="AA1099" s="22"/>
      <c r="AB1099" s="22"/>
      <c r="AC1099" s="22"/>
      <c r="AD1099" s="22"/>
      <c r="AE1099" s="22"/>
      <c r="AF1099" s="22"/>
      <c r="AG1099" s="22"/>
      <c r="AH1099" s="22"/>
      <c r="AI1099" s="22"/>
      <c r="AJ1099" s="22"/>
      <c r="AK1099" s="22"/>
      <c r="AL1099" s="22"/>
      <c r="AM1099" s="22"/>
      <c r="AN1099" s="22"/>
      <c r="AO1099" s="22"/>
    </row>
    <row r="1100" ht="15.75" customHeight="1">
      <c r="A1100" s="22"/>
      <c r="B1100" s="22"/>
      <c r="C1100" s="22"/>
      <c r="D1100" s="22"/>
      <c r="E1100" s="22"/>
      <c r="F1100" s="22"/>
      <c r="G1100" s="130"/>
      <c r="H1100" s="22"/>
      <c r="I1100" s="22"/>
      <c r="J1100" s="22"/>
      <c r="K1100" s="22"/>
      <c r="L1100" s="22"/>
      <c r="M1100" s="22"/>
      <c r="N1100" s="22"/>
      <c r="O1100" s="22"/>
      <c r="P1100" s="22"/>
      <c r="Q1100" s="22"/>
      <c r="R1100" s="22"/>
      <c r="S1100" s="22"/>
      <c r="T1100" s="22"/>
      <c r="U1100" s="22"/>
      <c r="V1100" s="22"/>
      <c r="W1100" s="22"/>
      <c r="X1100" s="22"/>
      <c r="Y1100" s="22"/>
      <c r="Z1100" s="22"/>
      <c r="AA1100" s="22"/>
      <c r="AB1100" s="22"/>
      <c r="AC1100" s="22"/>
      <c r="AD1100" s="22"/>
      <c r="AE1100" s="22"/>
      <c r="AF1100" s="22"/>
      <c r="AG1100" s="22"/>
      <c r="AH1100" s="22"/>
      <c r="AI1100" s="22"/>
      <c r="AJ1100" s="22"/>
      <c r="AK1100" s="22"/>
      <c r="AL1100" s="22"/>
      <c r="AM1100" s="22"/>
      <c r="AN1100" s="22"/>
      <c r="AO1100" s="22"/>
    </row>
    <row r="1101" ht="15.75" customHeight="1">
      <c r="A1101" s="22"/>
      <c r="B1101" s="22"/>
      <c r="C1101" s="22"/>
      <c r="D1101" s="22"/>
      <c r="E1101" s="22"/>
      <c r="F1101" s="22"/>
      <c r="G1101" s="130"/>
      <c r="H1101" s="22"/>
      <c r="I1101" s="22"/>
      <c r="J1101" s="22"/>
      <c r="K1101" s="22"/>
      <c r="L1101" s="22"/>
      <c r="M1101" s="22"/>
      <c r="N1101" s="22"/>
      <c r="O1101" s="22"/>
      <c r="P1101" s="22"/>
      <c r="Q1101" s="22"/>
      <c r="R1101" s="22"/>
      <c r="S1101" s="22"/>
      <c r="T1101" s="22"/>
      <c r="U1101" s="22"/>
      <c r="V1101" s="22"/>
      <c r="W1101" s="22"/>
      <c r="X1101" s="22"/>
      <c r="Y1101" s="22"/>
      <c r="Z1101" s="22"/>
      <c r="AA1101" s="22"/>
      <c r="AB1101" s="22"/>
      <c r="AC1101" s="22"/>
      <c r="AD1101" s="22"/>
      <c r="AE1101" s="22"/>
      <c r="AF1101" s="22"/>
      <c r="AG1101" s="22"/>
      <c r="AH1101" s="22"/>
      <c r="AI1101" s="22"/>
      <c r="AJ1101" s="22"/>
      <c r="AK1101" s="22"/>
      <c r="AL1101" s="22"/>
      <c r="AM1101" s="22"/>
      <c r="AN1101" s="22"/>
      <c r="AO1101" s="22"/>
    </row>
    <row r="1102" ht="15.75" customHeight="1">
      <c r="A1102" s="22"/>
      <c r="B1102" s="22"/>
      <c r="C1102" s="22"/>
      <c r="D1102" s="22"/>
      <c r="E1102" s="22"/>
      <c r="F1102" s="22"/>
      <c r="G1102" s="130"/>
      <c r="H1102" s="22"/>
      <c r="I1102" s="22"/>
      <c r="J1102" s="22"/>
      <c r="K1102" s="22"/>
      <c r="L1102" s="22"/>
      <c r="M1102" s="22"/>
      <c r="N1102" s="22"/>
      <c r="O1102" s="22"/>
      <c r="P1102" s="22"/>
      <c r="Q1102" s="22"/>
      <c r="R1102" s="22"/>
      <c r="S1102" s="22"/>
      <c r="T1102" s="22"/>
      <c r="U1102" s="22"/>
      <c r="V1102" s="22"/>
      <c r="W1102" s="22"/>
      <c r="X1102" s="22"/>
      <c r="Y1102" s="22"/>
      <c r="Z1102" s="22"/>
      <c r="AA1102" s="22"/>
      <c r="AB1102" s="22"/>
      <c r="AC1102" s="22"/>
      <c r="AD1102" s="22"/>
      <c r="AE1102" s="22"/>
      <c r="AF1102" s="22"/>
      <c r="AG1102" s="22"/>
      <c r="AH1102" s="22"/>
      <c r="AI1102" s="22"/>
      <c r="AJ1102" s="22"/>
      <c r="AK1102" s="22"/>
      <c r="AL1102" s="22"/>
      <c r="AM1102" s="22"/>
      <c r="AN1102" s="22"/>
      <c r="AO1102" s="22"/>
    </row>
    <row r="1103" ht="15.75" customHeight="1">
      <c r="A1103" s="22"/>
      <c r="B1103" s="22"/>
      <c r="C1103" s="22"/>
      <c r="D1103" s="22"/>
      <c r="E1103" s="22"/>
      <c r="F1103" s="22"/>
      <c r="G1103" s="130"/>
      <c r="H1103" s="22"/>
      <c r="I1103" s="22"/>
      <c r="J1103" s="22"/>
      <c r="K1103" s="22"/>
      <c r="L1103" s="22"/>
      <c r="M1103" s="22"/>
      <c r="N1103" s="22"/>
      <c r="O1103" s="22"/>
      <c r="P1103" s="22"/>
      <c r="Q1103" s="22"/>
      <c r="R1103" s="22"/>
      <c r="S1103" s="22"/>
      <c r="T1103" s="22"/>
      <c r="U1103" s="22"/>
      <c r="V1103" s="22"/>
      <c r="W1103" s="22"/>
      <c r="X1103" s="22"/>
      <c r="Y1103" s="22"/>
      <c r="Z1103" s="22"/>
      <c r="AA1103" s="22"/>
      <c r="AB1103" s="22"/>
      <c r="AC1103" s="22"/>
      <c r="AD1103" s="22"/>
      <c r="AE1103" s="22"/>
      <c r="AF1103" s="22"/>
      <c r="AG1103" s="22"/>
      <c r="AH1103" s="22"/>
      <c r="AI1103" s="22"/>
      <c r="AJ1103" s="22"/>
      <c r="AK1103" s="22"/>
      <c r="AL1103" s="22"/>
      <c r="AM1103" s="22"/>
      <c r="AN1103" s="22"/>
      <c r="AO1103" s="22"/>
    </row>
    <row r="1104" ht="15.75" customHeight="1">
      <c r="A1104" s="22"/>
      <c r="B1104" s="22"/>
      <c r="C1104" s="22"/>
      <c r="D1104" s="22"/>
      <c r="E1104" s="22"/>
      <c r="F1104" s="22"/>
      <c r="G1104" s="130"/>
      <c r="H1104" s="22"/>
      <c r="I1104" s="22"/>
      <c r="J1104" s="22"/>
      <c r="K1104" s="22"/>
      <c r="L1104" s="22"/>
      <c r="M1104" s="22"/>
      <c r="N1104" s="22"/>
      <c r="O1104" s="22"/>
      <c r="P1104" s="22"/>
      <c r="Q1104" s="22"/>
      <c r="R1104" s="22"/>
      <c r="S1104" s="22"/>
      <c r="T1104" s="22"/>
      <c r="U1104" s="22"/>
      <c r="V1104" s="22"/>
      <c r="W1104" s="22"/>
      <c r="X1104" s="22"/>
      <c r="Y1104" s="22"/>
      <c r="Z1104" s="22"/>
      <c r="AA1104" s="22"/>
      <c r="AB1104" s="22"/>
      <c r="AC1104" s="22"/>
      <c r="AD1104" s="22"/>
      <c r="AE1104" s="22"/>
      <c r="AF1104" s="22"/>
      <c r="AG1104" s="22"/>
      <c r="AH1104" s="22"/>
      <c r="AI1104" s="22"/>
      <c r="AJ1104" s="22"/>
      <c r="AK1104" s="22"/>
      <c r="AL1104" s="22"/>
      <c r="AM1104" s="22"/>
      <c r="AN1104" s="22"/>
      <c r="AO1104" s="22"/>
    </row>
    <row r="1105" ht="15.75" customHeight="1">
      <c r="A1105" s="22"/>
      <c r="B1105" s="22"/>
      <c r="C1105" s="22"/>
      <c r="D1105" s="22"/>
      <c r="E1105" s="22"/>
      <c r="F1105" s="22"/>
      <c r="G1105" s="130"/>
      <c r="H1105" s="22"/>
      <c r="I1105" s="22"/>
      <c r="J1105" s="22"/>
      <c r="K1105" s="22"/>
      <c r="L1105" s="22"/>
      <c r="M1105" s="22"/>
      <c r="N1105" s="22"/>
      <c r="O1105" s="22"/>
      <c r="P1105" s="22"/>
      <c r="Q1105" s="22"/>
      <c r="R1105" s="22"/>
      <c r="S1105" s="22"/>
      <c r="T1105" s="22"/>
      <c r="U1105" s="22"/>
      <c r="V1105" s="22"/>
      <c r="W1105" s="22"/>
      <c r="X1105" s="22"/>
      <c r="Y1105" s="22"/>
      <c r="Z1105" s="22"/>
      <c r="AA1105" s="22"/>
      <c r="AB1105" s="22"/>
      <c r="AC1105" s="22"/>
      <c r="AD1105" s="22"/>
      <c r="AE1105" s="22"/>
      <c r="AF1105" s="22"/>
      <c r="AG1105" s="22"/>
      <c r="AH1105" s="22"/>
      <c r="AI1105" s="22"/>
      <c r="AJ1105" s="22"/>
      <c r="AK1105" s="22"/>
      <c r="AL1105" s="22"/>
      <c r="AM1105" s="22"/>
      <c r="AN1105" s="22"/>
      <c r="AO1105" s="22"/>
    </row>
    <row r="1106" ht="15.75" customHeight="1">
      <c r="A1106" s="22"/>
      <c r="B1106" s="22"/>
      <c r="C1106" s="22"/>
      <c r="D1106" s="22"/>
      <c r="E1106" s="22"/>
      <c r="F1106" s="22"/>
      <c r="G1106" s="130"/>
      <c r="H1106" s="22"/>
      <c r="I1106" s="22"/>
      <c r="J1106" s="22"/>
      <c r="K1106" s="22"/>
      <c r="L1106" s="22"/>
      <c r="M1106" s="22"/>
      <c r="N1106" s="22"/>
      <c r="O1106" s="22"/>
      <c r="P1106" s="22"/>
      <c r="Q1106" s="22"/>
      <c r="R1106" s="22"/>
      <c r="S1106" s="22"/>
      <c r="T1106" s="22"/>
      <c r="U1106" s="22"/>
      <c r="V1106" s="22"/>
      <c r="W1106" s="22"/>
      <c r="X1106" s="22"/>
      <c r="Y1106" s="22"/>
      <c r="Z1106" s="22"/>
      <c r="AA1106" s="22"/>
      <c r="AB1106" s="22"/>
      <c r="AC1106" s="22"/>
      <c r="AD1106" s="22"/>
      <c r="AE1106" s="22"/>
      <c r="AF1106" s="22"/>
      <c r="AG1106" s="22"/>
      <c r="AH1106" s="22"/>
      <c r="AI1106" s="22"/>
      <c r="AJ1106" s="22"/>
      <c r="AK1106" s="22"/>
      <c r="AL1106" s="22"/>
      <c r="AM1106" s="22"/>
      <c r="AN1106" s="22"/>
      <c r="AO1106" s="22"/>
    </row>
    <row r="1107" ht="15.75" customHeight="1">
      <c r="A1107" s="22"/>
      <c r="B1107" s="22"/>
      <c r="C1107" s="22"/>
      <c r="D1107" s="22"/>
      <c r="E1107" s="22"/>
      <c r="F1107" s="22"/>
      <c r="G1107" s="130"/>
      <c r="H1107" s="22"/>
      <c r="I1107" s="22"/>
      <c r="J1107" s="22"/>
      <c r="K1107" s="22"/>
      <c r="L1107" s="22"/>
      <c r="M1107" s="22"/>
      <c r="N1107" s="22"/>
      <c r="O1107" s="22"/>
      <c r="P1107" s="22"/>
      <c r="Q1107" s="22"/>
      <c r="R1107" s="22"/>
      <c r="S1107" s="22"/>
      <c r="T1107" s="22"/>
      <c r="U1107" s="22"/>
      <c r="V1107" s="22"/>
      <c r="W1107" s="22"/>
      <c r="X1107" s="22"/>
      <c r="Y1107" s="22"/>
      <c r="Z1107" s="22"/>
      <c r="AA1107" s="22"/>
      <c r="AB1107" s="22"/>
      <c r="AC1107" s="22"/>
      <c r="AD1107" s="22"/>
      <c r="AE1107" s="22"/>
      <c r="AF1107" s="22"/>
      <c r="AG1107" s="22"/>
      <c r="AH1107" s="22"/>
      <c r="AI1107" s="22"/>
      <c r="AJ1107" s="22"/>
      <c r="AK1107" s="22"/>
      <c r="AL1107" s="22"/>
      <c r="AM1107" s="22"/>
      <c r="AN1107" s="22"/>
      <c r="AO1107" s="22"/>
    </row>
    <row r="1108" ht="15.75" customHeight="1">
      <c r="A1108" s="22"/>
      <c r="B1108" s="22"/>
      <c r="C1108" s="22"/>
      <c r="D1108" s="22"/>
      <c r="E1108" s="22"/>
      <c r="F1108" s="22"/>
      <c r="G1108" s="130"/>
      <c r="H1108" s="22"/>
      <c r="I1108" s="22"/>
      <c r="J1108" s="22"/>
      <c r="K1108" s="22"/>
      <c r="L1108" s="22"/>
      <c r="M1108" s="22"/>
      <c r="N1108" s="22"/>
      <c r="O1108" s="22"/>
      <c r="P1108" s="22"/>
      <c r="Q1108" s="22"/>
      <c r="R1108" s="22"/>
      <c r="S1108" s="22"/>
      <c r="T1108" s="22"/>
      <c r="U1108" s="22"/>
      <c r="V1108" s="22"/>
      <c r="W1108" s="22"/>
      <c r="X1108" s="22"/>
      <c r="Y1108" s="22"/>
      <c r="Z1108" s="22"/>
      <c r="AA1108" s="22"/>
      <c r="AB1108" s="22"/>
      <c r="AC1108" s="22"/>
      <c r="AD1108" s="22"/>
      <c r="AE1108" s="22"/>
      <c r="AF1108" s="22"/>
      <c r="AG1108" s="22"/>
      <c r="AH1108" s="22"/>
      <c r="AI1108" s="22"/>
      <c r="AJ1108" s="22"/>
      <c r="AK1108" s="22"/>
      <c r="AL1108" s="22"/>
      <c r="AM1108" s="22"/>
      <c r="AN1108" s="22"/>
      <c r="AO1108" s="22"/>
    </row>
    <row r="1109" ht="15.75" customHeight="1">
      <c r="A1109" s="22"/>
      <c r="B1109" s="22"/>
      <c r="C1109" s="22"/>
      <c r="D1109" s="22"/>
      <c r="E1109" s="22"/>
      <c r="F1109" s="22"/>
      <c r="G1109" s="130"/>
      <c r="H1109" s="22"/>
      <c r="I1109" s="22"/>
      <c r="J1109" s="22"/>
      <c r="K1109" s="22"/>
      <c r="L1109" s="22"/>
      <c r="M1109" s="22"/>
      <c r="N1109" s="22"/>
      <c r="O1109" s="22"/>
      <c r="P1109" s="22"/>
      <c r="Q1109" s="22"/>
      <c r="R1109" s="22"/>
      <c r="S1109" s="22"/>
      <c r="T1109" s="22"/>
      <c r="U1109" s="22"/>
      <c r="V1109" s="22"/>
      <c r="W1109" s="22"/>
      <c r="X1109" s="22"/>
      <c r="Y1109" s="22"/>
      <c r="Z1109" s="22"/>
      <c r="AA1109" s="22"/>
      <c r="AB1109" s="22"/>
      <c r="AC1109" s="22"/>
      <c r="AD1109" s="22"/>
      <c r="AE1109" s="22"/>
      <c r="AF1109" s="22"/>
      <c r="AG1109" s="22"/>
      <c r="AH1109" s="22"/>
      <c r="AI1109" s="22"/>
      <c r="AJ1109" s="22"/>
      <c r="AK1109" s="22"/>
      <c r="AL1109" s="22"/>
      <c r="AM1109" s="22"/>
      <c r="AN1109" s="22"/>
      <c r="AO1109" s="22"/>
    </row>
    <row r="1110" ht="15.75" customHeight="1">
      <c r="A1110" s="22"/>
      <c r="B1110" s="22"/>
      <c r="C1110" s="22"/>
      <c r="D1110" s="22"/>
      <c r="E1110" s="22"/>
      <c r="F1110" s="22"/>
      <c r="G1110" s="130"/>
      <c r="H1110" s="22"/>
      <c r="I1110" s="22"/>
      <c r="J1110" s="22"/>
      <c r="K1110" s="22"/>
      <c r="L1110" s="22"/>
      <c r="M1110" s="22"/>
      <c r="N1110" s="22"/>
      <c r="O1110" s="22"/>
      <c r="P1110" s="22"/>
      <c r="Q1110" s="22"/>
      <c r="R1110" s="22"/>
      <c r="S1110" s="22"/>
      <c r="T1110" s="22"/>
      <c r="U1110" s="22"/>
      <c r="V1110" s="22"/>
      <c r="W1110" s="22"/>
      <c r="X1110" s="22"/>
      <c r="Y1110" s="22"/>
      <c r="Z1110" s="22"/>
      <c r="AA1110" s="22"/>
      <c r="AB1110" s="22"/>
      <c r="AC1110" s="22"/>
      <c r="AD1110" s="22"/>
      <c r="AE1110" s="22"/>
      <c r="AF1110" s="22"/>
      <c r="AG1110" s="22"/>
      <c r="AH1110" s="22"/>
      <c r="AI1110" s="22"/>
      <c r="AJ1110" s="22"/>
      <c r="AK1110" s="22"/>
      <c r="AL1110" s="22"/>
      <c r="AM1110" s="22"/>
      <c r="AN1110" s="22"/>
      <c r="AO1110" s="22"/>
    </row>
    <row r="1111" ht="15.75" customHeight="1">
      <c r="A1111" s="22"/>
      <c r="B1111" s="22"/>
      <c r="C1111" s="22"/>
      <c r="D1111" s="22"/>
      <c r="E1111" s="22"/>
      <c r="F1111" s="22"/>
      <c r="G1111" s="130"/>
      <c r="H1111" s="22"/>
      <c r="I1111" s="22"/>
      <c r="J1111" s="22"/>
      <c r="K1111" s="22"/>
      <c r="L1111" s="22"/>
      <c r="M1111" s="22"/>
      <c r="N1111" s="22"/>
      <c r="O1111" s="22"/>
      <c r="P1111" s="22"/>
      <c r="Q1111" s="22"/>
      <c r="R1111" s="22"/>
      <c r="S1111" s="22"/>
      <c r="T1111" s="22"/>
      <c r="U1111" s="22"/>
      <c r="V1111" s="22"/>
      <c r="W1111" s="22"/>
      <c r="X1111" s="22"/>
      <c r="Y1111" s="22"/>
      <c r="Z1111" s="22"/>
      <c r="AA1111" s="22"/>
      <c r="AB1111" s="22"/>
      <c r="AC1111" s="22"/>
      <c r="AD1111" s="22"/>
      <c r="AE1111" s="22"/>
      <c r="AF1111" s="22"/>
      <c r="AG1111" s="22"/>
      <c r="AH1111" s="22"/>
      <c r="AI1111" s="22"/>
      <c r="AJ1111" s="22"/>
      <c r="AK1111" s="22"/>
      <c r="AL1111" s="22"/>
      <c r="AM1111" s="22"/>
      <c r="AN1111" s="22"/>
      <c r="AO1111" s="22"/>
    </row>
    <row r="1112" ht="15.75" customHeight="1">
      <c r="A1112" s="22"/>
      <c r="B1112" s="22"/>
      <c r="C1112" s="22"/>
      <c r="D1112" s="22"/>
      <c r="E1112" s="22"/>
      <c r="F1112" s="22"/>
      <c r="G1112" s="130"/>
      <c r="H1112" s="22"/>
      <c r="I1112" s="22"/>
      <c r="J1112" s="22"/>
      <c r="K1112" s="22"/>
      <c r="L1112" s="22"/>
      <c r="M1112" s="22"/>
      <c r="N1112" s="22"/>
      <c r="O1112" s="22"/>
      <c r="P1112" s="22"/>
      <c r="Q1112" s="22"/>
      <c r="R1112" s="22"/>
      <c r="S1112" s="22"/>
      <c r="T1112" s="22"/>
      <c r="U1112" s="22"/>
      <c r="V1112" s="22"/>
      <c r="W1112" s="22"/>
      <c r="X1112" s="22"/>
      <c r="Y1112" s="22"/>
      <c r="Z1112" s="22"/>
      <c r="AA1112" s="22"/>
      <c r="AB1112" s="22"/>
      <c r="AC1112" s="22"/>
      <c r="AD1112" s="22"/>
      <c r="AE1112" s="22"/>
      <c r="AF1112" s="22"/>
      <c r="AG1112" s="22"/>
      <c r="AH1112" s="22"/>
      <c r="AI1112" s="22"/>
      <c r="AJ1112" s="22"/>
      <c r="AK1112" s="22"/>
      <c r="AL1112" s="22"/>
      <c r="AM1112" s="22"/>
      <c r="AN1112" s="22"/>
      <c r="AO1112" s="22"/>
    </row>
    <row r="1113" ht="15.75" customHeight="1">
      <c r="A1113" s="22"/>
      <c r="B1113" s="22"/>
      <c r="C1113" s="22"/>
      <c r="D1113" s="22"/>
      <c r="E1113" s="22"/>
      <c r="F1113" s="22"/>
      <c r="G1113" s="130"/>
      <c r="H1113" s="22"/>
      <c r="I1113" s="22"/>
      <c r="J1113" s="22"/>
      <c r="K1113" s="22"/>
      <c r="L1113" s="22"/>
      <c r="M1113" s="22"/>
      <c r="N1113" s="22"/>
      <c r="O1113" s="22"/>
      <c r="P1113" s="22"/>
      <c r="Q1113" s="22"/>
      <c r="R1113" s="22"/>
      <c r="S1113" s="22"/>
      <c r="T1113" s="22"/>
      <c r="U1113" s="22"/>
      <c r="V1113" s="22"/>
      <c r="W1113" s="22"/>
      <c r="X1113" s="22"/>
      <c r="Y1113" s="22"/>
      <c r="Z1113" s="22"/>
      <c r="AA1113" s="22"/>
      <c r="AB1113" s="22"/>
      <c r="AC1113" s="22"/>
      <c r="AD1113" s="22"/>
      <c r="AE1113" s="22"/>
      <c r="AF1113" s="22"/>
      <c r="AG1113" s="22"/>
      <c r="AH1113" s="22"/>
      <c r="AI1113" s="22"/>
      <c r="AJ1113" s="22"/>
      <c r="AK1113" s="22"/>
      <c r="AL1113" s="22"/>
      <c r="AM1113" s="22"/>
      <c r="AN1113" s="22"/>
      <c r="AO1113" s="22"/>
    </row>
    <row r="1114" ht="15.75" customHeight="1">
      <c r="A1114" s="22"/>
      <c r="B1114" s="22"/>
      <c r="C1114" s="22"/>
      <c r="D1114" s="22"/>
      <c r="E1114" s="22"/>
      <c r="F1114" s="22"/>
      <c r="G1114" s="130"/>
      <c r="H1114" s="22"/>
      <c r="I1114" s="22"/>
      <c r="J1114" s="22"/>
      <c r="K1114" s="22"/>
      <c r="L1114" s="22"/>
      <c r="M1114" s="22"/>
      <c r="N1114" s="22"/>
      <c r="O1114" s="22"/>
      <c r="P1114" s="22"/>
      <c r="Q1114" s="22"/>
      <c r="R1114" s="22"/>
      <c r="S1114" s="22"/>
      <c r="T1114" s="22"/>
      <c r="U1114" s="22"/>
      <c r="V1114" s="22"/>
      <c r="W1114" s="22"/>
      <c r="X1114" s="22"/>
      <c r="Y1114" s="22"/>
      <c r="Z1114" s="22"/>
      <c r="AA1114" s="22"/>
      <c r="AB1114" s="22"/>
      <c r="AC1114" s="22"/>
      <c r="AD1114" s="22"/>
      <c r="AE1114" s="22"/>
      <c r="AF1114" s="22"/>
      <c r="AG1114" s="22"/>
      <c r="AH1114" s="22"/>
      <c r="AI1114" s="22"/>
      <c r="AJ1114" s="22"/>
      <c r="AK1114" s="22"/>
      <c r="AL1114" s="22"/>
      <c r="AM1114" s="22"/>
      <c r="AN1114" s="22"/>
      <c r="AO1114" s="22"/>
    </row>
    <row r="1115" ht="15.75" customHeight="1">
      <c r="A1115" s="22"/>
      <c r="B1115" s="22"/>
      <c r="C1115" s="22"/>
      <c r="D1115" s="22"/>
      <c r="E1115" s="22"/>
      <c r="F1115" s="22"/>
      <c r="G1115" s="130"/>
      <c r="H1115" s="22"/>
      <c r="I1115" s="22"/>
      <c r="J1115" s="22"/>
      <c r="K1115" s="22"/>
      <c r="L1115" s="22"/>
      <c r="M1115" s="22"/>
      <c r="N1115" s="22"/>
      <c r="O1115" s="22"/>
      <c r="P1115" s="22"/>
      <c r="Q1115" s="22"/>
      <c r="R1115" s="22"/>
      <c r="S1115" s="22"/>
      <c r="T1115" s="22"/>
      <c r="U1115" s="22"/>
      <c r="V1115" s="22"/>
      <c r="W1115" s="22"/>
      <c r="X1115" s="22"/>
      <c r="Y1115" s="22"/>
      <c r="Z1115" s="22"/>
      <c r="AA1115" s="22"/>
      <c r="AB1115" s="22"/>
      <c r="AC1115" s="22"/>
      <c r="AD1115" s="22"/>
      <c r="AE1115" s="22"/>
      <c r="AF1115" s="22"/>
      <c r="AG1115" s="22"/>
      <c r="AH1115" s="22"/>
      <c r="AI1115" s="22"/>
      <c r="AJ1115" s="22"/>
      <c r="AK1115" s="22"/>
      <c r="AL1115" s="22"/>
      <c r="AM1115" s="22"/>
      <c r="AN1115" s="22"/>
      <c r="AO1115" s="22"/>
    </row>
    <row r="1116" ht="15.75" customHeight="1">
      <c r="A1116" s="22"/>
      <c r="B1116" s="22"/>
      <c r="C1116" s="22"/>
      <c r="D1116" s="22"/>
      <c r="E1116" s="22"/>
      <c r="F1116" s="22"/>
      <c r="G1116" s="130"/>
      <c r="H1116" s="22"/>
      <c r="I1116" s="22"/>
      <c r="J1116" s="22"/>
      <c r="K1116" s="22"/>
      <c r="L1116" s="22"/>
      <c r="M1116" s="22"/>
      <c r="N1116" s="22"/>
      <c r="O1116" s="22"/>
      <c r="P1116" s="22"/>
      <c r="Q1116" s="22"/>
      <c r="R1116" s="22"/>
      <c r="S1116" s="22"/>
      <c r="T1116" s="22"/>
      <c r="U1116" s="22"/>
      <c r="V1116" s="22"/>
      <c r="W1116" s="22"/>
      <c r="X1116" s="22"/>
      <c r="Y1116" s="22"/>
      <c r="Z1116" s="22"/>
      <c r="AA1116" s="22"/>
      <c r="AB1116" s="22"/>
      <c r="AC1116" s="22"/>
      <c r="AD1116" s="22"/>
      <c r="AE1116" s="22"/>
      <c r="AF1116" s="22"/>
      <c r="AG1116" s="22"/>
      <c r="AH1116" s="22"/>
      <c r="AI1116" s="22"/>
      <c r="AJ1116" s="22"/>
      <c r="AK1116" s="22"/>
      <c r="AL1116" s="22"/>
      <c r="AM1116" s="22"/>
      <c r="AN1116" s="22"/>
      <c r="AO1116" s="22"/>
    </row>
    <row r="1117" ht="15.75" customHeight="1">
      <c r="A1117" s="22"/>
      <c r="B1117" s="22"/>
      <c r="C1117" s="22"/>
      <c r="D1117" s="22"/>
      <c r="E1117" s="22"/>
      <c r="F1117" s="22"/>
      <c r="G1117" s="130"/>
      <c r="H1117" s="22"/>
      <c r="I1117" s="22"/>
      <c r="J1117" s="22"/>
      <c r="K1117" s="22"/>
      <c r="L1117" s="22"/>
      <c r="M1117" s="22"/>
      <c r="N1117" s="22"/>
      <c r="O1117" s="22"/>
      <c r="P1117" s="22"/>
      <c r="Q1117" s="22"/>
      <c r="R1117" s="22"/>
      <c r="S1117" s="22"/>
      <c r="T1117" s="22"/>
      <c r="U1117" s="22"/>
      <c r="V1117" s="22"/>
      <c r="W1117" s="22"/>
      <c r="X1117" s="22"/>
      <c r="Y1117" s="22"/>
      <c r="Z1117" s="22"/>
      <c r="AA1117" s="22"/>
      <c r="AB1117" s="22"/>
      <c r="AC1117" s="22"/>
      <c r="AD1117" s="22"/>
      <c r="AE1117" s="22"/>
      <c r="AF1117" s="22"/>
      <c r="AG1117" s="22"/>
      <c r="AH1117" s="22"/>
      <c r="AI1117" s="22"/>
      <c r="AJ1117" s="22"/>
      <c r="AK1117" s="22"/>
      <c r="AL1117" s="22"/>
      <c r="AM1117" s="22"/>
      <c r="AN1117" s="22"/>
      <c r="AO1117" s="22"/>
    </row>
    <row r="1118" ht="15.75" customHeight="1">
      <c r="A1118" s="22"/>
      <c r="B1118" s="22"/>
      <c r="C1118" s="22"/>
      <c r="D1118" s="22"/>
      <c r="E1118" s="22"/>
      <c r="F1118" s="22"/>
      <c r="G1118" s="130"/>
      <c r="H1118" s="22"/>
      <c r="I1118" s="22"/>
      <c r="J1118" s="22"/>
      <c r="K1118" s="22"/>
      <c r="L1118" s="22"/>
      <c r="M1118" s="22"/>
      <c r="N1118" s="22"/>
      <c r="O1118" s="22"/>
      <c r="P1118" s="22"/>
      <c r="Q1118" s="22"/>
      <c r="R1118" s="22"/>
      <c r="S1118" s="22"/>
      <c r="T1118" s="22"/>
      <c r="U1118" s="22"/>
      <c r="V1118" s="22"/>
      <c r="W1118" s="22"/>
      <c r="X1118" s="22"/>
      <c r="Y1118" s="22"/>
      <c r="Z1118" s="22"/>
      <c r="AA1118" s="22"/>
      <c r="AB1118" s="22"/>
      <c r="AC1118" s="22"/>
      <c r="AD1118" s="22"/>
      <c r="AE1118" s="22"/>
      <c r="AF1118" s="22"/>
      <c r="AG1118" s="22"/>
      <c r="AH1118" s="22"/>
      <c r="AI1118" s="22"/>
      <c r="AJ1118" s="22"/>
      <c r="AK1118" s="22"/>
      <c r="AL1118" s="22"/>
      <c r="AM1118" s="22"/>
      <c r="AN1118" s="22"/>
      <c r="AO1118" s="22"/>
    </row>
    <row r="1119" ht="15.75" customHeight="1">
      <c r="A1119" s="22"/>
      <c r="B1119" s="22"/>
      <c r="C1119" s="22"/>
      <c r="D1119" s="22"/>
      <c r="E1119" s="22"/>
      <c r="F1119" s="22"/>
      <c r="G1119" s="130"/>
      <c r="H1119" s="22"/>
      <c r="I1119" s="22"/>
      <c r="J1119" s="22"/>
      <c r="K1119" s="22"/>
      <c r="L1119" s="22"/>
      <c r="M1119" s="22"/>
      <c r="N1119" s="22"/>
      <c r="O1119" s="22"/>
      <c r="P1119" s="22"/>
      <c r="Q1119" s="22"/>
      <c r="R1119" s="22"/>
      <c r="S1119" s="22"/>
      <c r="T1119" s="22"/>
      <c r="U1119" s="22"/>
      <c r="V1119" s="22"/>
      <c r="W1119" s="22"/>
      <c r="X1119" s="22"/>
      <c r="Y1119" s="22"/>
      <c r="Z1119" s="22"/>
      <c r="AA1119" s="22"/>
      <c r="AB1119" s="22"/>
      <c r="AC1119" s="22"/>
      <c r="AD1119" s="22"/>
      <c r="AE1119" s="22"/>
      <c r="AF1119" s="22"/>
      <c r="AG1119" s="22"/>
      <c r="AH1119" s="22"/>
      <c r="AI1119" s="22"/>
      <c r="AJ1119" s="22"/>
      <c r="AK1119" s="22"/>
      <c r="AL1119" s="22"/>
      <c r="AM1119" s="22"/>
      <c r="AN1119" s="22"/>
      <c r="AO1119" s="22"/>
    </row>
    <row r="1120" ht="15.75" customHeight="1">
      <c r="A1120" s="22"/>
      <c r="B1120" s="22"/>
      <c r="C1120" s="22"/>
      <c r="D1120" s="22"/>
      <c r="E1120" s="22"/>
      <c r="F1120" s="22"/>
      <c r="G1120" s="130"/>
      <c r="H1120" s="22"/>
      <c r="I1120" s="22"/>
      <c r="J1120" s="22"/>
      <c r="K1120" s="22"/>
      <c r="L1120" s="22"/>
      <c r="M1120" s="22"/>
      <c r="N1120" s="22"/>
      <c r="O1120" s="22"/>
      <c r="P1120" s="22"/>
      <c r="Q1120" s="22"/>
      <c r="R1120" s="22"/>
      <c r="S1120" s="22"/>
      <c r="T1120" s="22"/>
      <c r="U1120" s="22"/>
      <c r="V1120" s="22"/>
      <c r="W1120" s="22"/>
      <c r="X1120" s="22"/>
      <c r="Y1120" s="22"/>
      <c r="Z1120" s="22"/>
      <c r="AA1120" s="22"/>
      <c r="AB1120" s="22"/>
      <c r="AC1120" s="22"/>
      <c r="AD1120" s="22"/>
      <c r="AE1120" s="22"/>
      <c r="AF1120" s="22"/>
      <c r="AG1120" s="22"/>
      <c r="AH1120" s="22"/>
      <c r="AI1120" s="22"/>
      <c r="AJ1120" s="22"/>
      <c r="AK1120" s="22"/>
      <c r="AL1120" s="22"/>
      <c r="AM1120" s="22"/>
      <c r="AN1120" s="22"/>
      <c r="AO1120" s="22"/>
    </row>
    <row r="1121" ht="15.75" customHeight="1">
      <c r="A1121" s="22"/>
      <c r="B1121" s="22"/>
      <c r="C1121" s="22"/>
      <c r="D1121" s="22"/>
      <c r="E1121" s="22"/>
      <c r="F1121" s="22"/>
      <c r="G1121" s="130"/>
      <c r="H1121" s="22"/>
      <c r="I1121" s="22"/>
      <c r="J1121" s="22"/>
      <c r="K1121" s="22"/>
      <c r="L1121" s="22"/>
      <c r="M1121" s="22"/>
      <c r="N1121" s="22"/>
      <c r="O1121" s="22"/>
      <c r="P1121" s="22"/>
      <c r="Q1121" s="22"/>
      <c r="R1121" s="22"/>
      <c r="S1121" s="22"/>
      <c r="T1121" s="22"/>
      <c r="U1121" s="22"/>
      <c r="V1121" s="22"/>
      <c r="W1121" s="22"/>
      <c r="X1121" s="22"/>
      <c r="Y1121" s="22"/>
      <c r="Z1121" s="22"/>
      <c r="AA1121" s="22"/>
      <c r="AB1121" s="22"/>
      <c r="AC1121" s="22"/>
      <c r="AD1121" s="22"/>
      <c r="AE1121" s="22"/>
      <c r="AF1121" s="22"/>
      <c r="AG1121" s="22"/>
      <c r="AH1121" s="22"/>
      <c r="AI1121" s="22"/>
      <c r="AJ1121" s="22"/>
      <c r="AK1121" s="22"/>
      <c r="AL1121" s="22"/>
      <c r="AM1121" s="22"/>
      <c r="AN1121" s="22"/>
      <c r="AO1121" s="22"/>
    </row>
    <row r="1122" ht="15.75" customHeight="1">
      <c r="A1122" s="22"/>
      <c r="B1122" s="22"/>
      <c r="C1122" s="22"/>
      <c r="D1122" s="22"/>
      <c r="E1122" s="22"/>
      <c r="F1122" s="22"/>
      <c r="G1122" s="130"/>
      <c r="H1122" s="22"/>
      <c r="I1122" s="22"/>
      <c r="J1122" s="22"/>
      <c r="K1122" s="22"/>
      <c r="L1122" s="22"/>
      <c r="M1122" s="22"/>
      <c r="N1122" s="22"/>
      <c r="O1122" s="22"/>
      <c r="P1122" s="22"/>
      <c r="Q1122" s="22"/>
      <c r="R1122" s="22"/>
      <c r="S1122" s="22"/>
      <c r="T1122" s="22"/>
      <c r="U1122" s="22"/>
      <c r="V1122" s="22"/>
      <c r="W1122" s="22"/>
      <c r="X1122" s="22"/>
      <c r="Y1122" s="22"/>
      <c r="Z1122" s="22"/>
      <c r="AA1122" s="22"/>
      <c r="AB1122" s="22"/>
      <c r="AC1122" s="22"/>
      <c r="AD1122" s="22"/>
      <c r="AE1122" s="22"/>
      <c r="AF1122" s="22"/>
      <c r="AG1122" s="22"/>
      <c r="AH1122" s="22"/>
      <c r="AI1122" s="22"/>
      <c r="AJ1122" s="22"/>
      <c r="AK1122" s="22"/>
      <c r="AL1122" s="22"/>
      <c r="AM1122" s="22"/>
      <c r="AN1122" s="22"/>
      <c r="AO1122" s="22"/>
    </row>
    <row r="1123" ht="15.75" customHeight="1">
      <c r="A1123" s="22"/>
      <c r="B1123" s="22"/>
      <c r="C1123" s="22"/>
      <c r="D1123" s="22"/>
      <c r="E1123" s="22"/>
      <c r="F1123" s="22"/>
      <c r="G1123" s="130"/>
      <c r="H1123" s="22"/>
      <c r="I1123" s="22"/>
      <c r="J1123" s="22"/>
      <c r="K1123" s="22"/>
      <c r="L1123" s="22"/>
      <c r="M1123" s="22"/>
      <c r="N1123" s="22"/>
      <c r="O1123" s="22"/>
      <c r="P1123" s="22"/>
      <c r="Q1123" s="22"/>
      <c r="R1123" s="22"/>
      <c r="S1123" s="22"/>
      <c r="T1123" s="22"/>
      <c r="U1123" s="22"/>
      <c r="V1123" s="22"/>
      <c r="W1123" s="22"/>
      <c r="X1123" s="22"/>
      <c r="Y1123" s="22"/>
      <c r="Z1123" s="22"/>
      <c r="AA1123" s="22"/>
      <c r="AB1123" s="22"/>
      <c r="AC1123" s="22"/>
      <c r="AD1123" s="22"/>
      <c r="AE1123" s="22"/>
      <c r="AF1123" s="22"/>
      <c r="AG1123" s="22"/>
      <c r="AH1123" s="22"/>
      <c r="AI1123" s="22"/>
      <c r="AJ1123" s="22"/>
      <c r="AK1123" s="22"/>
      <c r="AL1123" s="22"/>
      <c r="AM1123" s="22"/>
      <c r="AN1123" s="22"/>
      <c r="AO1123" s="22"/>
    </row>
    <row r="1124" ht="15.75" customHeight="1">
      <c r="A1124" s="22"/>
      <c r="B1124" s="22"/>
      <c r="C1124" s="22"/>
      <c r="D1124" s="22"/>
      <c r="E1124" s="22"/>
      <c r="F1124" s="22"/>
      <c r="G1124" s="130"/>
      <c r="H1124" s="22"/>
      <c r="I1124" s="22"/>
      <c r="J1124" s="22"/>
      <c r="K1124" s="22"/>
      <c r="L1124" s="22"/>
      <c r="M1124" s="22"/>
      <c r="N1124" s="22"/>
      <c r="O1124" s="22"/>
      <c r="P1124" s="22"/>
      <c r="Q1124" s="22"/>
      <c r="R1124" s="22"/>
      <c r="S1124" s="22"/>
      <c r="T1124" s="22"/>
      <c r="U1124" s="22"/>
      <c r="V1124" s="22"/>
      <c r="W1124" s="22"/>
      <c r="X1124" s="22"/>
      <c r="Y1124" s="22"/>
      <c r="Z1124" s="22"/>
      <c r="AA1124" s="22"/>
      <c r="AB1124" s="22"/>
      <c r="AC1124" s="22"/>
      <c r="AD1124" s="22"/>
      <c r="AE1124" s="22"/>
      <c r="AF1124" s="22"/>
      <c r="AG1124" s="22"/>
      <c r="AH1124" s="22"/>
      <c r="AI1124" s="22"/>
      <c r="AJ1124" s="22"/>
      <c r="AK1124" s="22"/>
      <c r="AL1124" s="22"/>
      <c r="AM1124" s="22"/>
      <c r="AN1124" s="22"/>
      <c r="AO1124" s="22"/>
    </row>
    <row r="1125" ht="15.75" customHeight="1">
      <c r="A1125" s="22"/>
      <c r="B1125" s="22"/>
      <c r="C1125" s="22"/>
      <c r="D1125" s="22"/>
      <c r="E1125" s="22"/>
      <c r="F1125" s="22"/>
      <c r="G1125" s="130"/>
      <c r="H1125" s="22"/>
      <c r="I1125" s="22"/>
      <c r="J1125" s="22"/>
      <c r="K1125" s="22"/>
      <c r="L1125" s="22"/>
      <c r="M1125" s="22"/>
      <c r="N1125" s="22"/>
      <c r="O1125" s="22"/>
      <c r="P1125" s="22"/>
      <c r="Q1125" s="22"/>
      <c r="R1125" s="22"/>
      <c r="S1125" s="22"/>
      <c r="T1125" s="22"/>
      <c r="U1125" s="22"/>
      <c r="V1125" s="22"/>
      <c r="W1125" s="22"/>
      <c r="X1125" s="22"/>
      <c r="Y1125" s="22"/>
      <c r="Z1125" s="22"/>
      <c r="AA1125" s="22"/>
      <c r="AB1125" s="22"/>
      <c r="AC1125" s="22"/>
      <c r="AD1125" s="22"/>
      <c r="AE1125" s="22"/>
      <c r="AF1125" s="22"/>
      <c r="AG1125" s="22"/>
      <c r="AH1125" s="22"/>
      <c r="AI1125" s="22"/>
      <c r="AJ1125" s="22"/>
      <c r="AK1125" s="22"/>
      <c r="AL1125" s="22"/>
      <c r="AM1125" s="22"/>
      <c r="AN1125" s="22"/>
      <c r="AO1125" s="22"/>
    </row>
    <row r="1126" ht="15.75" customHeight="1">
      <c r="A1126" s="22"/>
      <c r="B1126" s="22"/>
      <c r="C1126" s="22"/>
      <c r="D1126" s="22"/>
      <c r="E1126" s="22"/>
      <c r="F1126" s="22"/>
      <c r="G1126" s="130"/>
      <c r="H1126" s="22"/>
      <c r="I1126" s="22"/>
      <c r="J1126" s="22"/>
      <c r="K1126" s="22"/>
      <c r="L1126" s="22"/>
      <c r="M1126" s="22"/>
      <c r="N1126" s="22"/>
      <c r="O1126" s="22"/>
      <c r="P1126" s="22"/>
      <c r="Q1126" s="22"/>
      <c r="R1126" s="22"/>
      <c r="S1126" s="22"/>
      <c r="T1126" s="22"/>
      <c r="U1126" s="22"/>
      <c r="V1126" s="22"/>
      <c r="W1126" s="22"/>
      <c r="X1126" s="22"/>
      <c r="Y1126" s="22"/>
      <c r="Z1126" s="22"/>
      <c r="AA1126" s="22"/>
      <c r="AB1126" s="22"/>
      <c r="AC1126" s="22"/>
      <c r="AD1126" s="22"/>
      <c r="AE1126" s="22"/>
      <c r="AF1126" s="22"/>
      <c r="AG1126" s="22"/>
      <c r="AH1126" s="22"/>
      <c r="AI1126" s="22"/>
      <c r="AJ1126" s="22"/>
      <c r="AK1126" s="22"/>
      <c r="AL1126" s="22"/>
      <c r="AM1126" s="22"/>
      <c r="AN1126" s="22"/>
      <c r="AO1126" s="22"/>
    </row>
    <row r="1127" ht="15.75" customHeight="1">
      <c r="A1127" s="22"/>
      <c r="B1127" s="22"/>
      <c r="C1127" s="22"/>
      <c r="D1127" s="22"/>
      <c r="E1127" s="22"/>
      <c r="F1127" s="22"/>
      <c r="G1127" s="130"/>
      <c r="H1127" s="22"/>
      <c r="I1127" s="22"/>
      <c r="J1127" s="22"/>
      <c r="K1127" s="22"/>
      <c r="L1127" s="22"/>
      <c r="M1127" s="22"/>
      <c r="N1127" s="22"/>
      <c r="O1127" s="22"/>
      <c r="P1127" s="22"/>
      <c r="Q1127" s="22"/>
      <c r="R1127" s="22"/>
      <c r="S1127" s="22"/>
      <c r="T1127" s="22"/>
      <c r="U1127" s="22"/>
      <c r="V1127" s="22"/>
      <c r="W1127" s="22"/>
      <c r="X1127" s="22"/>
      <c r="Y1127" s="22"/>
      <c r="Z1127" s="22"/>
      <c r="AA1127" s="22"/>
      <c r="AB1127" s="22"/>
      <c r="AC1127" s="22"/>
      <c r="AD1127" s="22"/>
      <c r="AE1127" s="22"/>
      <c r="AF1127" s="22"/>
      <c r="AG1127" s="22"/>
      <c r="AH1127" s="22"/>
      <c r="AI1127" s="22"/>
      <c r="AJ1127" s="22"/>
      <c r="AK1127" s="22"/>
      <c r="AL1127" s="22"/>
      <c r="AM1127" s="22"/>
      <c r="AN1127" s="22"/>
      <c r="AO1127" s="22"/>
    </row>
    <row r="1128" ht="15.75" customHeight="1">
      <c r="A1128" s="22"/>
      <c r="B1128" s="22"/>
      <c r="C1128" s="22"/>
      <c r="D1128" s="22"/>
      <c r="E1128" s="22"/>
      <c r="F1128" s="22"/>
      <c r="G1128" s="130"/>
      <c r="H1128" s="22"/>
      <c r="I1128" s="22"/>
      <c r="J1128" s="22"/>
      <c r="K1128" s="22"/>
      <c r="L1128" s="22"/>
      <c r="M1128" s="22"/>
      <c r="N1128" s="22"/>
      <c r="O1128" s="22"/>
      <c r="P1128" s="22"/>
      <c r="Q1128" s="22"/>
      <c r="R1128" s="22"/>
      <c r="S1128" s="22"/>
      <c r="T1128" s="22"/>
      <c r="U1128" s="22"/>
      <c r="V1128" s="22"/>
      <c r="W1128" s="22"/>
      <c r="X1128" s="22"/>
      <c r="Y1128" s="22"/>
      <c r="Z1128" s="22"/>
      <c r="AA1128" s="22"/>
      <c r="AB1128" s="22"/>
      <c r="AC1128" s="22"/>
      <c r="AD1128" s="22"/>
      <c r="AE1128" s="22"/>
      <c r="AF1128" s="22"/>
      <c r="AG1128" s="22"/>
      <c r="AH1128" s="22"/>
      <c r="AI1128" s="22"/>
      <c r="AJ1128" s="22"/>
      <c r="AK1128" s="22"/>
      <c r="AL1128" s="22"/>
      <c r="AM1128" s="22"/>
      <c r="AN1128" s="22"/>
      <c r="AO1128" s="22"/>
    </row>
    <row r="1129" ht="15.75" customHeight="1">
      <c r="A1129" s="22"/>
      <c r="B1129" s="22"/>
      <c r="C1129" s="22"/>
      <c r="D1129" s="22"/>
      <c r="E1129" s="22"/>
      <c r="F1129" s="22"/>
      <c r="G1129" s="130"/>
      <c r="H1129" s="22"/>
      <c r="I1129" s="22"/>
      <c r="J1129" s="22"/>
      <c r="K1129" s="22"/>
      <c r="L1129" s="22"/>
      <c r="M1129" s="22"/>
      <c r="N1129" s="22"/>
      <c r="O1129" s="22"/>
      <c r="P1129" s="22"/>
      <c r="Q1129" s="22"/>
      <c r="R1129" s="22"/>
      <c r="S1129" s="22"/>
      <c r="T1129" s="22"/>
      <c r="U1129" s="22"/>
      <c r="V1129" s="22"/>
      <c r="W1129" s="22"/>
      <c r="X1129" s="22"/>
      <c r="Y1129" s="22"/>
      <c r="Z1129" s="22"/>
      <c r="AA1129" s="22"/>
      <c r="AB1129" s="22"/>
      <c r="AC1129" s="22"/>
      <c r="AD1129" s="22"/>
      <c r="AE1129" s="22"/>
      <c r="AF1129" s="22"/>
      <c r="AG1129" s="22"/>
      <c r="AH1129" s="22"/>
      <c r="AI1129" s="22"/>
      <c r="AJ1129" s="22"/>
      <c r="AK1129" s="22"/>
      <c r="AL1129" s="22"/>
      <c r="AM1129" s="22"/>
      <c r="AN1129" s="22"/>
      <c r="AO1129" s="22"/>
    </row>
    <row r="1130" ht="15.75" customHeight="1">
      <c r="A1130" s="22"/>
      <c r="B1130" s="22"/>
      <c r="C1130" s="22"/>
      <c r="D1130" s="22"/>
      <c r="E1130" s="22"/>
      <c r="F1130" s="22"/>
      <c r="G1130" s="130"/>
      <c r="H1130" s="22"/>
      <c r="I1130" s="22"/>
      <c r="J1130" s="22"/>
      <c r="K1130" s="22"/>
      <c r="L1130" s="22"/>
      <c r="M1130" s="22"/>
      <c r="N1130" s="22"/>
      <c r="O1130" s="22"/>
      <c r="P1130" s="22"/>
      <c r="Q1130" s="22"/>
      <c r="R1130" s="22"/>
      <c r="S1130" s="22"/>
      <c r="T1130" s="22"/>
      <c r="U1130" s="22"/>
      <c r="V1130" s="22"/>
      <c r="W1130" s="22"/>
      <c r="X1130" s="22"/>
      <c r="Y1130" s="22"/>
      <c r="Z1130" s="22"/>
      <c r="AA1130" s="22"/>
      <c r="AB1130" s="22"/>
      <c r="AC1130" s="22"/>
      <c r="AD1130" s="22"/>
      <c r="AE1130" s="22"/>
      <c r="AF1130" s="22"/>
      <c r="AG1130" s="22"/>
      <c r="AH1130" s="22"/>
      <c r="AI1130" s="22"/>
      <c r="AJ1130" s="22"/>
      <c r="AK1130" s="22"/>
      <c r="AL1130" s="22"/>
      <c r="AM1130" s="22"/>
      <c r="AN1130" s="22"/>
      <c r="AO1130" s="22"/>
    </row>
    <row r="1131" ht="15.75" customHeight="1">
      <c r="A1131" s="22"/>
      <c r="B1131" s="22"/>
      <c r="C1131" s="22"/>
      <c r="D1131" s="22"/>
      <c r="E1131" s="22"/>
      <c r="F1131" s="22"/>
      <c r="G1131" s="130"/>
      <c r="H1131" s="22"/>
      <c r="I1131" s="22"/>
      <c r="J1131" s="22"/>
      <c r="K1131" s="22"/>
      <c r="L1131" s="22"/>
      <c r="M1131" s="22"/>
      <c r="N1131" s="22"/>
      <c r="O1131" s="22"/>
      <c r="P1131" s="22"/>
      <c r="Q1131" s="22"/>
      <c r="R1131" s="22"/>
      <c r="S1131" s="22"/>
      <c r="T1131" s="22"/>
      <c r="U1131" s="22"/>
      <c r="V1131" s="22"/>
      <c r="W1131" s="22"/>
      <c r="X1131" s="22"/>
      <c r="Y1131" s="22"/>
      <c r="Z1131" s="22"/>
      <c r="AA1131" s="22"/>
      <c r="AB1131" s="22"/>
      <c r="AC1131" s="22"/>
      <c r="AD1131" s="22"/>
      <c r="AE1131" s="22"/>
      <c r="AF1131" s="22"/>
      <c r="AG1131" s="22"/>
      <c r="AH1131" s="22"/>
      <c r="AI1131" s="22"/>
      <c r="AJ1131" s="22"/>
      <c r="AK1131" s="22"/>
      <c r="AL1131" s="22"/>
      <c r="AM1131" s="22"/>
      <c r="AN1131" s="22"/>
      <c r="AO1131" s="22"/>
    </row>
    <row r="1132" ht="15.75" customHeight="1">
      <c r="A1132" s="22"/>
      <c r="B1132" s="22"/>
      <c r="C1132" s="22"/>
      <c r="D1132" s="22"/>
      <c r="E1132" s="22"/>
      <c r="F1132" s="22"/>
      <c r="G1132" s="130"/>
      <c r="H1132" s="22"/>
      <c r="I1132" s="22"/>
      <c r="J1132" s="22"/>
      <c r="K1132" s="22"/>
      <c r="L1132" s="22"/>
      <c r="M1132" s="22"/>
      <c r="N1132" s="22"/>
      <c r="O1132" s="22"/>
      <c r="P1132" s="22"/>
      <c r="Q1132" s="22"/>
      <c r="R1132" s="22"/>
      <c r="S1132" s="22"/>
      <c r="T1132" s="22"/>
      <c r="U1132" s="22"/>
      <c r="V1132" s="22"/>
      <c r="W1132" s="22"/>
      <c r="X1132" s="22"/>
      <c r="Y1132" s="22"/>
      <c r="Z1132" s="22"/>
      <c r="AA1132" s="22"/>
      <c r="AB1132" s="22"/>
      <c r="AC1132" s="22"/>
      <c r="AD1132" s="22"/>
      <c r="AE1132" s="22"/>
      <c r="AF1132" s="22"/>
      <c r="AG1132" s="22"/>
      <c r="AH1132" s="22"/>
      <c r="AI1132" s="22"/>
      <c r="AJ1132" s="22"/>
      <c r="AK1132" s="22"/>
      <c r="AL1132" s="22"/>
      <c r="AM1132" s="22"/>
      <c r="AN1132" s="22"/>
      <c r="AO1132" s="22"/>
    </row>
    <row r="1133" ht="15.75" customHeight="1">
      <c r="A1133" s="22"/>
      <c r="B1133" s="22"/>
      <c r="C1133" s="22"/>
      <c r="D1133" s="22"/>
      <c r="E1133" s="22"/>
      <c r="F1133" s="22"/>
      <c r="G1133" s="130"/>
      <c r="H1133" s="22"/>
      <c r="I1133" s="22"/>
      <c r="J1133" s="22"/>
      <c r="K1133" s="22"/>
      <c r="L1133" s="22"/>
      <c r="M1133" s="22"/>
      <c r="N1133" s="22"/>
      <c r="O1133" s="22"/>
      <c r="P1133" s="22"/>
      <c r="Q1133" s="22"/>
      <c r="R1133" s="22"/>
      <c r="S1133" s="22"/>
      <c r="T1133" s="22"/>
      <c r="U1133" s="22"/>
      <c r="V1133" s="22"/>
      <c r="W1133" s="22"/>
      <c r="X1133" s="22"/>
      <c r="Y1133" s="22"/>
      <c r="Z1133" s="22"/>
      <c r="AA1133" s="22"/>
      <c r="AB1133" s="22"/>
      <c r="AC1133" s="22"/>
      <c r="AD1133" s="22"/>
      <c r="AE1133" s="22"/>
      <c r="AF1133" s="22"/>
      <c r="AG1133" s="22"/>
      <c r="AH1133" s="22"/>
      <c r="AI1133" s="22"/>
      <c r="AJ1133" s="22"/>
      <c r="AK1133" s="22"/>
      <c r="AL1133" s="22"/>
      <c r="AM1133" s="22"/>
      <c r="AN1133" s="22"/>
      <c r="AO1133" s="22"/>
    </row>
    <row r="1134" ht="15.75" customHeight="1">
      <c r="A1134" s="22"/>
      <c r="B1134" s="22"/>
      <c r="C1134" s="22"/>
      <c r="D1134" s="22"/>
      <c r="E1134" s="22"/>
      <c r="F1134" s="22"/>
      <c r="G1134" s="130"/>
      <c r="H1134" s="22"/>
      <c r="I1134" s="22"/>
      <c r="J1134" s="22"/>
      <c r="K1134" s="22"/>
      <c r="L1134" s="22"/>
      <c r="M1134" s="22"/>
      <c r="N1134" s="22"/>
      <c r="O1134" s="22"/>
      <c r="P1134" s="22"/>
      <c r="Q1134" s="22"/>
      <c r="R1134" s="22"/>
      <c r="S1134" s="22"/>
      <c r="T1134" s="22"/>
      <c r="U1134" s="22"/>
      <c r="V1134" s="22"/>
      <c r="W1134" s="22"/>
      <c r="X1134" s="22"/>
      <c r="Y1134" s="22"/>
      <c r="Z1134" s="22"/>
      <c r="AA1134" s="22"/>
      <c r="AB1134" s="22"/>
      <c r="AC1134" s="22"/>
      <c r="AD1134" s="22"/>
      <c r="AE1134" s="22"/>
      <c r="AF1134" s="22"/>
      <c r="AG1134" s="22"/>
      <c r="AH1134" s="22"/>
      <c r="AI1134" s="22"/>
      <c r="AJ1134" s="22"/>
      <c r="AK1134" s="22"/>
      <c r="AL1134" s="22"/>
      <c r="AM1134" s="22"/>
      <c r="AN1134" s="22"/>
      <c r="AO1134" s="22"/>
    </row>
    <row r="1135" ht="15.75" customHeight="1">
      <c r="A1135" s="22"/>
      <c r="B1135" s="22"/>
      <c r="C1135" s="22"/>
      <c r="D1135" s="22"/>
      <c r="E1135" s="22"/>
      <c r="F1135" s="22"/>
      <c r="G1135" s="130"/>
      <c r="H1135" s="22"/>
      <c r="I1135" s="22"/>
      <c r="J1135" s="22"/>
      <c r="K1135" s="22"/>
      <c r="L1135" s="22"/>
      <c r="M1135" s="22"/>
      <c r="N1135" s="22"/>
      <c r="O1135" s="22"/>
      <c r="P1135" s="22"/>
      <c r="Q1135" s="22"/>
      <c r="R1135" s="22"/>
      <c r="S1135" s="22"/>
      <c r="T1135" s="22"/>
      <c r="U1135" s="22"/>
      <c r="V1135" s="22"/>
      <c r="W1135" s="22"/>
      <c r="X1135" s="22"/>
      <c r="Y1135" s="22"/>
      <c r="Z1135" s="22"/>
      <c r="AA1135" s="22"/>
      <c r="AB1135" s="22"/>
      <c r="AC1135" s="22"/>
      <c r="AD1135" s="22"/>
      <c r="AE1135" s="22"/>
      <c r="AF1135" s="22"/>
      <c r="AG1135" s="22"/>
      <c r="AH1135" s="22"/>
      <c r="AI1135" s="22"/>
      <c r="AJ1135" s="22"/>
      <c r="AK1135" s="22"/>
      <c r="AL1135" s="22"/>
      <c r="AM1135" s="22"/>
      <c r="AN1135" s="22"/>
      <c r="AO1135" s="22"/>
    </row>
    <row r="1136" ht="15.75" customHeight="1">
      <c r="A1136" s="22"/>
      <c r="B1136" s="22"/>
      <c r="C1136" s="22"/>
      <c r="D1136" s="22"/>
      <c r="E1136" s="22"/>
      <c r="F1136" s="22"/>
      <c r="G1136" s="130"/>
      <c r="H1136" s="22"/>
      <c r="I1136" s="22"/>
      <c r="J1136" s="22"/>
      <c r="K1136" s="22"/>
      <c r="L1136" s="22"/>
      <c r="M1136" s="22"/>
      <c r="N1136" s="22"/>
      <c r="O1136" s="22"/>
      <c r="P1136" s="22"/>
      <c r="Q1136" s="22"/>
      <c r="R1136" s="22"/>
      <c r="S1136" s="22"/>
      <c r="T1136" s="22"/>
      <c r="U1136" s="22"/>
      <c r="V1136" s="22"/>
      <c r="W1136" s="22"/>
      <c r="X1136" s="22"/>
      <c r="Y1136" s="22"/>
      <c r="Z1136" s="22"/>
      <c r="AA1136" s="22"/>
      <c r="AB1136" s="22"/>
      <c r="AC1136" s="22"/>
      <c r="AD1136" s="22"/>
      <c r="AE1136" s="22"/>
      <c r="AF1136" s="22"/>
      <c r="AG1136" s="22"/>
      <c r="AH1136" s="22"/>
      <c r="AI1136" s="22"/>
      <c r="AJ1136" s="22"/>
      <c r="AK1136" s="22"/>
      <c r="AL1136" s="22"/>
      <c r="AM1136" s="22"/>
      <c r="AN1136" s="22"/>
      <c r="AO1136" s="22"/>
    </row>
    <row r="1137" ht="15.75" customHeight="1">
      <c r="A1137" s="22"/>
      <c r="B1137" s="22"/>
      <c r="C1137" s="22"/>
      <c r="D1137" s="22"/>
      <c r="E1137" s="22"/>
      <c r="F1137" s="22"/>
      <c r="G1137" s="130"/>
      <c r="H1137" s="22"/>
      <c r="I1137" s="22"/>
      <c r="J1137" s="22"/>
      <c r="K1137" s="22"/>
      <c r="L1137" s="22"/>
      <c r="M1137" s="22"/>
      <c r="N1137" s="22"/>
      <c r="O1137" s="22"/>
      <c r="P1137" s="22"/>
      <c r="Q1137" s="22"/>
      <c r="R1137" s="22"/>
      <c r="S1137" s="22"/>
      <c r="T1137" s="22"/>
      <c r="U1137" s="22"/>
      <c r="V1137" s="22"/>
      <c r="W1137" s="22"/>
      <c r="X1137" s="22"/>
      <c r="Y1137" s="22"/>
      <c r="Z1137" s="22"/>
      <c r="AA1137" s="22"/>
      <c r="AB1137" s="22"/>
      <c r="AC1137" s="22"/>
      <c r="AD1137" s="22"/>
      <c r="AE1137" s="22"/>
      <c r="AF1137" s="22"/>
      <c r="AG1137" s="22"/>
      <c r="AH1137" s="22"/>
      <c r="AI1137" s="22"/>
      <c r="AJ1137" s="22"/>
      <c r="AK1137" s="22"/>
      <c r="AL1137" s="22"/>
      <c r="AM1137" s="22"/>
      <c r="AN1137" s="22"/>
      <c r="AO1137" s="22"/>
    </row>
    <row r="1138" ht="15.75" customHeight="1">
      <c r="A1138" s="22"/>
      <c r="B1138" s="22"/>
      <c r="C1138" s="22"/>
      <c r="D1138" s="22"/>
      <c r="E1138" s="22"/>
      <c r="F1138" s="22"/>
      <c r="G1138" s="130"/>
      <c r="H1138" s="22"/>
      <c r="I1138" s="22"/>
      <c r="J1138" s="22"/>
      <c r="K1138" s="22"/>
      <c r="L1138" s="22"/>
      <c r="M1138" s="22"/>
      <c r="N1138" s="22"/>
      <c r="O1138" s="22"/>
      <c r="P1138" s="22"/>
      <c r="Q1138" s="22"/>
      <c r="R1138" s="22"/>
      <c r="S1138" s="22"/>
      <c r="T1138" s="22"/>
      <c r="U1138" s="22"/>
      <c r="V1138" s="22"/>
      <c r="W1138" s="22"/>
      <c r="X1138" s="22"/>
      <c r="Y1138" s="22"/>
      <c r="Z1138" s="22"/>
      <c r="AA1138" s="22"/>
      <c r="AB1138" s="22"/>
      <c r="AC1138" s="22"/>
      <c r="AD1138" s="22"/>
      <c r="AE1138" s="22"/>
      <c r="AF1138" s="22"/>
      <c r="AG1138" s="22"/>
      <c r="AH1138" s="22"/>
      <c r="AI1138" s="22"/>
      <c r="AJ1138" s="22"/>
      <c r="AK1138" s="22"/>
      <c r="AL1138" s="22"/>
      <c r="AM1138" s="22"/>
      <c r="AN1138" s="22"/>
      <c r="AO1138" s="22"/>
    </row>
    <row r="1139" ht="15.75" customHeight="1">
      <c r="A1139" s="22"/>
      <c r="B1139" s="22"/>
      <c r="C1139" s="22"/>
      <c r="D1139" s="22"/>
      <c r="E1139" s="22"/>
      <c r="F1139" s="22"/>
      <c r="G1139" s="130"/>
      <c r="H1139" s="22"/>
      <c r="I1139" s="22"/>
      <c r="J1139" s="22"/>
      <c r="K1139" s="22"/>
      <c r="L1139" s="22"/>
      <c r="M1139" s="22"/>
      <c r="N1139" s="22"/>
      <c r="O1139" s="22"/>
      <c r="P1139" s="22"/>
      <c r="Q1139" s="22"/>
      <c r="R1139" s="22"/>
      <c r="S1139" s="22"/>
      <c r="T1139" s="22"/>
      <c r="U1139" s="22"/>
      <c r="V1139" s="22"/>
      <c r="W1139" s="22"/>
      <c r="X1139" s="22"/>
      <c r="Y1139" s="22"/>
      <c r="Z1139" s="22"/>
      <c r="AA1139" s="22"/>
      <c r="AB1139" s="22"/>
      <c r="AC1139" s="22"/>
      <c r="AD1139" s="22"/>
      <c r="AE1139" s="22"/>
      <c r="AF1139" s="22"/>
      <c r="AG1139" s="22"/>
      <c r="AH1139" s="22"/>
      <c r="AI1139" s="22"/>
      <c r="AJ1139" s="22"/>
      <c r="AK1139" s="22"/>
      <c r="AL1139" s="22"/>
      <c r="AM1139" s="22"/>
      <c r="AN1139" s="22"/>
      <c r="AO1139" s="22"/>
    </row>
    <row r="1140" ht="15.75" customHeight="1">
      <c r="A1140" s="22"/>
      <c r="B1140" s="22"/>
      <c r="C1140" s="22"/>
      <c r="D1140" s="22"/>
      <c r="E1140" s="22"/>
      <c r="F1140" s="22"/>
      <c r="G1140" s="130"/>
      <c r="H1140" s="22"/>
      <c r="I1140" s="22"/>
      <c r="J1140" s="22"/>
      <c r="K1140" s="22"/>
      <c r="L1140" s="22"/>
      <c r="M1140" s="22"/>
      <c r="N1140" s="22"/>
      <c r="O1140" s="22"/>
      <c r="P1140" s="22"/>
      <c r="Q1140" s="22"/>
      <c r="R1140" s="22"/>
      <c r="S1140" s="22"/>
      <c r="T1140" s="22"/>
      <c r="U1140" s="22"/>
      <c r="V1140" s="22"/>
      <c r="W1140" s="22"/>
      <c r="X1140" s="22"/>
      <c r="Y1140" s="22"/>
      <c r="Z1140" s="22"/>
      <c r="AA1140" s="22"/>
      <c r="AB1140" s="22"/>
      <c r="AC1140" s="22"/>
      <c r="AD1140" s="22"/>
      <c r="AE1140" s="22"/>
      <c r="AF1140" s="22"/>
      <c r="AG1140" s="22"/>
      <c r="AH1140" s="22"/>
      <c r="AI1140" s="22"/>
      <c r="AJ1140" s="22"/>
      <c r="AK1140" s="22"/>
      <c r="AL1140" s="22"/>
      <c r="AM1140" s="22"/>
      <c r="AN1140" s="22"/>
      <c r="AO1140" s="22"/>
    </row>
    <row r="1141" ht="15.75" customHeight="1">
      <c r="A1141" s="22"/>
      <c r="B1141" s="22"/>
      <c r="C1141" s="22"/>
      <c r="D1141" s="22"/>
      <c r="E1141" s="22"/>
      <c r="F1141" s="22"/>
      <c r="G1141" s="130"/>
      <c r="H1141" s="22"/>
      <c r="I1141" s="22"/>
      <c r="J1141" s="22"/>
      <c r="K1141" s="22"/>
      <c r="L1141" s="22"/>
      <c r="M1141" s="22"/>
      <c r="N1141" s="22"/>
      <c r="O1141" s="22"/>
      <c r="P1141" s="22"/>
      <c r="Q1141" s="22"/>
      <c r="R1141" s="22"/>
      <c r="S1141" s="22"/>
      <c r="T1141" s="22"/>
      <c r="U1141" s="22"/>
      <c r="V1141" s="22"/>
      <c r="W1141" s="22"/>
      <c r="X1141" s="22"/>
      <c r="Y1141" s="22"/>
      <c r="Z1141" s="22"/>
      <c r="AA1141" s="22"/>
      <c r="AB1141" s="22"/>
      <c r="AC1141" s="22"/>
      <c r="AD1141" s="22"/>
      <c r="AE1141" s="22"/>
      <c r="AF1141" s="22"/>
      <c r="AG1141" s="22"/>
      <c r="AH1141" s="22"/>
      <c r="AI1141" s="22"/>
      <c r="AJ1141" s="22"/>
      <c r="AK1141" s="22"/>
      <c r="AL1141" s="22"/>
      <c r="AM1141" s="22"/>
      <c r="AN1141" s="22"/>
      <c r="AO1141" s="22"/>
    </row>
    <row r="1142" ht="15.75" customHeight="1">
      <c r="A1142" s="22"/>
      <c r="B1142" s="22"/>
      <c r="C1142" s="22"/>
      <c r="D1142" s="22"/>
      <c r="E1142" s="22"/>
      <c r="F1142" s="22"/>
      <c r="G1142" s="130"/>
      <c r="H1142" s="22"/>
      <c r="I1142" s="22"/>
      <c r="J1142" s="22"/>
      <c r="K1142" s="22"/>
      <c r="L1142" s="22"/>
      <c r="M1142" s="22"/>
      <c r="N1142" s="22"/>
      <c r="O1142" s="22"/>
      <c r="P1142" s="22"/>
      <c r="Q1142" s="22"/>
      <c r="R1142" s="22"/>
      <c r="S1142" s="22"/>
      <c r="T1142" s="22"/>
      <c r="U1142" s="22"/>
      <c r="V1142" s="22"/>
      <c r="W1142" s="22"/>
      <c r="X1142" s="22"/>
      <c r="Y1142" s="22"/>
      <c r="Z1142" s="22"/>
      <c r="AA1142" s="22"/>
      <c r="AB1142" s="22"/>
      <c r="AC1142" s="22"/>
      <c r="AD1142" s="22"/>
      <c r="AE1142" s="22"/>
      <c r="AF1142" s="22"/>
      <c r="AG1142" s="22"/>
      <c r="AH1142" s="22"/>
      <c r="AI1142" s="22"/>
      <c r="AJ1142" s="22"/>
      <c r="AK1142" s="22"/>
      <c r="AL1142" s="22"/>
      <c r="AM1142" s="22"/>
      <c r="AN1142" s="22"/>
      <c r="AO1142" s="22"/>
    </row>
    <row r="1143" ht="15.75" customHeight="1">
      <c r="A1143" s="22"/>
      <c r="B1143" s="22"/>
      <c r="C1143" s="22"/>
      <c r="D1143" s="22"/>
      <c r="E1143" s="22"/>
      <c r="F1143" s="22"/>
      <c r="G1143" s="130"/>
      <c r="H1143" s="22"/>
      <c r="I1143" s="22"/>
      <c r="J1143" s="22"/>
      <c r="K1143" s="22"/>
      <c r="L1143" s="22"/>
      <c r="M1143" s="22"/>
      <c r="N1143" s="22"/>
      <c r="O1143" s="22"/>
      <c r="P1143" s="22"/>
      <c r="Q1143" s="22"/>
      <c r="R1143" s="22"/>
      <c r="S1143" s="22"/>
      <c r="T1143" s="22"/>
      <c r="U1143" s="22"/>
      <c r="V1143" s="22"/>
      <c r="W1143" s="22"/>
      <c r="X1143" s="22"/>
      <c r="Y1143" s="22"/>
      <c r="Z1143" s="22"/>
      <c r="AA1143" s="22"/>
      <c r="AB1143" s="22"/>
      <c r="AC1143" s="22"/>
      <c r="AD1143" s="22"/>
      <c r="AE1143" s="22"/>
      <c r="AF1143" s="22"/>
      <c r="AG1143" s="22"/>
      <c r="AH1143" s="22"/>
      <c r="AI1143" s="22"/>
      <c r="AJ1143" s="22"/>
      <c r="AK1143" s="22"/>
      <c r="AL1143" s="22"/>
      <c r="AM1143" s="22"/>
      <c r="AN1143" s="22"/>
      <c r="AO1143" s="22"/>
    </row>
    <row r="1144" ht="15.75" customHeight="1">
      <c r="A1144" s="22"/>
      <c r="B1144" s="22"/>
      <c r="C1144" s="22"/>
      <c r="D1144" s="22"/>
      <c r="E1144" s="22"/>
      <c r="F1144" s="22"/>
      <c r="G1144" s="130"/>
      <c r="H1144" s="22"/>
      <c r="I1144" s="22"/>
      <c r="J1144" s="22"/>
      <c r="K1144" s="22"/>
      <c r="L1144" s="22"/>
      <c r="M1144" s="22"/>
      <c r="N1144" s="22"/>
      <c r="O1144" s="22"/>
      <c r="P1144" s="22"/>
      <c r="Q1144" s="22"/>
      <c r="R1144" s="22"/>
      <c r="S1144" s="22"/>
      <c r="T1144" s="22"/>
      <c r="U1144" s="22"/>
      <c r="V1144" s="22"/>
      <c r="W1144" s="22"/>
      <c r="X1144" s="22"/>
      <c r="Y1144" s="22"/>
      <c r="Z1144" s="22"/>
      <c r="AA1144" s="22"/>
      <c r="AB1144" s="22"/>
      <c r="AC1144" s="22"/>
      <c r="AD1144" s="22"/>
      <c r="AE1144" s="22"/>
      <c r="AF1144" s="22"/>
      <c r="AG1144" s="22"/>
      <c r="AH1144" s="22"/>
      <c r="AI1144" s="22"/>
      <c r="AJ1144" s="22"/>
      <c r="AK1144" s="22"/>
      <c r="AL1144" s="22"/>
      <c r="AM1144" s="22"/>
      <c r="AN1144" s="22"/>
      <c r="AO1144" s="22"/>
    </row>
    <row r="1145" ht="15.75" customHeight="1">
      <c r="A1145" s="22"/>
      <c r="B1145" s="22"/>
      <c r="C1145" s="22"/>
      <c r="D1145" s="22"/>
      <c r="E1145" s="22"/>
      <c r="F1145" s="22"/>
      <c r="G1145" s="130"/>
      <c r="H1145" s="22"/>
      <c r="I1145" s="22"/>
      <c r="J1145" s="22"/>
      <c r="K1145" s="22"/>
      <c r="L1145" s="22"/>
      <c r="M1145" s="22"/>
      <c r="N1145" s="22"/>
      <c r="O1145" s="22"/>
      <c r="P1145" s="22"/>
      <c r="Q1145" s="22"/>
      <c r="R1145" s="22"/>
      <c r="S1145" s="22"/>
      <c r="T1145" s="22"/>
      <c r="U1145" s="22"/>
      <c r="V1145" s="22"/>
      <c r="W1145" s="22"/>
      <c r="X1145" s="22"/>
      <c r="Y1145" s="22"/>
      <c r="Z1145" s="22"/>
      <c r="AA1145" s="22"/>
      <c r="AB1145" s="22"/>
      <c r="AC1145" s="22"/>
      <c r="AD1145" s="22"/>
      <c r="AE1145" s="22"/>
      <c r="AF1145" s="22"/>
      <c r="AG1145" s="22"/>
      <c r="AH1145" s="22"/>
      <c r="AI1145" s="22"/>
      <c r="AJ1145" s="22"/>
      <c r="AK1145" s="22"/>
      <c r="AL1145" s="22"/>
      <c r="AM1145" s="22"/>
      <c r="AN1145" s="22"/>
      <c r="AO1145" s="22"/>
    </row>
    <row r="1146" ht="15.75" customHeight="1">
      <c r="A1146" s="22"/>
      <c r="B1146" s="22"/>
      <c r="C1146" s="22"/>
      <c r="D1146" s="22"/>
      <c r="E1146" s="22"/>
      <c r="F1146" s="22"/>
      <c r="G1146" s="130"/>
      <c r="H1146" s="22"/>
      <c r="I1146" s="22"/>
      <c r="J1146" s="22"/>
      <c r="K1146" s="22"/>
      <c r="L1146" s="22"/>
      <c r="M1146" s="22"/>
      <c r="N1146" s="22"/>
      <c r="O1146" s="22"/>
      <c r="P1146" s="22"/>
      <c r="Q1146" s="22"/>
      <c r="R1146" s="22"/>
      <c r="S1146" s="22"/>
      <c r="T1146" s="22"/>
      <c r="U1146" s="22"/>
      <c r="V1146" s="22"/>
      <c r="W1146" s="22"/>
      <c r="X1146" s="22"/>
      <c r="Y1146" s="22"/>
      <c r="Z1146" s="22"/>
      <c r="AA1146" s="22"/>
      <c r="AB1146" s="22"/>
      <c r="AC1146" s="22"/>
      <c r="AD1146" s="22"/>
      <c r="AE1146" s="22"/>
      <c r="AF1146" s="22"/>
      <c r="AG1146" s="22"/>
      <c r="AH1146" s="22"/>
      <c r="AI1146" s="22"/>
      <c r="AJ1146" s="22"/>
      <c r="AK1146" s="22"/>
      <c r="AL1146" s="22"/>
      <c r="AM1146" s="22"/>
      <c r="AN1146" s="22"/>
      <c r="AO1146" s="22"/>
    </row>
    <row r="1147" ht="15.75" customHeight="1">
      <c r="A1147" s="22"/>
      <c r="B1147" s="22"/>
      <c r="C1147" s="22"/>
      <c r="D1147" s="22"/>
      <c r="E1147" s="22"/>
      <c r="F1147" s="22"/>
      <c r="G1147" s="130"/>
      <c r="H1147" s="22"/>
      <c r="I1147" s="22"/>
      <c r="J1147" s="22"/>
      <c r="K1147" s="22"/>
      <c r="L1147" s="22"/>
      <c r="M1147" s="22"/>
      <c r="N1147" s="22"/>
      <c r="O1147" s="22"/>
      <c r="P1147" s="22"/>
      <c r="Q1147" s="22"/>
      <c r="R1147" s="22"/>
      <c r="S1147" s="22"/>
      <c r="T1147" s="22"/>
      <c r="U1147" s="22"/>
      <c r="V1147" s="22"/>
      <c r="W1147" s="22"/>
      <c r="X1147" s="22"/>
      <c r="Y1147" s="22"/>
      <c r="Z1147" s="22"/>
      <c r="AA1147" s="22"/>
      <c r="AB1147" s="22"/>
      <c r="AC1147" s="22"/>
      <c r="AD1147" s="22"/>
      <c r="AE1147" s="22"/>
      <c r="AF1147" s="22"/>
      <c r="AG1147" s="22"/>
      <c r="AH1147" s="22"/>
      <c r="AI1147" s="22"/>
      <c r="AJ1147" s="22"/>
      <c r="AK1147" s="22"/>
      <c r="AL1147" s="22"/>
      <c r="AM1147" s="22"/>
      <c r="AN1147" s="22"/>
      <c r="AO1147" s="22"/>
    </row>
    <row r="1148" ht="15.75" customHeight="1">
      <c r="A1148" s="22"/>
      <c r="B1148" s="22"/>
      <c r="C1148" s="22"/>
      <c r="D1148" s="22"/>
      <c r="E1148" s="22"/>
      <c r="F1148" s="22"/>
      <c r="G1148" s="130"/>
      <c r="H1148" s="22"/>
      <c r="I1148" s="22"/>
      <c r="J1148" s="22"/>
      <c r="K1148" s="22"/>
      <c r="L1148" s="22"/>
      <c r="M1148" s="22"/>
      <c r="N1148" s="22"/>
      <c r="O1148" s="22"/>
      <c r="P1148" s="22"/>
      <c r="Q1148" s="22"/>
      <c r="R1148" s="22"/>
      <c r="S1148" s="22"/>
      <c r="T1148" s="22"/>
      <c r="U1148" s="22"/>
      <c r="V1148" s="22"/>
      <c r="W1148" s="22"/>
      <c r="X1148" s="22"/>
      <c r="Y1148" s="22"/>
      <c r="Z1148" s="22"/>
      <c r="AA1148" s="22"/>
      <c r="AB1148" s="22"/>
      <c r="AC1148" s="22"/>
      <c r="AD1148" s="22"/>
      <c r="AE1148" s="22"/>
      <c r="AF1148" s="22"/>
      <c r="AG1148" s="22"/>
      <c r="AH1148" s="22"/>
      <c r="AI1148" s="22"/>
      <c r="AJ1148" s="22"/>
      <c r="AK1148" s="22"/>
      <c r="AL1148" s="22"/>
      <c r="AM1148" s="22"/>
      <c r="AN1148" s="22"/>
      <c r="AO1148" s="22"/>
    </row>
    <row r="1149" ht="15.75" customHeight="1">
      <c r="A1149" s="22"/>
      <c r="B1149" s="22"/>
      <c r="C1149" s="22"/>
      <c r="D1149" s="22"/>
      <c r="E1149" s="22"/>
      <c r="F1149" s="22"/>
      <c r="G1149" s="130"/>
      <c r="H1149" s="22"/>
      <c r="I1149" s="22"/>
      <c r="J1149" s="22"/>
      <c r="K1149" s="22"/>
      <c r="L1149" s="22"/>
      <c r="M1149" s="22"/>
      <c r="N1149" s="22"/>
      <c r="O1149" s="22"/>
      <c r="P1149" s="22"/>
      <c r="Q1149" s="22"/>
      <c r="R1149" s="22"/>
      <c r="S1149" s="22"/>
      <c r="T1149" s="22"/>
      <c r="U1149" s="22"/>
      <c r="V1149" s="22"/>
      <c r="W1149" s="22"/>
      <c r="X1149" s="22"/>
      <c r="Y1149" s="22"/>
      <c r="Z1149" s="22"/>
      <c r="AA1149" s="22"/>
      <c r="AB1149" s="22"/>
      <c r="AC1149" s="22"/>
      <c r="AD1149" s="22"/>
      <c r="AE1149" s="22"/>
      <c r="AF1149" s="22"/>
      <c r="AG1149" s="22"/>
      <c r="AH1149" s="22"/>
      <c r="AI1149" s="22"/>
      <c r="AJ1149" s="22"/>
      <c r="AK1149" s="22"/>
      <c r="AL1149" s="22"/>
      <c r="AM1149" s="22"/>
      <c r="AN1149" s="22"/>
      <c r="AO1149" s="22"/>
    </row>
    <row r="1150" ht="15.75" customHeight="1">
      <c r="A1150" s="22"/>
      <c r="B1150" s="22"/>
      <c r="C1150" s="22"/>
      <c r="D1150" s="22"/>
      <c r="E1150" s="22"/>
      <c r="F1150" s="22"/>
      <c r="G1150" s="130"/>
      <c r="H1150" s="22"/>
      <c r="I1150" s="22"/>
      <c r="J1150" s="22"/>
      <c r="K1150" s="22"/>
      <c r="L1150" s="22"/>
      <c r="M1150" s="22"/>
      <c r="N1150" s="22"/>
      <c r="O1150" s="22"/>
      <c r="P1150" s="22"/>
      <c r="Q1150" s="22"/>
      <c r="R1150" s="22"/>
      <c r="S1150" s="22"/>
      <c r="T1150" s="22"/>
      <c r="U1150" s="22"/>
      <c r="V1150" s="22"/>
      <c r="W1150" s="22"/>
      <c r="X1150" s="22"/>
      <c r="Y1150" s="22"/>
      <c r="Z1150" s="22"/>
      <c r="AA1150" s="22"/>
      <c r="AB1150" s="22"/>
      <c r="AC1150" s="22"/>
      <c r="AD1150" s="22"/>
      <c r="AE1150" s="22"/>
      <c r="AF1150" s="22"/>
      <c r="AG1150" s="22"/>
      <c r="AH1150" s="22"/>
      <c r="AI1150" s="22"/>
      <c r="AJ1150" s="22"/>
      <c r="AK1150" s="22"/>
      <c r="AL1150" s="22"/>
      <c r="AM1150" s="22"/>
      <c r="AN1150" s="22"/>
      <c r="AO1150" s="22"/>
    </row>
    <row r="1151" ht="15.75" customHeight="1">
      <c r="A1151" s="22"/>
      <c r="B1151" s="22"/>
      <c r="C1151" s="22"/>
      <c r="D1151" s="22"/>
      <c r="E1151" s="22"/>
      <c r="F1151" s="22"/>
      <c r="G1151" s="130"/>
      <c r="H1151" s="22"/>
      <c r="I1151" s="22"/>
      <c r="J1151" s="22"/>
      <c r="K1151" s="22"/>
      <c r="L1151" s="22"/>
      <c r="M1151" s="22"/>
      <c r="N1151" s="22"/>
      <c r="O1151" s="22"/>
      <c r="P1151" s="22"/>
      <c r="Q1151" s="22"/>
      <c r="R1151" s="22"/>
      <c r="S1151" s="22"/>
      <c r="T1151" s="22"/>
      <c r="U1151" s="22"/>
      <c r="V1151" s="22"/>
      <c r="W1151" s="22"/>
      <c r="X1151" s="22"/>
      <c r="Y1151" s="22"/>
      <c r="Z1151" s="22"/>
      <c r="AA1151" s="22"/>
      <c r="AB1151" s="22"/>
      <c r="AC1151" s="22"/>
      <c r="AD1151" s="22"/>
      <c r="AE1151" s="22"/>
      <c r="AF1151" s="22"/>
      <c r="AG1151" s="22"/>
      <c r="AH1151" s="22"/>
      <c r="AI1151" s="22"/>
      <c r="AJ1151" s="22"/>
      <c r="AK1151" s="22"/>
      <c r="AL1151" s="22"/>
      <c r="AM1151" s="22"/>
      <c r="AN1151" s="22"/>
      <c r="AO1151" s="22"/>
    </row>
    <row r="1152" ht="15.75" customHeight="1">
      <c r="A1152" s="22"/>
      <c r="B1152" s="22"/>
      <c r="C1152" s="22"/>
      <c r="D1152" s="22"/>
      <c r="E1152" s="22"/>
      <c r="F1152" s="22"/>
      <c r="G1152" s="130"/>
      <c r="H1152" s="22"/>
      <c r="I1152" s="22"/>
      <c r="J1152" s="22"/>
      <c r="K1152" s="22"/>
      <c r="L1152" s="22"/>
      <c r="M1152" s="22"/>
      <c r="N1152" s="22"/>
      <c r="O1152" s="22"/>
      <c r="P1152" s="22"/>
      <c r="Q1152" s="22"/>
      <c r="R1152" s="22"/>
      <c r="S1152" s="22"/>
      <c r="T1152" s="22"/>
      <c r="U1152" s="22"/>
      <c r="V1152" s="22"/>
      <c r="W1152" s="22"/>
      <c r="X1152" s="22"/>
      <c r="Y1152" s="22"/>
      <c r="Z1152" s="22"/>
      <c r="AA1152" s="22"/>
      <c r="AB1152" s="22"/>
      <c r="AC1152" s="22"/>
      <c r="AD1152" s="22"/>
      <c r="AE1152" s="22"/>
      <c r="AF1152" s="22"/>
      <c r="AG1152" s="22"/>
      <c r="AH1152" s="22"/>
      <c r="AI1152" s="22"/>
      <c r="AJ1152" s="22"/>
      <c r="AK1152" s="22"/>
      <c r="AL1152" s="22"/>
      <c r="AM1152" s="22"/>
      <c r="AN1152" s="22"/>
      <c r="AO1152" s="22"/>
    </row>
    <row r="1153" ht="15.75" customHeight="1">
      <c r="A1153" s="22"/>
      <c r="B1153" s="22"/>
      <c r="C1153" s="22"/>
      <c r="D1153" s="22"/>
      <c r="E1153" s="22"/>
      <c r="F1153" s="22"/>
      <c r="G1153" s="130"/>
      <c r="H1153" s="22"/>
      <c r="I1153" s="22"/>
      <c r="J1153" s="22"/>
      <c r="K1153" s="22"/>
      <c r="L1153" s="22"/>
      <c r="M1153" s="22"/>
      <c r="N1153" s="22"/>
      <c r="O1153" s="22"/>
      <c r="P1153" s="22"/>
      <c r="Q1153" s="22"/>
      <c r="R1153" s="22"/>
      <c r="S1153" s="22"/>
      <c r="T1153" s="22"/>
      <c r="U1153" s="22"/>
      <c r="V1153" s="22"/>
      <c r="W1153" s="22"/>
      <c r="X1153" s="22"/>
      <c r="Y1153" s="22"/>
      <c r="Z1153" s="22"/>
      <c r="AA1153" s="22"/>
      <c r="AB1153" s="22"/>
      <c r="AC1153" s="22"/>
      <c r="AD1153" s="22"/>
      <c r="AE1153" s="22"/>
      <c r="AF1153" s="22"/>
      <c r="AG1153" s="22"/>
      <c r="AH1153" s="22"/>
      <c r="AI1153" s="22"/>
      <c r="AJ1153" s="22"/>
      <c r="AK1153" s="22"/>
      <c r="AL1153" s="22"/>
      <c r="AM1153" s="22"/>
      <c r="AN1153" s="22"/>
      <c r="AO1153" s="22"/>
    </row>
    <row r="1154" ht="15.75" customHeight="1">
      <c r="A1154" s="22"/>
      <c r="B1154" s="22"/>
      <c r="C1154" s="22"/>
      <c r="D1154" s="22"/>
      <c r="E1154" s="22"/>
      <c r="F1154" s="22"/>
      <c r="G1154" s="130"/>
      <c r="H1154" s="22"/>
      <c r="I1154" s="22"/>
      <c r="J1154" s="22"/>
      <c r="K1154" s="22"/>
      <c r="L1154" s="22"/>
      <c r="M1154" s="22"/>
      <c r="N1154" s="22"/>
      <c r="O1154" s="22"/>
      <c r="P1154" s="22"/>
      <c r="Q1154" s="22"/>
      <c r="R1154" s="22"/>
      <c r="S1154" s="22"/>
      <c r="T1154" s="22"/>
      <c r="U1154" s="22"/>
      <c r="V1154" s="22"/>
      <c r="W1154" s="22"/>
      <c r="X1154" s="22"/>
      <c r="Y1154" s="22"/>
      <c r="Z1154" s="22"/>
      <c r="AA1154" s="22"/>
      <c r="AB1154" s="22"/>
      <c r="AC1154" s="22"/>
      <c r="AD1154" s="22"/>
      <c r="AE1154" s="22"/>
      <c r="AF1154" s="22"/>
      <c r="AG1154" s="22"/>
      <c r="AH1154" s="22"/>
      <c r="AI1154" s="22"/>
      <c r="AJ1154" s="22"/>
      <c r="AK1154" s="22"/>
      <c r="AL1154" s="22"/>
      <c r="AM1154" s="22"/>
      <c r="AN1154" s="22"/>
      <c r="AO1154" s="22"/>
    </row>
    <row r="1155" ht="15.75" customHeight="1">
      <c r="A1155" s="22"/>
      <c r="B1155" s="22"/>
      <c r="C1155" s="22"/>
      <c r="D1155" s="22"/>
      <c r="E1155" s="22"/>
      <c r="F1155" s="22"/>
      <c r="G1155" s="130"/>
      <c r="H1155" s="22"/>
      <c r="I1155" s="22"/>
      <c r="J1155" s="22"/>
      <c r="K1155" s="22"/>
      <c r="L1155" s="22"/>
      <c r="M1155" s="22"/>
      <c r="N1155" s="22"/>
      <c r="O1155" s="22"/>
      <c r="P1155" s="22"/>
      <c r="Q1155" s="22"/>
      <c r="R1155" s="22"/>
      <c r="S1155" s="22"/>
      <c r="T1155" s="22"/>
      <c r="U1155" s="22"/>
      <c r="V1155" s="22"/>
      <c r="W1155" s="22"/>
      <c r="X1155" s="22"/>
      <c r="Y1155" s="22"/>
      <c r="Z1155" s="22"/>
      <c r="AA1155" s="22"/>
      <c r="AB1155" s="22"/>
      <c r="AC1155" s="22"/>
      <c r="AD1155" s="22"/>
      <c r="AE1155" s="22"/>
      <c r="AF1155" s="22"/>
      <c r="AG1155" s="22"/>
      <c r="AH1155" s="22"/>
      <c r="AI1155" s="22"/>
      <c r="AJ1155" s="22"/>
      <c r="AK1155" s="22"/>
      <c r="AL1155" s="22"/>
      <c r="AM1155" s="22"/>
      <c r="AN1155" s="22"/>
      <c r="AO1155" s="22"/>
    </row>
    <row r="1156" ht="15.75" customHeight="1">
      <c r="A1156" s="22"/>
      <c r="B1156" s="22"/>
      <c r="C1156" s="22"/>
      <c r="D1156" s="22"/>
      <c r="E1156" s="22"/>
      <c r="F1156" s="22"/>
      <c r="G1156" s="130"/>
      <c r="H1156" s="22"/>
      <c r="I1156" s="22"/>
      <c r="J1156" s="22"/>
      <c r="K1156" s="22"/>
      <c r="L1156" s="22"/>
      <c r="M1156" s="22"/>
      <c r="N1156" s="22"/>
      <c r="O1156" s="22"/>
      <c r="P1156" s="22"/>
      <c r="Q1156" s="22"/>
      <c r="R1156" s="22"/>
      <c r="S1156" s="22"/>
      <c r="T1156" s="22"/>
      <c r="U1156" s="22"/>
      <c r="V1156" s="22"/>
      <c r="W1156" s="22"/>
      <c r="X1156" s="22"/>
      <c r="Y1156" s="22"/>
      <c r="Z1156" s="22"/>
      <c r="AA1156" s="22"/>
      <c r="AB1156" s="22"/>
      <c r="AC1156" s="22"/>
      <c r="AD1156" s="22"/>
      <c r="AE1156" s="22"/>
      <c r="AF1156" s="22"/>
      <c r="AG1156" s="22"/>
      <c r="AH1156" s="22"/>
      <c r="AI1156" s="22"/>
      <c r="AJ1156" s="22"/>
      <c r="AK1156" s="22"/>
      <c r="AL1156" s="22"/>
      <c r="AM1156" s="22"/>
      <c r="AN1156" s="22"/>
      <c r="AO1156" s="22"/>
    </row>
    <row r="1157" ht="15.75" customHeight="1">
      <c r="A1157" s="22"/>
      <c r="B1157" s="22"/>
      <c r="C1157" s="22"/>
      <c r="D1157" s="22"/>
      <c r="E1157" s="22"/>
      <c r="F1157" s="22"/>
      <c r="G1157" s="130"/>
      <c r="H1157" s="22"/>
      <c r="I1157" s="22"/>
      <c r="J1157" s="22"/>
      <c r="K1157" s="22"/>
      <c r="L1157" s="22"/>
      <c r="M1157" s="22"/>
      <c r="N1157" s="22"/>
      <c r="O1157" s="22"/>
      <c r="P1157" s="22"/>
      <c r="Q1157" s="22"/>
      <c r="R1157" s="22"/>
      <c r="S1157" s="22"/>
      <c r="T1157" s="22"/>
      <c r="U1157" s="22"/>
      <c r="V1157" s="22"/>
      <c r="W1157" s="22"/>
      <c r="X1157" s="22"/>
      <c r="Y1157" s="22"/>
      <c r="Z1157" s="22"/>
      <c r="AA1157" s="22"/>
      <c r="AB1157" s="22"/>
      <c r="AC1157" s="22"/>
      <c r="AD1157" s="22"/>
      <c r="AE1157" s="22"/>
      <c r="AF1157" s="22"/>
      <c r="AG1157" s="22"/>
      <c r="AH1157" s="22"/>
      <c r="AI1157" s="22"/>
      <c r="AJ1157" s="22"/>
      <c r="AK1157" s="22"/>
      <c r="AL1157" s="22"/>
      <c r="AM1157" s="22"/>
      <c r="AN1157" s="22"/>
      <c r="AO1157" s="22"/>
    </row>
    <row r="1158" ht="15.75" customHeight="1">
      <c r="A1158" s="22"/>
      <c r="B1158" s="22"/>
      <c r="C1158" s="22"/>
      <c r="D1158" s="22"/>
      <c r="E1158" s="22"/>
      <c r="F1158" s="22"/>
      <c r="G1158" s="130"/>
      <c r="H1158" s="22"/>
      <c r="I1158" s="22"/>
      <c r="J1158" s="22"/>
      <c r="K1158" s="22"/>
      <c r="L1158" s="22"/>
      <c r="M1158" s="22"/>
      <c r="N1158" s="22"/>
      <c r="O1158" s="22"/>
      <c r="P1158" s="22"/>
      <c r="Q1158" s="22"/>
      <c r="R1158" s="22"/>
      <c r="S1158" s="22"/>
      <c r="T1158" s="22"/>
      <c r="U1158" s="22"/>
      <c r="V1158" s="22"/>
      <c r="W1158" s="22"/>
      <c r="X1158" s="22"/>
      <c r="Y1158" s="22"/>
      <c r="Z1158" s="22"/>
      <c r="AA1158" s="22"/>
      <c r="AB1158" s="22"/>
      <c r="AC1158" s="22"/>
      <c r="AD1158" s="22"/>
      <c r="AE1158" s="22"/>
      <c r="AF1158" s="22"/>
      <c r="AG1158" s="22"/>
      <c r="AH1158" s="22"/>
      <c r="AI1158" s="22"/>
      <c r="AJ1158" s="22"/>
      <c r="AK1158" s="22"/>
      <c r="AL1158" s="22"/>
      <c r="AM1158" s="22"/>
      <c r="AN1158" s="22"/>
      <c r="AO1158" s="22"/>
    </row>
    <row r="1159" ht="15.75" customHeight="1">
      <c r="A1159" s="22"/>
      <c r="B1159" s="22"/>
      <c r="C1159" s="22"/>
      <c r="D1159" s="22"/>
      <c r="E1159" s="22"/>
      <c r="F1159" s="22"/>
      <c r="G1159" s="130"/>
      <c r="H1159" s="22"/>
      <c r="I1159" s="22"/>
      <c r="J1159" s="22"/>
      <c r="K1159" s="22"/>
      <c r="L1159" s="22"/>
      <c r="M1159" s="22"/>
      <c r="N1159" s="22"/>
      <c r="O1159" s="22"/>
      <c r="P1159" s="22"/>
      <c r="Q1159" s="22"/>
      <c r="R1159" s="22"/>
      <c r="S1159" s="22"/>
      <c r="T1159" s="22"/>
      <c r="U1159" s="22"/>
      <c r="V1159" s="22"/>
      <c r="W1159" s="22"/>
      <c r="X1159" s="22"/>
      <c r="Y1159" s="22"/>
      <c r="Z1159" s="22"/>
      <c r="AA1159" s="22"/>
      <c r="AB1159" s="22"/>
      <c r="AC1159" s="22"/>
      <c r="AD1159" s="22"/>
      <c r="AE1159" s="22"/>
      <c r="AF1159" s="22"/>
      <c r="AG1159" s="22"/>
      <c r="AH1159" s="22"/>
      <c r="AI1159" s="22"/>
      <c r="AJ1159" s="22"/>
      <c r="AK1159" s="22"/>
      <c r="AL1159" s="22"/>
      <c r="AM1159" s="22"/>
      <c r="AN1159" s="22"/>
      <c r="AO1159" s="22"/>
    </row>
    <row r="1160" ht="15.75" customHeight="1">
      <c r="A1160" s="22"/>
      <c r="B1160" s="22"/>
      <c r="C1160" s="22"/>
      <c r="D1160" s="22"/>
      <c r="E1160" s="22"/>
      <c r="F1160" s="22"/>
      <c r="G1160" s="130"/>
      <c r="H1160" s="22"/>
      <c r="I1160" s="22"/>
      <c r="J1160" s="22"/>
      <c r="K1160" s="22"/>
      <c r="L1160" s="22"/>
      <c r="M1160" s="22"/>
      <c r="N1160" s="22"/>
      <c r="O1160" s="22"/>
      <c r="P1160" s="22"/>
      <c r="Q1160" s="22"/>
      <c r="R1160" s="22"/>
      <c r="S1160" s="22"/>
      <c r="T1160" s="22"/>
      <c r="U1160" s="22"/>
      <c r="V1160" s="22"/>
      <c r="W1160" s="22"/>
      <c r="X1160" s="22"/>
      <c r="Y1160" s="22"/>
      <c r="Z1160" s="22"/>
      <c r="AA1160" s="22"/>
      <c r="AB1160" s="22"/>
      <c r="AC1160" s="22"/>
      <c r="AD1160" s="22"/>
      <c r="AE1160" s="22"/>
      <c r="AF1160" s="22"/>
      <c r="AG1160" s="22"/>
      <c r="AH1160" s="22"/>
      <c r="AI1160" s="22"/>
      <c r="AJ1160" s="22"/>
      <c r="AK1160" s="22"/>
      <c r="AL1160" s="22"/>
      <c r="AM1160" s="22"/>
      <c r="AN1160" s="22"/>
      <c r="AO1160" s="22"/>
    </row>
    <row r="1161" ht="15.75" customHeight="1">
      <c r="A1161" s="22"/>
      <c r="B1161" s="22"/>
      <c r="C1161" s="22"/>
      <c r="D1161" s="22"/>
      <c r="E1161" s="22"/>
      <c r="F1161" s="22"/>
      <c r="G1161" s="130"/>
      <c r="H1161" s="22"/>
      <c r="I1161" s="22"/>
      <c r="J1161" s="22"/>
      <c r="K1161" s="22"/>
      <c r="L1161" s="22"/>
      <c r="M1161" s="22"/>
      <c r="N1161" s="22"/>
      <c r="O1161" s="22"/>
      <c r="P1161" s="22"/>
      <c r="Q1161" s="22"/>
      <c r="R1161" s="22"/>
      <c r="S1161" s="22"/>
      <c r="T1161" s="22"/>
      <c r="U1161" s="22"/>
      <c r="V1161" s="22"/>
      <c r="W1161" s="22"/>
      <c r="X1161" s="22"/>
      <c r="Y1161" s="22"/>
      <c r="Z1161" s="22"/>
      <c r="AA1161" s="22"/>
      <c r="AB1161" s="22"/>
      <c r="AC1161" s="22"/>
      <c r="AD1161" s="22"/>
      <c r="AE1161" s="22"/>
      <c r="AF1161" s="22"/>
      <c r="AG1161" s="22"/>
      <c r="AH1161" s="22"/>
      <c r="AI1161" s="22"/>
      <c r="AJ1161" s="22"/>
      <c r="AK1161" s="22"/>
      <c r="AL1161" s="22"/>
      <c r="AM1161" s="22"/>
      <c r="AN1161" s="22"/>
      <c r="AO1161" s="22"/>
    </row>
    <row r="1162" ht="15.75" customHeight="1">
      <c r="A1162" s="22"/>
      <c r="B1162" s="22"/>
      <c r="C1162" s="22"/>
      <c r="D1162" s="22"/>
      <c r="E1162" s="22"/>
      <c r="F1162" s="22"/>
      <c r="G1162" s="130"/>
      <c r="H1162" s="22"/>
      <c r="I1162" s="22"/>
      <c r="J1162" s="22"/>
      <c r="K1162" s="22"/>
      <c r="L1162" s="22"/>
      <c r="M1162" s="22"/>
      <c r="N1162" s="22"/>
      <c r="O1162" s="22"/>
      <c r="P1162" s="22"/>
      <c r="Q1162" s="22"/>
      <c r="R1162" s="22"/>
      <c r="S1162" s="22"/>
      <c r="T1162" s="22"/>
      <c r="U1162" s="22"/>
      <c r="V1162" s="22"/>
      <c r="W1162" s="22"/>
      <c r="X1162" s="22"/>
      <c r="Y1162" s="22"/>
      <c r="Z1162" s="22"/>
      <c r="AA1162" s="22"/>
      <c r="AB1162" s="22"/>
      <c r="AC1162" s="22"/>
      <c r="AD1162" s="22"/>
      <c r="AE1162" s="22"/>
      <c r="AF1162" s="22"/>
      <c r="AG1162" s="22"/>
      <c r="AH1162" s="22"/>
      <c r="AI1162" s="22"/>
      <c r="AJ1162" s="22"/>
      <c r="AK1162" s="22"/>
      <c r="AL1162" s="22"/>
      <c r="AM1162" s="22"/>
      <c r="AN1162" s="22"/>
      <c r="AO1162" s="22"/>
    </row>
    <row r="1163" ht="15.75" customHeight="1">
      <c r="A1163" s="22"/>
      <c r="B1163" s="22"/>
      <c r="C1163" s="22"/>
      <c r="D1163" s="22"/>
      <c r="E1163" s="22"/>
      <c r="F1163" s="22"/>
      <c r="G1163" s="130"/>
      <c r="H1163" s="22"/>
      <c r="I1163" s="22"/>
      <c r="J1163" s="22"/>
      <c r="K1163" s="22"/>
      <c r="L1163" s="22"/>
      <c r="M1163" s="22"/>
      <c r="N1163" s="22"/>
      <c r="O1163" s="22"/>
      <c r="P1163" s="22"/>
      <c r="Q1163" s="22"/>
      <c r="R1163" s="22"/>
      <c r="S1163" s="22"/>
      <c r="T1163" s="22"/>
      <c r="U1163" s="22"/>
      <c r="V1163" s="22"/>
      <c r="W1163" s="22"/>
      <c r="X1163" s="22"/>
      <c r="Y1163" s="22"/>
      <c r="Z1163" s="22"/>
      <c r="AA1163" s="22"/>
      <c r="AB1163" s="22"/>
      <c r="AC1163" s="22"/>
      <c r="AD1163" s="22"/>
      <c r="AE1163" s="22"/>
      <c r="AF1163" s="22"/>
      <c r="AG1163" s="22"/>
      <c r="AH1163" s="22"/>
      <c r="AI1163" s="22"/>
      <c r="AJ1163" s="22"/>
      <c r="AK1163" s="22"/>
      <c r="AL1163" s="22"/>
      <c r="AM1163" s="22"/>
      <c r="AN1163" s="22"/>
      <c r="AO1163" s="22"/>
    </row>
    <row r="1164" ht="15.75" customHeight="1">
      <c r="A1164" s="22"/>
      <c r="B1164" s="22"/>
      <c r="C1164" s="22"/>
      <c r="D1164" s="22"/>
      <c r="E1164" s="22"/>
      <c r="F1164" s="22"/>
      <c r="G1164" s="130"/>
      <c r="H1164" s="22"/>
      <c r="I1164" s="22"/>
      <c r="J1164" s="22"/>
      <c r="K1164" s="22"/>
      <c r="L1164" s="22"/>
      <c r="M1164" s="22"/>
      <c r="N1164" s="22"/>
      <c r="O1164" s="22"/>
      <c r="P1164" s="22"/>
      <c r="Q1164" s="22"/>
      <c r="R1164" s="22"/>
      <c r="S1164" s="22"/>
      <c r="T1164" s="22"/>
      <c r="U1164" s="22"/>
      <c r="V1164" s="22"/>
      <c r="W1164" s="22"/>
      <c r="X1164" s="22"/>
      <c r="Y1164" s="22"/>
      <c r="Z1164" s="22"/>
      <c r="AA1164" s="22"/>
      <c r="AB1164" s="22"/>
      <c r="AC1164" s="22"/>
      <c r="AD1164" s="22"/>
      <c r="AE1164" s="22"/>
      <c r="AF1164" s="22"/>
      <c r="AG1164" s="22"/>
      <c r="AH1164" s="22"/>
      <c r="AI1164" s="22"/>
      <c r="AJ1164" s="22"/>
      <c r="AK1164" s="22"/>
      <c r="AL1164" s="22"/>
      <c r="AM1164" s="22"/>
      <c r="AN1164" s="22"/>
      <c r="AO1164" s="22"/>
    </row>
    <row r="1165" ht="15.75" customHeight="1">
      <c r="A1165" s="22"/>
      <c r="B1165" s="22"/>
      <c r="C1165" s="22"/>
      <c r="D1165" s="22"/>
      <c r="E1165" s="22"/>
      <c r="F1165" s="22"/>
      <c r="G1165" s="130"/>
      <c r="H1165" s="22"/>
      <c r="I1165" s="22"/>
      <c r="J1165" s="22"/>
      <c r="K1165" s="22"/>
      <c r="L1165" s="22"/>
      <c r="M1165" s="22"/>
      <c r="N1165" s="22"/>
      <c r="O1165" s="22"/>
      <c r="P1165" s="22"/>
      <c r="Q1165" s="22"/>
      <c r="R1165" s="22"/>
      <c r="S1165" s="22"/>
      <c r="T1165" s="22"/>
      <c r="U1165" s="22"/>
      <c r="V1165" s="22"/>
      <c r="W1165" s="22"/>
      <c r="X1165" s="22"/>
      <c r="Y1165" s="22"/>
      <c r="Z1165" s="22"/>
      <c r="AA1165" s="22"/>
      <c r="AB1165" s="22"/>
      <c r="AC1165" s="22"/>
      <c r="AD1165" s="22"/>
      <c r="AE1165" s="22"/>
      <c r="AF1165" s="22"/>
      <c r="AG1165" s="22"/>
      <c r="AH1165" s="22"/>
      <c r="AI1165" s="22"/>
      <c r="AJ1165" s="22"/>
      <c r="AK1165" s="22"/>
      <c r="AL1165" s="22"/>
      <c r="AM1165" s="22"/>
      <c r="AN1165" s="22"/>
      <c r="AO1165" s="22"/>
    </row>
    <row r="1166" ht="15.75" customHeight="1">
      <c r="A1166" s="22"/>
      <c r="B1166" s="22"/>
      <c r="C1166" s="22"/>
      <c r="D1166" s="22"/>
      <c r="E1166" s="22"/>
      <c r="F1166" s="22"/>
      <c r="G1166" s="130"/>
      <c r="H1166" s="22"/>
      <c r="I1166" s="22"/>
      <c r="J1166" s="22"/>
      <c r="K1166" s="22"/>
      <c r="L1166" s="22"/>
      <c r="M1166" s="22"/>
      <c r="N1166" s="22"/>
      <c r="O1166" s="22"/>
      <c r="P1166" s="22"/>
      <c r="Q1166" s="22"/>
      <c r="R1166" s="22"/>
      <c r="S1166" s="22"/>
      <c r="T1166" s="22"/>
      <c r="U1166" s="22"/>
      <c r="V1166" s="22"/>
      <c r="W1166" s="22"/>
      <c r="X1166" s="22"/>
      <c r="Y1166" s="22"/>
      <c r="Z1166" s="22"/>
      <c r="AA1166" s="22"/>
      <c r="AB1166" s="22"/>
      <c r="AC1166" s="22"/>
      <c r="AD1166" s="22"/>
      <c r="AE1166" s="22"/>
      <c r="AF1166" s="22"/>
      <c r="AG1166" s="22"/>
      <c r="AH1166" s="22"/>
      <c r="AI1166" s="22"/>
      <c r="AJ1166" s="22"/>
      <c r="AK1166" s="22"/>
      <c r="AL1166" s="22"/>
      <c r="AM1166" s="22"/>
      <c r="AN1166" s="22"/>
      <c r="AO1166" s="22"/>
    </row>
    <row r="1167" ht="15.75" customHeight="1">
      <c r="A1167" s="22"/>
      <c r="B1167" s="22"/>
      <c r="C1167" s="22"/>
      <c r="D1167" s="22"/>
      <c r="E1167" s="22"/>
      <c r="F1167" s="22"/>
      <c r="G1167" s="130"/>
      <c r="H1167" s="22"/>
      <c r="I1167" s="22"/>
      <c r="J1167" s="22"/>
      <c r="K1167" s="22"/>
      <c r="L1167" s="22"/>
      <c r="M1167" s="22"/>
      <c r="N1167" s="22"/>
      <c r="O1167" s="22"/>
      <c r="P1167" s="22"/>
      <c r="Q1167" s="22"/>
      <c r="R1167" s="22"/>
      <c r="S1167" s="22"/>
      <c r="T1167" s="22"/>
      <c r="U1167" s="22"/>
      <c r="V1167" s="22"/>
      <c r="W1167" s="22"/>
      <c r="X1167" s="22"/>
      <c r="Y1167" s="22"/>
      <c r="Z1167" s="22"/>
      <c r="AA1167" s="22"/>
      <c r="AB1167" s="22"/>
      <c r="AC1167" s="22"/>
      <c r="AD1167" s="22"/>
      <c r="AE1167" s="22"/>
      <c r="AF1167" s="22"/>
      <c r="AG1167" s="22"/>
      <c r="AH1167" s="22"/>
      <c r="AI1167" s="22"/>
      <c r="AJ1167" s="22"/>
      <c r="AK1167" s="22"/>
      <c r="AL1167" s="22"/>
      <c r="AM1167" s="22"/>
      <c r="AN1167" s="22"/>
      <c r="AO1167" s="22"/>
    </row>
    <row r="1168" ht="15.75" customHeight="1">
      <c r="A1168" s="22"/>
      <c r="B1168" s="22"/>
      <c r="C1168" s="22"/>
      <c r="D1168" s="22"/>
      <c r="E1168" s="22"/>
      <c r="F1168" s="22"/>
      <c r="G1168" s="130"/>
      <c r="H1168" s="22"/>
      <c r="I1168" s="22"/>
      <c r="J1168" s="22"/>
      <c r="K1168" s="22"/>
      <c r="L1168" s="22"/>
      <c r="M1168" s="22"/>
      <c r="N1168" s="22"/>
      <c r="O1168" s="22"/>
      <c r="P1168" s="22"/>
      <c r="Q1168" s="22"/>
      <c r="R1168" s="22"/>
      <c r="S1168" s="22"/>
      <c r="T1168" s="22"/>
      <c r="U1168" s="22"/>
      <c r="V1168" s="22"/>
      <c r="W1168" s="22"/>
      <c r="X1168" s="22"/>
      <c r="Y1168" s="22"/>
      <c r="Z1168" s="22"/>
      <c r="AA1168" s="22"/>
      <c r="AB1168" s="22"/>
      <c r="AC1168" s="22"/>
      <c r="AD1168" s="22"/>
      <c r="AE1168" s="22"/>
      <c r="AF1168" s="22"/>
      <c r="AG1168" s="22"/>
      <c r="AH1168" s="22"/>
      <c r="AI1168" s="22"/>
      <c r="AJ1168" s="22"/>
      <c r="AK1168" s="22"/>
      <c r="AL1168" s="22"/>
      <c r="AM1168" s="22"/>
      <c r="AN1168" s="22"/>
      <c r="AO1168" s="22"/>
    </row>
    <row r="1169" ht="15.75" customHeight="1">
      <c r="A1169" s="22"/>
      <c r="B1169" s="22"/>
      <c r="C1169" s="22"/>
      <c r="D1169" s="22"/>
      <c r="E1169" s="22"/>
      <c r="F1169" s="22"/>
      <c r="G1169" s="130"/>
      <c r="H1169" s="22"/>
      <c r="I1169" s="22"/>
      <c r="J1169" s="22"/>
      <c r="K1169" s="22"/>
      <c r="L1169" s="22"/>
      <c r="M1169" s="22"/>
      <c r="N1169" s="22"/>
      <c r="O1169" s="22"/>
      <c r="P1169" s="22"/>
      <c r="Q1169" s="22"/>
      <c r="R1169" s="22"/>
      <c r="S1169" s="22"/>
      <c r="T1169" s="22"/>
      <c r="U1169" s="22"/>
      <c r="V1169" s="22"/>
      <c r="W1169" s="22"/>
      <c r="X1169" s="22"/>
      <c r="Y1169" s="22"/>
      <c r="Z1169" s="22"/>
      <c r="AA1169" s="22"/>
      <c r="AB1169" s="22"/>
      <c r="AC1169" s="22"/>
      <c r="AD1169" s="22"/>
      <c r="AE1169" s="22"/>
      <c r="AF1169" s="22"/>
      <c r="AG1169" s="22"/>
      <c r="AH1169" s="22"/>
      <c r="AI1169" s="22"/>
      <c r="AJ1169" s="22"/>
      <c r="AK1169" s="22"/>
      <c r="AL1169" s="22"/>
      <c r="AM1169" s="22"/>
      <c r="AN1169" s="22"/>
      <c r="AO1169" s="22"/>
    </row>
    <row r="1170" ht="15.75" customHeight="1">
      <c r="A1170" s="22"/>
      <c r="B1170" s="22"/>
      <c r="C1170" s="22"/>
      <c r="D1170" s="22"/>
      <c r="E1170" s="22"/>
      <c r="F1170" s="22"/>
      <c r="G1170" s="130"/>
      <c r="H1170" s="22"/>
      <c r="I1170" s="22"/>
      <c r="J1170" s="22"/>
      <c r="K1170" s="22"/>
      <c r="L1170" s="22"/>
      <c r="M1170" s="22"/>
      <c r="N1170" s="22"/>
      <c r="O1170" s="22"/>
      <c r="P1170" s="22"/>
      <c r="Q1170" s="22"/>
      <c r="R1170" s="22"/>
      <c r="S1170" s="22"/>
      <c r="T1170" s="22"/>
      <c r="U1170" s="22"/>
      <c r="V1170" s="22"/>
      <c r="W1170" s="22"/>
      <c r="X1170" s="22"/>
      <c r="Y1170" s="22"/>
      <c r="Z1170" s="22"/>
      <c r="AA1170" s="22"/>
      <c r="AB1170" s="22"/>
      <c r="AC1170" s="22"/>
      <c r="AD1170" s="22"/>
      <c r="AE1170" s="22"/>
      <c r="AF1170" s="22"/>
      <c r="AG1170" s="22"/>
      <c r="AH1170" s="22"/>
      <c r="AI1170" s="22"/>
      <c r="AJ1170" s="22"/>
      <c r="AK1170" s="22"/>
      <c r="AL1170" s="22"/>
      <c r="AM1170" s="22"/>
      <c r="AN1170" s="22"/>
      <c r="AO1170" s="22"/>
    </row>
    <row r="1171" ht="15.75" customHeight="1">
      <c r="A1171" s="22"/>
      <c r="B1171" s="22"/>
      <c r="C1171" s="22"/>
      <c r="D1171" s="22"/>
      <c r="E1171" s="22"/>
      <c r="F1171" s="22"/>
      <c r="G1171" s="130"/>
      <c r="H1171" s="22"/>
      <c r="I1171" s="22"/>
      <c r="J1171" s="22"/>
      <c r="K1171" s="22"/>
      <c r="L1171" s="22"/>
      <c r="M1171" s="22"/>
      <c r="N1171" s="22"/>
      <c r="O1171" s="22"/>
      <c r="P1171" s="22"/>
      <c r="Q1171" s="22"/>
      <c r="R1171" s="22"/>
      <c r="S1171" s="22"/>
      <c r="T1171" s="22"/>
      <c r="U1171" s="22"/>
      <c r="V1171" s="22"/>
      <c r="W1171" s="22"/>
      <c r="X1171" s="22"/>
      <c r="Y1171" s="22"/>
      <c r="Z1171" s="22"/>
      <c r="AA1171" s="22"/>
      <c r="AB1171" s="22"/>
      <c r="AC1171" s="22"/>
      <c r="AD1171" s="22"/>
      <c r="AE1171" s="22"/>
      <c r="AF1171" s="22"/>
      <c r="AG1171" s="22"/>
      <c r="AH1171" s="22"/>
      <c r="AI1171" s="22"/>
      <c r="AJ1171" s="22"/>
      <c r="AK1171" s="22"/>
      <c r="AL1171" s="22"/>
      <c r="AM1171" s="22"/>
      <c r="AN1171" s="22"/>
      <c r="AO1171" s="22"/>
    </row>
    <row r="1172" ht="15.75" customHeight="1">
      <c r="A1172" s="22"/>
      <c r="B1172" s="22"/>
      <c r="C1172" s="22"/>
      <c r="D1172" s="22"/>
      <c r="E1172" s="22"/>
      <c r="F1172" s="22"/>
      <c r="G1172" s="130"/>
      <c r="H1172" s="22"/>
      <c r="I1172" s="22"/>
      <c r="J1172" s="22"/>
      <c r="K1172" s="22"/>
      <c r="L1172" s="22"/>
      <c r="M1172" s="22"/>
      <c r="N1172" s="22"/>
      <c r="O1172" s="22"/>
      <c r="P1172" s="22"/>
      <c r="Q1172" s="22"/>
      <c r="R1172" s="22"/>
      <c r="S1172" s="22"/>
      <c r="T1172" s="22"/>
      <c r="U1172" s="22"/>
      <c r="V1172" s="22"/>
      <c r="W1172" s="22"/>
      <c r="X1172" s="22"/>
      <c r="Y1172" s="22"/>
      <c r="Z1172" s="22"/>
      <c r="AA1172" s="22"/>
      <c r="AB1172" s="22"/>
      <c r="AC1172" s="22"/>
      <c r="AD1172" s="22"/>
      <c r="AE1172" s="22"/>
      <c r="AF1172" s="22"/>
      <c r="AG1172" s="22"/>
      <c r="AH1172" s="22"/>
      <c r="AI1172" s="22"/>
      <c r="AJ1172" s="22"/>
      <c r="AK1172" s="22"/>
      <c r="AL1172" s="22"/>
      <c r="AM1172" s="22"/>
      <c r="AN1172" s="22"/>
      <c r="AO1172" s="22"/>
    </row>
    <row r="1173" ht="15.75" customHeight="1">
      <c r="A1173" s="22"/>
      <c r="B1173" s="22"/>
      <c r="C1173" s="22"/>
      <c r="D1173" s="22"/>
      <c r="E1173" s="22"/>
      <c r="F1173" s="22"/>
      <c r="G1173" s="130"/>
      <c r="H1173" s="22"/>
      <c r="I1173" s="22"/>
      <c r="J1173" s="22"/>
      <c r="K1173" s="22"/>
      <c r="L1173" s="22"/>
      <c r="M1173" s="22"/>
      <c r="N1173" s="22"/>
      <c r="O1173" s="22"/>
      <c r="P1173" s="22"/>
      <c r="Q1173" s="22"/>
      <c r="R1173" s="22"/>
      <c r="S1173" s="22"/>
      <c r="T1173" s="22"/>
      <c r="U1173" s="22"/>
      <c r="V1173" s="22"/>
      <c r="W1173" s="22"/>
      <c r="X1173" s="22"/>
      <c r="Y1173" s="22"/>
      <c r="Z1173" s="22"/>
      <c r="AA1173" s="22"/>
      <c r="AB1173" s="22"/>
      <c r="AC1173" s="22"/>
      <c r="AD1173" s="22"/>
      <c r="AE1173" s="22"/>
      <c r="AF1173" s="22"/>
      <c r="AG1173" s="22"/>
      <c r="AH1173" s="22"/>
      <c r="AI1173" s="22"/>
      <c r="AJ1173" s="22"/>
      <c r="AK1173" s="22"/>
      <c r="AL1173" s="22"/>
      <c r="AM1173" s="22"/>
      <c r="AN1173" s="22"/>
      <c r="AO1173" s="22"/>
    </row>
    <row r="1174" ht="15.75" customHeight="1">
      <c r="A1174" s="22"/>
      <c r="B1174" s="22"/>
      <c r="C1174" s="22"/>
      <c r="D1174" s="22"/>
      <c r="E1174" s="22"/>
      <c r="F1174" s="22"/>
      <c r="G1174" s="130"/>
      <c r="H1174" s="22"/>
      <c r="I1174" s="22"/>
      <c r="J1174" s="22"/>
      <c r="K1174" s="22"/>
      <c r="L1174" s="22"/>
      <c r="M1174" s="22"/>
      <c r="N1174" s="22"/>
      <c r="O1174" s="22"/>
      <c r="P1174" s="22"/>
      <c r="Q1174" s="22"/>
      <c r="R1174" s="22"/>
      <c r="S1174" s="22"/>
      <c r="T1174" s="22"/>
      <c r="U1174" s="22"/>
      <c r="V1174" s="22"/>
      <c r="W1174" s="22"/>
      <c r="X1174" s="22"/>
      <c r="Y1174" s="22"/>
      <c r="Z1174" s="22"/>
      <c r="AA1174" s="22"/>
      <c r="AB1174" s="22"/>
      <c r="AC1174" s="22"/>
      <c r="AD1174" s="22"/>
      <c r="AE1174" s="22"/>
      <c r="AF1174" s="22"/>
      <c r="AG1174" s="22"/>
      <c r="AH1174" s="22"/>
      <c r="AI1174" s="22"/>
      <c r="AJ1174" s="22"/>
      <c r="AK1174" s="22"/>
      <c r="AL1174" s="22"/>
      <c r="AM1174" s="22"/>
      <c r="AN1174" s="22"/>
      <c r="AO1174" s="22"/>
    </row>
    <row r="1175" ht="15.75" customHeight="1">
      <c r="A1175" s="22"/>
      <c r="B1175" s="22"/>
      <c r="C1175" s="22"/>
      <c r="D1175" s="22"/>
      <c r="E1175" s="22"/>
      <c r="F1175" s="22"/>
      <c r="G1175" s="130"/>
      <c r="H1175" s="22"/>
      <c r="I1175" s="22"/>
      <c r="J1175" s="22"/>
      <c r="K1175" s="22"/>
      <c r="L1175" s="22"/>
      <c r="M1175" s="22"/>
      <c r="N1175" s="22"/>
      <c r="O1175" s="22"/>
      <c r="P1175" s="22"/>
      <c r="Q1175" s="22"/>
      <c r="R1175" s="22"/>
      <c r="S1175" s="22"/>
      <c r="T1175" s="22"/>
      <c r="U1175" s="22"/>
      <c r="V1175" s="22"/>
      <c r="W1175" s="22"/>
      <c r="X1175" s="22"/>
      <c r="Y1175" s="22"/>
      <c r="Z1175" s="22"/>
      <c r="AA1175" s="22"/>
      <c r="AB1175" s="22"/>
      <c r="AC1175" s="22"/>
      <c r="AD1175" s="22"/>
      <c r="AE1175" s="22"/>
      <c r="AF1175" s="22"/>
      <c r="AG1175" s="22"/>
      <c r="AH1175" s="22"/>
      <c r="AI1175" s="22"/>
      <c r="AJ1175" s="22"/>
      <c r="AK1175" s="22"/>
      <c r="AL1175" s="22"/>
      <c r="AM1175" s="22"/>
      <c r="AN1175" s="22"/>
      <c r="AO1175" s="22"/>
    </row>
    <row r="1176" ht="15.75" customHeight="1">
      <c r="A1176" s="22"/>
      <c r="B1176" s="22"/>
      <c r="C1176" s="22"/>
      <c r="D1176" s="22"/>
      <c r="E1176" s="22"/>
      <c r="F1176" s="22"/>
      <c r="G1176" s="130"/>
      <c r="H1176" s="22"/>
      <c r="I1176" s="22"/>
      <c r="J1176" s="22"/>
      <c r="K1176" s="22"/>
      <c r="L1176" s="22"/>
      <c r="M1176" s="22"/>
      <c r="N1176" s="22"/>
      <c r="O1176" s="22"/>
      <c r="P1176" s="22"/>
      <c r="Q1176" s="22"/>
      <c r="R1176" s="22"/>
      <c r="S1176" s="22"/>
      <c r="T1176" s="22"/>
      <c r="U1176" s="22"/>
      <c r="V1176" s="22"/>
      <c r="W1176" s="22"/>
      <c r="X1176" s="22"/>
      <c r="Y1176" s="22"/>
      <c r="Z1176" s="22"/>
      <c r="AA1176" s="22"/>
      <c r="AB1176" s="22"/>
      <c r="AC1176" s="22"/>
      <c r="AD1176" s="22"/>
      <c r="AE1176" s="22"/>
      <c r="AF1176" s="22"/>
      <c r="AG1176" s="22"/>
      <c r="AH1176" s="22"/>
      <c r="AI1176" s="22"/>
      <c r="AJ1176" s="22"/>
      <c r="AK1176" s="22"/>
      <c r="AL1176" s="22"/>
      <c r="AM1176" s="22"/>
      <c r="AN1176" s="22"/>
      <c r="AO1176" s="22"/>
    </row>
    <row r="1177" ht="15.75" customHeight="1">
      <c r="A1177" s="22"/>
      <c r="B1177" s="22"/>
      <c r="C1177" s="22"/>
      <c r="D1177" s="22"/>
      <c r="E1177" s="22"/>
      <c r="F1177" s="22"/>
      <c r="G1177" s="130"/>
      <c r="H1177" s="22"/>
      <c r="I1177" s="22"/>
      <c r="J1177" s="22"/>
      <c r="K1177" s="22"/>
      <c r="L1177" s="22"/>
      <c r="M1177" s="22"/>
      <c r="N1177" s="22"/>
      <c r="O1177" s="22"/>
      <c r="P1177" s="22"/>
      <c r="Q1177" s="22"/>
      <c r="R1177" s="22"/>
      <c r="S1177" s="22"/>
      <c r="T1177" s="22"/>
      <c r="U1177" s="22"/>
      <c r="V1177" s="22"/>
      <c r="W1177" s="22"/>
      <c r="X1177" s="22"/>
      <c r="Y1177" s="22"/>
      <c r="Z1177" s="22"/>
      <c r="AA1177" s="22"/>
      <c r="AB1177" s="22"/>
      <c r="AC1177" s="22"/>
      <c r="AD1177" s="22"/>
      <c r="AE1177" s="22"/>
      <c r="AF1177" s="22"/>
      <c r="AG1177" s="22"/>
      <c r="AH1177" s="22"/>
      <c r="AI1177" s="22"/>
      <c r="AJ1177" s="22"/>
      <c r="AK1177" s="22"/>
      <c r="AL1177" s="22"/>
      <c r="AM1177" s="22"/>
      <c r="AN1177" s="22"/>
      <c r="AO1177" s="22"/>
    </row>
    <row r="1178" ht="15.75" customHeight="1">
      <c r="A1178" s="22"/>
      <c r="B1178" s="22"/>
      <c r="C1178" s="22"/>
      <c r="D1178" s="22"/>
      <c r="E1178" s="22"/>
      <c r="F1178" s="22"/>
      <c r="G1178" s="130"/>
      <c r="H1178" s="22"/>
      <c r="I1178" s="22"/>
      <c r="J1178" s="22"/>
      <c r="K1178" s="22"/>
      <c r="L1178" s="22"/>
      <c r="M1178" s="22"/>
      <c r="N1178" s="22"/>
      <c r="O1178" s="22"/>
      <c r="P1178" s="22"/>
      <c r="Q1178" s="22"/>
      <c r="R1178" s="22"/>
      <c r="S1178" s="22"/>
      <c r="T1178" s="22"/>
      <c r="U1178" s="22"/>
      <c r="V1178" s="22"/>
      <c r="W1178" s="22"/>
      <c r="X1178" s="22"/>
      <c r="Y1178" s="22"/>
      <c r="Z1178" s="22"/>
      <c r="AA1178" s="22"/>
      <c r="AB1178" s="22"/>
      <c r="AC1178" s="22"/>
      <c r="AD1178" s="22"/>
      <c r="AE1178" s="22"/>
      <c r="AF1178" s="22"/>
      <c r="AG1178" s="22"/>
      <c r="AH1178" s="22"/>
      <c r="AI1178" s="22"/>
      <c r="AJ1178" s="22"/>
      <c r="AK1178" s="22"/>
      <c r="AL1178" s="22"/>
      <c r="AM1178" s="22"/>
      <c r="AN1178" s="22"/>
      <c r="AO1178" s="22"/>
    </row>
    <row r="1179" ht="15.75" customHeight="1">
      <c r="A1179" s="22"/>
      <c r="B1179" s="22"/>
      <c r="C1179" s="22"/>
      <c r="D1179" s="22"/>
      <c r="E1179" s="22"/>
      <c r="F1179" s="22"/>
      <c r="G1179" s="130"/>
      <c r="H1179" s="22"/>
      <c r="I1179" s="22"/>
      <c r="J1179" s="22"/>
      <c r="K1179" s="22"/>
      <c r="L1179" s="22"/>
      <c r="M1179" s="22"/>
      <c r="N1179" s="22"/>
      <c r="O1179" s="22"/>
      <c r="P1179" s="22"/>
      <c r="Q1179" s="22"/>
      <c r="R1179" s="22"/>
      <c r="S1179" s="22"/>
      <c r="T1179" s="22"/>
      <c r="U1179" s="22"/>
      <c r="V1179" s="22"/>
      <c r="W1179" s="22"/>
      <c r="X1179" s="22"/>
      <c r="Y1179" s="22"/>
      <c r="Z1179" s="22"/>
      <c r="AA1179" s="22"/>
      <c r="AB1179" s="22"/>
      <c r="AC1179" s="22"/>
      <c r="AD1179" s="22"/>
      <c r="AE1179" s="22"/>
      <c r="AF1179" s="22"/>
      <c r="AG1179" s="22"/>
      <c r="AH1179" s="22"/>
      <c r="AI1179" s="22"/>
      <c r="AJ1179" s="22"/>
      <c r="AK1179" s="22"/>
      <c r="AL1179" s="22"/>
      <c r="AM1179" s="22"/>
      <c r="AN1179" s="22"/>
      <c r="AO1179" s="22"/>
    </row>
    <row r="1180" ht="15.75" customHeight="1">
      <c r="A1180" s="22"/>
      <c r="B1180" s="22"/>
      <c r="C1180" s="22"/>
      <c r="D1180" s="22"/>
      <c r="E1180" s="22"/>
      <c r="F1180" s="22"/>
      <c r="G1180" s="130"/>
      <c r="H1180" s="22"/>
      <c r="I1180" s="22"/>
      <c r="J1180" s="22"/>
      <c r="K1180" s="22"/>
      <c r="L1180" s="22"/>
      <c r="M1180" s="22"/>
      <c r="N1180" s="22"/>
      <c r="O1180" s="22"/>
      <c r="P1180" s="22"/>
      <c r="Q1180" s="22"/>
      <c r="R1180" s="22"/>
      <c r="S1180" s="22"/>
      <c r="T1180" s="22"/>
      <c r="U1180" s="22"/>
      <c r="V1180" s="22"/>
      <c r="W1180" s="22"/>
      <c r="X1180" s="22"/>
      <c r="Y1180" s="22"/>
      <c r="Z1180" s="22"/>
      <c r="AA1180" s="22"/>
      <c r="AB1180" s="22"/>
      <c r="AC1180" s="22"/>
      <c r="AD1180" s="22"/>
      <c r="AE1180" s="22"/>
      <c r="AF1180" s="22"/>
      <c r="AG1180" s="22"/>
      <c r="AH1180" s="22"/>
      <c r="AI1180" s="22"/>
      <c r="AJ1180" s="22"/>
      <c r="AK1180" s="22"/>
      <c r="AL1180" s="22"/>
      <c r="AM1180" s="22"/>
      <c r="AN1180" s="22"/>
      <c r="AO1180" s="22"/>
    </row>
    <row r="1181" ht="15.75" customHeight="1">
      <c r="A1181" s="22"/>
      <c r="B1181" s="22"/>
      <c r="C1181" s="22"/>
      <c r="D1181" s="22"/>
      <c r="E1181" s="22"/>
      <c r="F1181" s="22"/>
      <c r="G1181" s="130"/>
      <c r="H1181" s="22"/>
      <c r="I1181" s="22"/>
      <c r="J1181" s="22"/>
      <c r="K1181" s="22"/>
      <c r="L1181" s="22"/>
      <c r="M1181" s="22"/>
      <c r="N1181" s="22"/>
      <c r="O1181" s="22"/>
      <c r="P1181" s="22"/>
      <c r="Q1181" s="22"/>
      <c r="R1181" s="22"/>
      <c r="S1181" s="22"/>
      <c r="T1181" s="22"/>
      <c r="U1181" s="22"/>
      <c r="V1181" s="22"/>
      <c r="W1181" s="22"/>
      <c r="X1181" s="22"/>
      <c r="Y1181" s="22"/>
      <c r="Z1181" s="22"/>
      <c r="AA1181" s="22"/>
      <c r="AB1181" s="22"/>
      <c r="AC1181" s="22"/>
      <c r="AD1181" s="22"/>
      <c r="AE1181" s="22"/>
      <c r="AF1181" s="22"/>
      <c r="AG1181" s="22"/>
      <c r="AH1181" s="22"/>
      <c r="AI1181" s="22"/>
      <c r="AJ1181" s="22"/>
      <c r="AK1181" s="22"/>
      <c r="AL1181" s="22"/>
      <c r="AM1181" s="22"/>
      <c r="AN1181" s="22"/>
      <c r="AO1181" s="22"/>
    </row>
    <row r="1182" ht="15.75" customHeight="1">
      <c r="A1182" s="22"/>
      <c r="B1182" s="22"/>
      <c r="C1182" s="22"/>
      <c r="D1182" s="22"/>
      <c r="E1182" s="22"/>
      <c r="F1182" s="22"/>
      <c r="G1182" s="130"/>
      <c r="H1182" s="22"/>
      <c r="I1182" s="22"/>
      <c r="J1182" s="22"/>
      <c r="K1182" s="22"/>
      <c r="L1182" s="22"/>
      <c r="M1182" s="22"/>
      <c r="N1182" s="22"/>
      <c r="O1182" s="22"/>
      <c r="P1182" s="22"/>
      <c r="Q1182" s="22"/>
      <c r="R1182" s="22"/>
      <c r="S1182" s="22"/>
      <c r="T1182" s="22"/>
      <c r="U1182" s="22"/>
      <c r="V1182" s="22"/>
      <c r="W1182" s="22"/>
      <c r="X1182" s="22"/>
      <c r="Y1182" s="22"/>
      <c r="Z1182" s="22"/>
      <c r="AA1182" s="22"/>
      <c r="AB1182" s="22"/>
      <c r="AC1182" s="22"/>
      <c r="AD1182" s="22"/>
      <c r="AE1182" s="22"/>
      <c r="AF1182" s="22"/>
      <c r="AG1182" s="22"/>
      <c r="AH1182" s="22"/>
      <c r="AI1182" s="22"/>
      <c r="AJ1182" s="22"/>
      <c r="AK1182" s="22"/>
      <c r="AL1182" s="22"/>
      <c r="AM1182" s="22"/>
      <c r="AN1182" s="22"/>
      <c r="AO1182" s="22"/>
    </row>
    <row r="1183" ht="15.75" customHeight="1">
      <c r="A1183" s="22"/>
      <c r="B1183" s="22"/>
      <c r="C1183" s="22"/>
      <c r="D1183" s="22"/>
      <c r="E1183" s="22"/>
      <c r="F1183" s="22"/>
      <c r="G1183" s="130"/>
      <c r="H1183" s="22"/>
      <c r="I1183" s="22"/>
      <c r="J1183" s="22"/>
      <c r="K1183" s="22"/>
      <c r="L1183" s="22"/>
      <c r="M1183" s="22"/>
      <c r="N1183" s="22"/>
      <c r="O1183" s="22"/>
      <c r="P1183" s="22"/>
      <c r="Q1183" s="22"/>
      <c r="R1183" s="22"/>
      <c r="S1183" s="22"/>
      <c r="T1183" s="22"/>
      <c r="U1183" s="22"/>
      <c r="V1183" s="22"/>
      <c r="W1183" s="22"/>
      <c r="X1183" s="22"/>
      <c r="Y1183" s="22"/>
      <c r="Z1183" s="22"/>
      <c r="AA1183" s="22"/>
      <c r="AB1183" s="22"/>
      <c r="AC1183" s="22"/>
      <c r="AD1183" s="22"/>
      <c r="AE1183" s="22"/>
      <c r="AF1183" s="22"/>
      <c r="AG1183" s="22"/>
      <c r="AH1183" s="22"/>
      <c r="AI1183" s="22"/>
      <c r="AJ1183" s="22"/>
      <c r="AK1183" s="22"/>
      <c r="AL1183" s="22"/>
      <c r="AM1183" s="22"/>
      <c r="AN1183" s="22"/>
      <c r="AO1183" s="22"/>
    </row>
    <row r="1184" ht="15.75" customHeight="1">
      <c r="A1184" s="22"/>
      <c r="B1184" s="22"/>
      <c r="C1184" s="22"/>
      <c r="D1184" s="22"/>
      <c r="E1184" s="22"/>
      <c r="F1184" s="22"/>
      <c r="G1184" s="130"/>
      <c r="H1184" s="22"/>
      <c r="I1184" s="22"/>
      <c r="J1184" s="22"/>
      <c r="K1184" s="22"/>
      <c r="L1184" s="22"/>
      <c r="M1184" s="22"/>
      <c r="N1184" s="22"/>
      <c r="O1184" s="22"/>
      <c r="P1184" s="22"/>
      <c r="Q1184" s="22"/>
      <c r="R1184" s="22"/>
      <c r="S1184" s="22"/>
      <c r="T1184" s="22"/>
      <c r="U1184" s="22"/>
      <c r="V1184" s="22"/>
      <c r="W1184" s="22"/>
      <c r="X1184" s="22"/>
      <c r="Y1184" s="22"/>
      <c r="Z1184" s="22"/>
      <c r="AA1184" s="22"/>
      <c r="AB1184" s="22"/>
      <c r="AC1184" s="22"/>
      <c r="AD1184" s="22"/>
      <c r="AE1184" s="22"/>
      <c r="AF1184" s="22"/>
      <c r="AG1184" s="22"/>
      <c r="AH1184" s="22"/>
      <c r="AI1184" s="22"/>
      <c r="AJ1184" s="22"/>
      <c r="AK1184" s="22"/>
      <c r="AL1184" s="22"/>
      <c r="AM1184" s="22"/>
      <c r="AN1184" s="22"/>
      <c r="AO1184" s="22"/>
    </row>
    <row r="1185" ht="15.75" customHeight="1">
      <c r="A1185" s="22"/>
      <c r="B1185" s="22"/>
      <c r="C1185" s="22"/>
      <c r="D1185" s="22"/>
      <c r="E1185" s="22"/>
      <c r="F1185" s="22"/>
      <c r="G1185" s="130"/>
      <c r="H1185" s="22"/>
      <c r="I1185" s="22"/>
      <c r="J1185" s="22"/>
      <c r="K1185" s="22"/>
      <c r="L1185" s="22"/>
      <c r="M1185" s="22"/>
      <c r="N1185" s="22"/>
      <c r="O1185" s="22"/>
      <c r="P1185" s="22"/>
      <c r="Q1185" s="22"/>
      <c r="R1185" s="22"/>
      <c r="S1185" s="22"/>
      <c r="T1185" s="22"/>
      <c r="U1185" s="22"/>
      <c r="V1185" s="22"/>
      <c r="W1185" s="22"/>
      <c r="X1185" s="22"/>
      <c r="Y1185" s="22"/>
      <c r="Z1185" s="22"/>
      <c r="AA1185" s="22"/>
      <c r="AB1185" s="22"/>
      <c r="AC1185" s="22"/>
      <c r="AD1185" s="22"/>
      <c r="AE1185" s="22"/>
      <c r="AF1185" s="22"/>
      <c r="AG1185" s="22"/>
      <c r="AH1185" s="22"/>
      <c r="AI1185" s="22"/>
      <c r="AJ1185" s="22"/>
      <c r="AK1185" s="22"/>
      <c r="AL1185" s="22"/>
      <c r="AM1185" s="22"/>
      <c r="AN1185" s="22"/>
      <c r="AO1185" s="22"/>
    </row>
    <row r="1186" ht="15.75" customHeight="1">
      <c r="A1186" s="22"/>
      <c r="B1186" s="22"/>
      <c r="C1186" s="22"/>
      <c r="D1186" s="22"/>
      <c r="E1186" s="22"/>
      <c r="F1186" s="22"/>
      <c r="G1186" s="130"/>
      <c r="H1186" s="22"/>
      <c r="I1186" s="22"/>
      <c r="J1186" s="22"/>
      <c r="K1186" s="22"/>
      <c r="L1186" s="22"/>
      <c r="M1186" s="22"/>
      <c r="N1186" s="22"/>
      <c r="O1186" s="22"/>
      <c r="P1186" s="22"/>
      <c r="Q1186" s="22"/>
      <c r="R1186" s="22"/>
      <c r="S1186" s="22"/>
      <c r="T1186" s="22"/>
      <c r="U1186" s="22"/>
      <c r="V1186" s="22"/>
      <c r="W1186" s="22"/>
      <c r="X1186" s="22"/>
      <c r="Y1186" s="22"/>
      <c r="Z1186" s="22"/>
      <c r="AA1186" s="22"/>
      <c r="AB1186" s="22"/>
      <c r="AC1186" s="22"/>
      <c r="AD1186" s="22"/>
      <c r="AE1186" s="22"/>
      <c r="AF1186" s="22"/>
      <c r="AG1186" s="22"/>
      <c r="AH1186" s="22"/>
      <c r="AI1186" s="22"/>
      <c r="AJ1186" s="22"/>
      <c r="AK1186" s="22"/>
      <c r="AL1186" s="22"/>
      <c r="AM1186" s="22"/>
      <c r="AN1186" s="22"/>
      <c r="AO1186" s="22"/>
    </row>
    <row r="1187" ht="15.75" customHeight="1">
      <c r="A1187" s="22"/>
      <c r="B1187" s="22"/>
      <c r="C1187" s="22"/>
      <c r="D1187" s="22"/>
      <c r="E1187" s="22"/>
      <c r="F1187" s="22"/>
      <c r="G1187" s="130"/>
      <c r="H1187" s="22"/>
      <c r="I1187" s="22"/>
      <c r="J1187" s="22"/>
      <c r="K1187" s="22"/>
      <c r="L1187" s="22"/>
      <c r="M1187" s="22"/>
      <c r="N1187" s="22"/>
      <c r="O1187" s="22"/>
      <c r="P1187" s="22"/>
      <c r="Q1187" s="22"/>
      <c r="R1187" s="22"/>
      <c r="S1187" s="22"/>
      <c r="T1187" s="22"/>
      <c r="U1187" s="22"/>
      <c r="V1187" s="22"/>
      <c r="W1187" s="22"/>
      <c r="X1187" s="22"/>
      <c r="Y1187" s="22"/>
      <c r="Z1187" s="22"/>
      <c r="AA1187" s="22"/>
      <c r="AB1187" s="22"/>
      <c r="AC1187" s="22"/>
      <c r="AD1187" s="22"/>
      <c r="AE1187" s="22"/>
      <c r="AF1187" s="22"/>
      <c r="AG1187" s="22"/>
      <c r="AH1187" s="22"/>
      <c r="AI1187" s="22"/>
      <c r="AJ1187" s="22"/>
      <c r="AK1187" s="22"/>
      <c r="AL1187" s="22"/>
      <c r="AM1187" s="22"/>
      <c r="AN1187" s="22"/>
      <c r="AO1187" s="22"/>
    </row>
    <row r="1188" ht="15.75" customHeight="1">
      <c r="A1188" s="22"/>
      <c r="B1188" s="22"/>
      <c r="C1188" s="22"/>
      <c r="D1188" s="22"/>
      <c r="E1188" s="22"/>
      <c r="F1188" s="22"/>
      <c r="G1188" s="130"/>
      <c r="H1188" s="22"/>
      <c r="I1188" s="22"/>
      <c r="J1188" s="22"/>
      <c r="K1188" s="22"/>
      <c r="L1188" s="22"/>
      <c r="M1188" s="22"/>
      <c r="N1188" s="22"/>
      <c r="O1188" s="22"/>
      <c r="P1188" s="22"/>
      <c r="Q1188" s="22"/>
      <c r="R1188" s="22"/>
      <c r="S1188" s="22"/>
      <c r="T1188" s="22"/>
      <c r="U1188" s="22"/>
      <c r="V1188" s="22"/>
      <c r="W1188" s="22"/>
      <c r="X1188" s="22"/>
      <c r="Y1188" s="22"/>
      <c r="Z1188" s="22"/>
      <c r="AA1188" s="22"/>
      <c r="AB1188" s="22"/>
      <c r="AC1188" s="22"/>
      <c r="AD1188" s="22"/>
      <c r="AE1188" s="22"/>
      <c r="AF1188" s="22"/>
      <c r="AG1188" s="22"/>
      <c r="AH1188" s="22"/>
      <c r="AI1188" s="22"/>
      <c r="AJ1188" s="22"/>
      <c r="AK1188" s="22"/>
      <c r="AL1188" s="22"/>
      <c r="AM1188" s="22"/>
      <c r="AN1188" s="22"/>
      <c r="AO1188" s="22"/>
    </row>
    <row r="1189" ht="15.75" customHeight="1">
      <c r="A1189" s="22"/>
      <c r="B1189" s="22"/>
      <c r="C1189" s="22"/>
      <c r="D1189" s="22"/>
      <c r="E1189" s="22"/>
      <c r="F1189" s="22"/>
      <c r="G1189" s="130"/>
      <c r="H1189" s="22"/>
      <c r="I1189" s="22"/>
      <c r="J1189" s="22"/>
      <c r="K1189" s="22"/>
      <c r="L1189" s="22"/>
      <c r="M1189" s="22"/>
      <c r="N1189" s="22"/>
      <c r="O1189" s="22"/>
      <c r="P1189" s="22"/>
      <c r="Q1189" s="22"/>
      <c r="R1189" s="22"/>
      <c r="S1189" s="22"/>
      <c r="T1189" s="22"/>
      <c r="U1189" s="22"/>
      <c r="V1189" s="22"/>
      <c r="W1189" s="22"/>
      <c r="X1189" s="22"/>
      <c r="Y1189" s="22"/>
      <c r="Z1189" s="22"/>
      <c r="AA1189" s="22"/>
      <c r="AB1189" s="22"/>
      <c r="AC1189" s="22"/>
      <c r="AD1189" s="22"/>
      <c r="AE1189" s="22"/>
      <c r="AF1189" s="22"/>
      <c r="AG1189" s="22"/>
      <c r="AH1189" s="22"/>
      <c r="AI1189" s="22"/>
      <c r="AJ1189" s="22"/>
      <c r="AK1189" s="22"/>
      <c r="AL1189" s="22"/>
      <c r="AM1189" s="22"/>
      <c r="AN1189" s="22"/>
      <c r="AO1189" s="22"/>
    </row>
    <row r="1190" ht="15.75" customHeight="1">
      <c r="A1190" s="22"/>
      <c r="B1190" s="22"/>
      <c r="C1190" s="22"/>
      <c r="D1190" s="22"/>
      <c r="E1190" s="22"/>
      <c r="F1190" s="22"/>
      <c r="G1190" s="130"/>
      <c r="H1190" s="22"/>
      <c r="I1190" s="22"/>
      <c r="J1190" s="22"/>
      <c r="K1190" s="22"/>
      <c r="L1190" s="22"/>
      <c r="M1190" s="22"/>
      <c r="N1190" s="22"/>
      <c r="O1190" s="22"/>
      <c r="P1190" s="22"/>
      <c r="Q1190" s="22"/>
      <c r="R1190" s="22"/>
      <c r="S1190" s="22"/>
      <c r="T1190" s="22"/>
      <c r="U1190" s="22"/>
      <c r="V1190" s="22"/>
      <c r="W1190" s="22"/>
      <c r="X1190" s="22"/>
      <c r="Y1190" s="22"/>
      <c r="Z1190" s="22"/>
      <c r="AA1190" s="22"/>
      <c r="AB1190" s="22"/>
      <c r="AC1190" s="22"/>
      <c r="AD1190" s="22"/>
      <c r="AE1190" s="22"/>
      <c r="AF1190" s="22"/>
      <c r="AG1190" s="22"/>
      <c r="AH1190" s="22"/>
      <c r="AI1190" s="22"/>
      <c r="AJ1190" s="22"/>
      <c r="AK1190" s="22"/>
      <c r="AL1190" s="22"/>
      <c r="AM1190" s="22"/>
      <c r="AN1190" s="22"/>
      <c r="AO1190" s="22"/>
    </row>
    <row r="1191" ht="15.75" customHeight="1">
      <c r="A1191" s="22"/>
      <c r="B1191" s="22"/>
      <c r="C1191" s="22"/>
      <c r="D1191" s="22"/>
      <c r="E1191" s="22"/>
      <c r="F1191" s="22"/>
      <c r="G1191" s="130"/>
      <c r="H1191" s="22"/>
      <c r="I1191" s="22"/>
      <c r="J1191" s="22"/>
      <c r="K1191" s="22"/>
      <c r="L1191" s="22"/>
      <c r="M1191" s="22"/>
      <c r="N1191" s="22"/>
      <c r="O1191" s="22"/>
      <c r="P1191" s="22"/>
      <c r="Q1191" s="22"/>
      <c r="R1191" s="22"/>
      <c r="S1191" s="22"/>
      <c r="T1191" s="22"/>
      <c r="U1191" s="22"/>
      <c r="V1191" s="22"/>
      <c r="W1191" s="22"/>
      <c r="X1191" s="22"/>
      <c r="Y1191" s="22"/>
      <c r="Z1191" s="22"/>
      <c r="AA1191" s="22"/>
      <c r="AB1191" s="22"/>
      <c r="AC1191" s="22"/>
      <c r="AD1191" s="22"/>
      <c r="AE1191" s="22"/>
      <c r="AF1191" s="22"/>
      <c r="AG1191" s="22"/>
      <c r="AH1191" s="22"/>
      <c r="AI1191" s="22"/>
      <c r="AJ1191" s="22"/>
      <c r="AK1191" s="22"/>
      <c r="AL1191" s="22"/>
      <c r="AM1191" s="22"/>
      <c r="AN1191" s="22"/>
      <c r="AO1191" s="22"/>
    </row>
    <row r="1192" ht="15.75" customHeight="1">
      <c r="A1192" s="22"/>
      <c r="B1192" s="22"/>
      <c r="C1192" s="22"/>
      <c r="D1192" s="22"/>
      <c r="E1192" s="22"/>
      <c r="F1192" s="22"/>
      <c r="G1192" s="130"/>
      <c r="H1192" s="22"/>
      <c r="I1192" s="22"/>
      <c r="J1192" s="22"/>
      <c r="K1192" s="22"/>
      <c r="L1192" s="22"/>
      <c r="M1192" s="22"/>
      <c r="N1192" s="22"/>
      <c r="O1192" s="22"/>
      <c r="P1192" s="22"/>
      <c r="Q1192" s="22"/>
      <c r="R1192" s="22"/>
      <c r="S1192" s="22"/>
      <c r="T1192" s="22"/>
      <c r="U1192" s="22"/>
      <c r="V1192" s="22"/>
      <c r="W1192" s="22"/>
      <c r="X1192" s="22"/>
      <c r="Y1192" s="22"/>
      <c r="Z1192" s="22"/>
      <c r="AA1192" s="22"/>
      <c r="AB1192" s="22"/>
      <c r="AC1192" s="22"/>
      <c r="AD1192" s="22"/>
      <c r="AE1192" s="22"/>
      <c r="AF1192" s="22"/>
      <c r="AG1192" s="22"/>
      <c r="AH1192" s="22"/>
      <c r="AI1192" s="22"/>
      <c r="AJ1192" s="22"/>
      <c r="AK1192" s="22"/>
      <c r="AL1192" s="22"/>
      <c r="AM1192" s="22"/>
      <c r="AN1192" s="22"/>
      <c r="AO1192" s="22"/>
    </row>
    <row r="1193" ht="15.75" customHeight="1">
      <c r="A1193" s="22"/>
      <c r="B1193" s="22"/>
      <c r="C1193" s="22"/>
      <c r="D1193" s="22"/>
      <c r="E1193" s="22"/>
      <c r="F1193" s="22"/>
      <c r="G1193" s="130"/>
      <c r="H1193" s="22"/>
      <c r="I1193" s="22"/>
      <c r="J1193" s="22"/>
      <c r="K1193" s="22"/>
      <c r="L1193" s="22"/>
      <c r="M1193" s="22"/>
      <c r="N1193" s="22"/>
      <c r="O1193" s="22"/>
      <c r="P1193" s="22"/>
      <c r="Q1193" s="22"/>
      <c r="R1193" s="22"/>
      <c r="S1193" s="22"/>
      <c r="T1193" s="22"/>
      <c r="U1193" s="22"/>
      <c r="V1193" s="22"/>
      <c r="W1193" s="22"/>
      <c r="X1193" s="22"/>
      <c r="Y1193" s="22"/>
      <c r="Z1193" s="22"/>
      <c r="AA1193" s="22"/>
      <c r="AB1193" s="22"/>
      <c r="AC1193" s="22"/>
      <c r="AD1193" s="22"/>
      <c r="AE1193" s="22"/>
      <c r="AF1193" s="22"/>
      <c r="AG1193" s="22"/>
      <c r="AH1193" s="22"/>
      <c r="AI1193" s="22"/>
      <c r="AJ1193" s="22"/>
      <c r="AK1193" s="22"/>
      <c r="AL1193" s="22"/>
      <c r="AM1193" s="22"/>
      <c r="AN1193" s="22"/>
      <c r="AO1193" s="22"/>
    </row>
    <row r="1194" ht="15.75" customHeight="1">
      <c r="A1194" s="22"/>
      <c r="B1194" s="22"/>
      <c r="C1194" s="22"/>
      <c r="D1194" s="22"/>
      <c r="E1194" s="22"/>
      <c r="F1194" s="22"/>
      <c r="G1194" s="130"/>
      <c r="H1194" s="22"/>
      <c r="I1194" s="22"/>
      <c r="J1194" s="22"/>
      <c r="K1194" s="22"/>
      <c r="L1194" s="22"/>
      <c r="M1194" s="22"/>
      <c r="N1194" s="22"/>
      <c r="O1194" s="22"/>
      <c r="P1194" s="22"/>
      <c r="Q1194" s="22"/>
      <c r="R1194" s="22"/>
      <c r="S1194" s="22"/>
      <c r="T1194" s="22"/>
      <c r="U1194" s="22"/>
      <c r="V1194" s="22"/>
      <c r="W1194" s="22"/>
      <c r="X1194" s="22"/>
      <c r="Y1194" s="22"/>
      <c r="Z1194" s="22"/>
      <c r="AA1194" s="22"/>
      <c r="AB1194" s="22"/>
      <c r="AC1194" s="22"/>
      <c r="AD1194" s="22"/>
      <c r="AE1194" s="22"/>
      <c r="AF1194" s="22"/>
      <c r="AG1194" s="22"/>
      <c r="AH1194" s="22"/>
      <c r="AI1194" s="22"/>
      <c r="AJ1194" s="22"/>
      <c r="AK1194" s="22"/>
      <c r="AL1194" s="22"/>
      <c r="AM1194" s="22"/>
      <c r="AN1194" s="22"/>
      <c r="AO1194" s="22"/>
    </row>
    <row r="1195" ht="15.75" customHeight="1">
      <c r="A1195" s="22"/>
      <c r="B1195" s="22"/>
      <c r="C1195" s="22"/>
      <c r="D1195" s="22"/>
      <c r="E1195" s="22"/>
      <c r="F1195" s="22"/>
      <c r="G1195" s="130"/>
      <c r="H1195" s="22"/>
      <c r="I1195" s="22"/>
      <c r="J1195" s="22"/>
      <c r="K1195" s="22"/>
      <c r="L1195" s="22"/>
      <c r="M1195" s="22"/>
      <c r="N1195" s="22"/>
      <c r="O1195" s="22"/>
      <c r="P1195" s="22"/>
      <c r="Q1195" s="22"/>
      <c r="R1195" s="22"/>
      <c r="S1195" s="22"/>
      <c r="T1195" s="22"/>
      <c r="U1195" s="22"/>
      <c r="V1195" s="22"/>
      <c r="W1195" s="22"/>
      <c r="X1195" s="22"/>
      <c r="Y1195" s="22"/>
      <c r="Z1195" s="22"/>
      <c r="AA1195" s="22"/>
      <c r="AB1195" s="22"/>
      <c r="AC1195" s="22"/>
      <c r="AD1195" s="22"/>
      <c r="AE1195" s="22"/>
      <c r="AF1195" s="22"/>
      <c r="AG1195" s="22"/>
      <c r="AH1195" s="22"/>
      <c r="AI1195" s="22"/>
      <c r="AJ1195" s="22"/>
      <c r="AK1195" s="22"/>
      <c r="AL1195" s="22"/>
      <c r="AM1195" s="22"/>
      <c r="AN1195" s="22"/>
      <c r="AO1195" s="22"/>
    </row>
    <row r="1196" ht="15.75" customHeight="1">
      <c r="A1196" s="22"/>
      <c r="B1196" s="22"/>
      <c r="C1196" s="22"/>
      <c r="D1196" s="22"/>
      <c r="E1196" s="22"/>
      <c r="F1196" s="22"/>
      <c r="G1196" s="130"/>
      <c r="H1196" s="22"/>
      <c r="I1196" s="22"/>
      <c r="J1196" s="22"/>
      <c r="K1196" s="22"/>
      <c r="L1196" s="22"/>
      <c r="M1196" s="22"/>
      <c r="N1196" s="22"/>
      <c r="O1196" s="22"/>
      <c r="P1196" s="22"/>
      <c r="Q1196" s="22"/>
      <c r="R1196" s="22"/>
      <c r="S1196" s="22"/>
      <c r="T1196" s="22"/>
      <c r="U1196" s="22"/>
      <c r="V1196" s="22"/>
      <c r="W1196" s="22"/>
      <c r="X1196" s="22"/>
      <c r="Y1196" s="22"/>
      <c r="Z1196" s="22"/>
      <c r="AA1196" s="22"/>
      <c r="AB1196" s="22"/>
      <c r="AC1196" s="22"/>
      <c r="AD1196" s="22"/>
      <c r="AE1196" s="22"/>
      <c r="AF1196" s="22"/>
      <c r="AG1196" s="22"/>
      <c r="AH1196" s="22"/>
      <c r="AI1196" s="22"/>
      <c r="AJ1196" s="22"/>
      <c r="AK1196" s="22"/>
      <c r="AL1196" s="22"/>
      <c r="AM1196" s="22"/>
      <c r="AN1196" s="22"/>
      <c r="AO1196" s="22"/>
    </row>
    <row r="1197" ht="15.75" customHeight="1">
      <c r="A1197" s="22"/>
      <c r="B1197" s="22"/>
      <c r="C1197" s="22"/>
      <c r="D1197" s="22"/>
      <c r="E1197" s="22"/>
      <c r="F1197" s="22"/>
      <c r="G1197" s="130"/>
      <c r="H1197" s="22"/>
      <c r="I1197" s="22"/>
      <c r="J1197" s="22"/>
      <c r="K1197" s="22"/>
      <c r="L1197" s="22"/>
      <c r="M1197" s="22"/>
      <c r="N1197" s="22"/>
      <c r="O1197" s="22"/>
      <c r="P1197" s="22"/>
      <c r="Q1197" s="22"/>
      <c r="R1197" s="22"/>
      <c r="S1197" s="22"/>
      <c r="T1197" s="22"/>
      <c r="U1197" s="22"/>
      <c r="V1197" s="22"/>
      <c r="W1197" s="22"/>
      <c r="X1197" s="22"/>
      <c r="Y1197" s="22"/>
      <c r="Z1197" s="22"/>
      <c r="AA1197" s="22"/>
      <c r="AB1197" s="22"/>
      <c r="AC1197" s="22"/>
      <c r="AD1197" s="22"/>
      <c r="AE1197" s="22"/>
      <c r="AF1197" s="22"/>
      <c r="AG1197" s="22"/>
      <c r="AH1197" s="22"/>
      <c r="AI1197" s="22"/>
      <c r="AJ1197" s="22"/>
      <c r="AK1197" s="22"/>
      <c r="AL1197" s="22"/>
      <c r="AM1197" s="22"/>
      <c r="AN1197" s="22"/>
      <c r="AO1197" s="22"/>
    </row>
    <row r="1198" ht="15.75" customHeight="1">
      <c r="A1198" s="22"/>
      <c r="B1198" s="22"/>
      <c r="C1198" s="22"/>
      <c r="D1198" s="22"/>
      <c r="E1198" s="22"/>
      <c r="F1198" s="22"/>
      <c r="G1198" s="130"/>
      <c r="H1198" s="22"/>
      <c r="I1198" s="22"/>
      <c r="J1198" s="22"/>
      <c r="K1198" s="22"/>
      <c r="L1198" s="22"/>
      <c r="M1198" s="22"/>
      <c r="N1198" s="22"/>
      <c r="O1198" s="22"/>
      <c r="P1198" s="22"/>
      <c r="Q1198" s="22"/>
      <c r="R1198" s="22"/>
      <c r="S1198" s="22"/>
      <c r="T1198" s="22"/>
      <c r="U1198" s="22"/>
      <c r="V1198" s="22"/>
      <c r="W1198" s="22"/>
      <c r="X1198" s="22"/>
      <c r="Y1198" s="22"/>
      <c r="Z1198" s="22"/>
      <c r="AA1198" s="22"/>
      <c r="AB1198" s="22"/>
      <c r="AC1198" s="22"/>
      <c r="AD1198" s="22"/>
      <c r="AE1198" s="22"/>
      <c r="AF1198" s="22"/>
      <c r="AG1198" s="22"/>
      <c r="AH1198" s="22"/>
      <c r="AI1198" s="22"/>
      <c r="AJ1198" s="22"/>
      <c r="AK1198" s="22"/>
      <c r="AL1198" s="22"/>
      <c r="AM1198" s="22"/>
      <c r="AN1198" s="22"/>
      <c r="AO1198" s="22"/>
    </row>
    <row r="1199" ht="15.75" customHeight="1">
      <c r="A1199" s="22"/>
      <c r="B1199" s="22"/>
      <c r="C1199" s="22"/>
      <c r="D1199" s="22"/>
      <c r="E1199" s="22"/>
      <c r="F1199" s="22"/>
      <c r="G1199" s="130"/>
      <c r="H1199" s="22"/>
      <c r="I1199" s="22"/>
      <c r="J1199" s="22"/>
      <c r="K1199" s="22"/>
      <c r="L1199" s="22"/>
      <c r="M1199" s="22"/>
      <c r="N1199" s="22"/>
      <c r="O1199" s="22"/>
      <c r="P1199" s="22"/>
      <c r="Q1199" s="22"/>
      <c r="R1199" s="22"/>
      <c r="S1199" s="22"/>
      <c r="T1199" s="22"/>
      <c r="U1199" s="22"/>
      <c r="V1199" s="22"/>
      <c r="W1199" s="22"/>
      <c r="X1199" s="22"/>
      <c r="Y1199" s="22"/>
      <c r="Z1199" s="22"/>
      <c r="AA1199" s="22"/>
      <c r="AB1199" s="22"/>
      <c r="AC1199" s="22"/>
      <c r="AD1199" s="22"/>
      <c r="AE1199" s="22"/>
      <c r="AF1199" s="22"/>
      <c r="AG1199" s="22"/>
      <c r="AH1199" s="22"/>
      <c r="AI1199" s="22"/>
      <c r="AJ1199" s="22"/>
      <c r="AK1199" s="22"/>
      <c r="AL1199" s="22"/>
      <c r="AM1199" s="22"/>
      <c r="AN1199" s="22"/>
      <c r="AO1199" s="22"/>
    </row>
    <row r="1200" ht="15.75" customHeight="1">
      <c r="A1200" s="22"/>
      <c r="B1200" s="22"/>
      <c r="C1200" s="22"/>
      <c r="D1200" s="22"/>
      <c r="E1200" s="22"/>
      <c r="F1200" s="22"/>
      <c r="G1200" s="130"/>
      <c r="H1200" s="22"/>
      <c r="I1200" s="22"/>
      <c r="J1200" s="22"/>
      <c r="K1200" s="22"/>
      <c r="L1200" s="22"/>
      <c r="M1200" s="22"/>
      <c r="N1200" s="22"/>
      <c r="O1200" s="22"/>
      <c r="P1200" s="22"/>
      <c r="Q1200" s="22"/>
      <c r="R1200" s="22"/>
      <c r="S1200" s="22"/>
      <c r="T1200" s="22"/>
      <c r="U1200" s="22"/>
      <c r="V1200" s="22"/>
      <c r="W1200" s="22"/>
      <c r="X1200" s="22"/>
      <c r="Y1200" s="22"/>
      <c r="Z1200" s="22"/>
      <c r="AA1200" s="22"/>
      <c r="AB1200" s="22"/>
      <c r="AC1200" s="22"/>
      <c r="AD1200" s="22"/>
      <c r="AE1200" s="22"/>
      <c r="AF1200" s="22"/>
      <c r="AG1200" s="22"/>
      <c r="AH1200" s="22"/>
      <c r="AI1200" s="22"/>
      <c r="AJ1200" s="22"/>
      <c r="AK1200" s="22"/>
      <c r="AL1200" s="22"/>
      <c r="AM1200" s="22"/>
      <c r="AN1200" s="22"/>
      <c r="AO1200" s="22"/>
    </row>
    <row r="1201" ht="15.75" customHeight="1">
      <c r="A1201" s="22"/>
      <c r="B1201" s="22"/>
      <c r="C1201" s="22"/>
      <c r="D1201" s="22"/>
      <c r="E1201" s="22"/>
      <c r="F1201" s="22"/>
      <c r="G1201" s="130"/>
      <c r="H1201" s="22"/>
      <c r="I1201" s="22"/>
      <c r="J1201" s="22"/>
      <c r="K1201" s="22"/>
      <c r="L1201" s="22"/>
      <c r="M1201" s="22"/>
      <c r="N1201" s="22"/>
      <c r="O1201" s="22"/>
      <c r="P1201" s="22"/>
      <c r="Q1201" s="22"/>
      <c r="R1201" s="22"/>
      <c r="S1201" s="22"/>
      <c r="T1201" s="22"/>
      <c r="U1201" s="22"/>
      <c r="V1201" s="22"/>
      <c r="W1201" s="22"/>
      <c r="X1201" s="22"/>
      <c r="Y1201" s="22"/>
      <c r="Z1201" s="22"/>
      <c r="AA1201" s="22"/>
      <c r="AB1201" s="22"/>
      <c r="AC1201" s="22"/>
      <c r="AD1201" s="22"/>
      <c r="AE1201" s="22"/>
      <c r="AF1201" s="22"/>
      <c r="AG1201" s="22"/>
      <c r="AH1201" s="22"/>
      <c r="AI1201" s="22"/>
      <c r="AJ1201" s="22"/>
      <c r="AK1201" s="22"/>
      <c r="AL1201" s="22"/>
      <c r="AM1201" s="22"/>
      <c r="AN1201" s="22"/>
      <c r="AO1201" s="22"/>
    </row>
    <row r="1202" ht="15.75" customHeight="1">
      <c r="A1202" s="22"/>
      <c r="B1202" s="22"/>
      <c r="C1202" s="22"/>
      <c r="D1202" s="22"/>
      <c r="E1202" s="22"/>
      <c r="F1202" s="22"/>
      <c r="G1202" s="130"/>
      <c r="H1202" s="22"/>
      <c r="I1202" s="22"/>
      <c r="J1202" s="22"/>
      <c r="K1202" s="22"/>
      <c r="L1202" s="22"/>
      <c r="M1202" s="22"/>
      <c r="N1202" s="22"/>
      <c r="O1202" s="22"/>
      <c r="P1202" s="22"/>
      <c r="Q1202" s="22"/>
      <c r="R1202" s="22"/>
      <c r="S1202" s="22"/>
      <c r="T1202" s="22"/>
      <c r="U1202" s="22"/>
      <c r="V1202" s="22"/>
      <c r="W1202" s="22"/>
      <c r="X1202" s="22"/>
      <c r="Y1202" s="22"/>
      <c r="Z1202" s="22"/>
      <c r="AA1202" s="22"/>
      <c r="AB1202" s="22"/>
      <c r="AC1202" s="22"/>
      <c r="AD1202" s="22"/>
      <c r="AE1202" s="22"/>
      <c r="AF1202" s="22"/>
      <c r="AG1202" s="22"/>
      <c r="AH1202" s="22"/>
      <c r="AI1202" s="22"/>
      <c r="AJ1202" s="22"/>
      <c r="AK1202" s="22"/>
      <c r="AL1202" s="22"/>
      <c r="AM1202" s="22"/>
      <c r="AN1202" s="22"/>
      <c r="AO1202" s="22"/>
    </row>
    <row r="1203" ht="15.75" customHeight="1">
      <c r="A1203" s="22"/>
      <c r="B1203" s="22"/>
      <c r="C1203" s="22"/>
      <c r="D1203" s="22"/>
      <c r="E1203" s="22"/>
      <c r="F1203" s="22"/>
      <c r="G1203" s="130"/>
      <c r="H1203" s="22"/>
      <c r="I1203" s="22"/>
      <c r="J1203" s="22"/>
      <c r="K1203" s="22"/>
      <c r="L1203" s="22"/>
      <c r="M1203" s="22"/>
      <c r="N1203" s="22"/>
      <c r="O1203" s="22"/>
      <c r="P1203" s="22"/>
      <c r="Q1203" s="22"/>
      <c r="R1203" s="22"/>
      <c r="S1203" s="22"/>
      <c r="T1203" s="22"/>
      <c r="U1203" s="22"/>
      <c r="V1203" s="22"/>
      <c r="W1203" s="22"/>
      <c r="X1203" s="22"/>
      <c r="Y1203" s="22"/>
      <c r="Z1203" s="22"/>
      <c r="AA1203" s="22"/>
      <c r="AB1203" s="22"/>
      <c r="AC1203" s="22"/>
      <c r="AD1203" s="22"/>
      <c r="AE1203" s="22"/>
      <c r="AF1203" s="22"/>
      <c r="AG1203" s="22"/>
      <c r="AH1203" s="22"/>
      <c r="AI1203" s="22"/>
      <c r="AJ1203" s="22"/>
      <c r="AK1203" s="22"/>
      <c r="AL1203" s="22"/>
      <c r="AM1203" s="22"/>
      <c r="AN1203" s="22"/>
      <c r="AO1203" s="22"/>
    </row>
    <row r="1204" ht="15.75" customHeight="1">
      <c r="A1204" s="22"/>
      <c r="B1204" s="22"/>
      <c r="C1204" s="22"/>
      <c r="D1204" s="22"/>
      <c r="E1204" s="22"/>
      <c r="F1204" s="22"/>
      <c r="G1204" s="130"/>
      <c r="H1204" s="22"/>
      <c r="I1204" s="22"/>
      <c r="J1204" s="22"/>
      <c r="K1204" s="22"/>
      <c r="L1204" s="22"/>
      <c r="M1204" s="22"/>
      <c r="N1204" s="22"/>
      <c r="O1204" s="22"/>
      <c r="P1204" s="22"/>
      <c r="Q1204" s="22"/>
      <c r="R1204" s="22"/>
      <c r="S1204" s="22"/>
      <c r="T1204" s="22"/>
      <c r="U1204" s="22"/>
      <c r="V1204" s="22"/>
      <c r="W1204" s="22"/>
      <c r="X1204" s="22"/>
      <c r="Y1204" s="22"/>
      <c r="Z1204" s="22"/>
      <c r="AA1204" s="22"/>
      <c r="AB1204" s="22"/>
      <c r="AC1204" s="22"/>
      <c r="AD1204" s="22"/>
      <c r="AE1204" s="22"/>
      <c r="AF1204" s="22"/>
      <c r="AG1204" s="22"/>
      <c r="AH1204" s="22"/>
      <c r="AI1204" s="22"/>
      <c r="AJ1204" s="22"/>
      <c r="AK1204" s="22"/>
      <c r="AL1204" s="22"/>
      <c r="AM1204" s="22"/>
      <c r="AN1204" s="22"/>
      <c r="AO1204" s="22"/>
    </row>
    <row r="1205" ht="15.75" customHeight="1">
      <c r="A1205" s="22"/>
      <c r="B1205" s="22"/>
      <c r="C1205" s="22"/>
      <c r="D1205" s="22"/>
      <c r="E1205" s="22"/>
      <c r="F1205" s="22"/>
      <c r="G1205" s="130"/>
      <c r="H1205" s="22"/>
      <c r="I1205" s="22"/>
      <c r="J1205" s="22"/>
      <c r="K1205" s="22"/>
      <c r="L1205" s="22"/>
      <c r="M1205" s="22"/>
      <c r="N1205" s="22"/>
      <c r="O1205" s="22"/>
      <c r="P1205" s="22"/>
      <c r="Q1205" s="22"/>
      <c r="R1205" s="22"/>
      <c r="S1205" s="22"/>
      <c r="T1205" s="22"/>
      <c r="U1205" s="22"/>
      <c r="V1205" s="22"/>
      <c r="W1205" s="22"/>
      <c r="X1205" s="22"/>
      <c r="Y1205" s="22"/>
      <c r="Z1205" s="22"/>
      <c r="AA1205" s="22"/>
      <c r="AB1205" s="22"/>
      <c r="AC1205" s="22"/>
      <c r="AD1205" s="22"/>
      <c r="AE1205" s="22"/>
      <c r="AF1205" s="22"/>
      <c r="AG1205" s="22"/>
      <c r="AH1205" s="22"/>
      <c r="AI1205" s="22"/>
      <c r="AJ1205" s="22"/>
      <c r="AK1205" s="22"/>
      <c r="AL1205" s="22"/>
      <c r="AM1205" s="22"/>
      <c r="AN1205" s="22"/>
      <c r="AO1205" s="22"/>
    </row>
    <row r="1206" ht="15.75" customHeight="1">
      <c r="A1206" s="22"/>
      <c r="B1206" s="22"/>
      <c r="C1206" s="22"/>
      <c r="D1206" s="22"/>
      <c r="E1206" s="22"/>
      <c r="F1206" s="22"/>
      <c r="G1206" s="130"/>
      <c r="H1206" s="22"/>
      <c r="I1206" s="22"/>
      <c r="J1206" s="22"/>
      <c r="K1206" s="22"/>
      <c r="L1206" s="22"/>
      <c r="M1206" s="22"/>
      <c r="N1206" s="22"/>
      <c r="O1206" s="22"/>
      <c r="P1206" s="22"/>
      <c r="Q1206" s="22"/>
      <c r="R1206" s="22"/>
      <c r="S1206" s="22"/>
      <c r="T1206" s="22"/>
      <c r="U1206" s="22"/>
      <c r="V1206" s="22"/>
      <c r="W1206" s="22"/>
      <c r="X1206" s="22"/>
      <c r="Y1206" s="22"/>
      <c r="Z1206" s="22"/>
      <c r="AA1206" s="22"/>
      <c r="AB1206" s="22"/>
      <c r="AC1206" s="22"/>
      <c r="AD1206" s="22"/>
      <c r="AE1206" s="22"/>
      <c r="AF1206" s="22"/>
      <c r="AG1206" s="22"/>
      <c r="AH1206" s="22"/>
      <c r="AI1206" s="22"/>
      <c r="AJ1206" s="22"/>
      <c r="AK1206" s="22"/>
      <c r="AL1206" s="22"/>
      <c r="AM1206" s="22"/>
      <c r="AN1206" s="22"/>
      <c r="AO1206" s="22"/>
    </row>
    <row r="1207" ht="15.75" customHeight="1">
      <c r="A1207" s="22"/>
      <c r="B1207" s="22"/>
      <c r="C1207" s="22"/>
      <c r="D1207" s="22"/>
      <c r="E1207" s="22"/>
      <c r="F1207" s="22"/>
      <c r="G1207" s="130"/>
      <c r="H1207" s="22"/>
      <c r="I1207" s="22"/>
      <c r="J1207" s="22"/>
      <c r="K1207" s="22"/>
      <c r="L1207" s="22"/>
      <c r="M1207" s="22"/>
      <c r="N1207" s="22"/>
      <c r="O1207" s="22"/>
      <c r="P1207" s="22"/>
      <c r="Q1207" s="22"/>
      <c r="R1207" s="22"/>
      <c r="S1207" s="22"/>
      <c r="T1207" s="22"/>
      <c r="U1207" s="22"/>
      <c r="V1207" s="22"/>
      <c r="W1207" s="22"/>
      <c r="X1207" s="22"/>
      <c r="Y1207" s="22"/>
      <c r="Z1207" s="22"/>
      <c r="AA1207" s="22"/>
      <c r="AB1207" s="22"/>
      <c r="AC1207" s="22"/>
      <c r="AD1207" s="22"/>
      <c r="AE1207" s="22"/>
      <c r="AF1207" s="22"/>
      <c r="AG1207" s="22"/>
      <c r="AH1207" s="22"/>
      <c r="AI1207" s="22"/>
      <c r="AJ1207" s="22"/>
      <c r="AK1207" s="22"/>
      <c r="AL1207" s="22"/>
      <c r="AM1207" s="22"/>
      <c r="AN1207" s="22"/>
      <c r="AO1207" s="22"/>
    </row>
    <row r="1208" ht="15.75" customHeight="1">
      <c r="A1208" s="22"/>
      <c r="B1208" s="22"/>
      <c r="C1208" s="22"/>
      <c r="D1208" s="22"/>
      <c r="E1208" s="22"/>
      <c r="F1208" s="22"/>
      <c r="G1208" s="130"/>
      <c r="H1208" s="22"/>
      <c r="I1208" s="22"/>
      <c r="J1208" s="22"/>
      <c r="K1208" s="22"/>
      <c r="L1208" s="22"/>
      <c r="M1208" s="22"/>
      <c r="N1208" s="22"/>
      <c r="O1208" s="22"/>
      <c r="P1208" s="22"/>
      <c r="Q1208" s="22"/>
      <c r="R1208" s="22"/>
      <c r="S1208" s="22"/>
      <c r="T1208" s="22"/>
      <c r="U1208" s="22"/>
      <c r="V1208" s="22"/>
      <c r="W1208" s="22"/>
      <c r="X1208" s="22"/>
      <c r="Y1208" s="22"/>
      <c r="Z1208" s="22"/>
      <c r="AA1208" s="22"/>
      <c r="AB1208" s="22"/>
      <c r="AC1208" s="22"/>
      <c r="AD1208" s="22"/>
      <c r="AE1208" s="22"/>
      <c r="AF1208" s="22"/>
      <c r="AG1208" s="22"/>
      <c r="AH1208" s="22"/>
      <c r="AI1208" s="22"/>
      <c r="AJ1208" s="22"/>
      <c r="AK1208" s="22"/>
      <c r="AL1208" s="22"/>
      <c r="AM1208" s="22"/>
      <c r="AN1208" s="22"/>
      <c r="AO1208" s="22"/>
    </row>
    <row r="1209" ht="15.75" customHeight="1">
      <c r="A1209" s="22"/>
      <c r="B1209" s="22"/>
      <c r="C1209" s="22"/>
      <c r="D1209" s="22"/>
      <c r="E1209" s="22"/>
      <c r="F1209" s="22"/>
      <c r="G1209" s="130"/>
      <c r="H1209" s="22"/>
      <c r="I1209" s="22"/>
      <c r="J1209" s="22"/>
      <c r="K1209" s="22"/>
      <c r="L1209" s="22"/>
      <c r="M1209" s="22"/>
      <c r="N1209" s="22"/>
      <c r="O1209" s="22"/>
      <c r="P1209" s="22"/>
      <c r="Q1209" s="22"/>
      <c r="R1209" s="22"/>
      <c r="S1209" s="22"/>
      <c r="T1209" s="22"/>
      <c r="U1209" s="22"/>
      <c r="V1209" s="22"/>
      <c r="W1209" s="22"/>
      <c r="X1209" s="22"/>
      <c r="Y1209" s="22"/>
      <c r="Z1209" s="22"/>
      <c r="AA1209" s="22"/>
      <c r="AB1209" s="22"/>
      <c r="AC1209" s="22"/>
      <c r="AD1209" s="22"/>
      <c r="AE1209" s="22"/>
      <c r="AF1209" s="22"/>
      <c r="AG1209" s="22"/>
      <c r="AH1209" s="22"/>
      <c r="AI1209" s="22"/>
      <c r="AJ1209" s="22"/>
      <c r="AK1209" s="22"/>
      <c r="AL1209" s="22"/>
      <c r="AM1209" s="22"/>
      <c r="AN1209" s="22"/>
      <c r="AO1209" s="22"/>
    </row>
    <row r="1210" ht="15.75" customHeight="1">
      <c r="A1210" s="22"/>
      <c r="B1210" s="22"/>
      <c r="C1210" s="22"/>
      <c r="D1210" s="22"/>
      <c r="E1210" s="22"/>
      <c r="F1210" s="22"/>
      <c r="G1210" s="130"/>
      <c r="H1210" s="22"/>
      <c r="I1210" s="22"/>
      <c r="J1210" s="22"/>
      <c r="K1210" s="22"/>
      <c r="L1210" s="22"/>
      <c r="M1210" s="22"/>
      <c r="N1210" s="22"/>
      <c r="O1210" s="22"/>
      <c r="P1210" s="22"/>
      <c r="Q1210" s="22"/>
      <c r="R1210" s="22"/>
      <c r="S1210" s="22"/>
      <c r="T1210" s="22"/>
      <c r="U1210" s="22"/>
      <c r="V1210" s="22"/>
      <c r="W1210" s="22"/>
      <c r="X1210" s="22"/>
      <c r="Y1210" s="22"/>
      <c r="Z1210" s="22"/>
      <c r="AA1210" s="22"/>
      <c r="AB1210" s="22"/>
      <c r="AC1210" s="22"/>
      <c r="AD1210" s="22"/>
      <c r="AE1210" s="22"/>
      <c r="AF1210" s="22"/>
      <c r="AG1210" s="22"/>
      <c r="AH1210" s="22"/>
      <c r="AI1210" s="22"/>
      <c r="AJ1210" s="22"/>
      <c r="AK1210" s="22"/>
      <c r="AL1210" s="22"/>
      <c r="AM1210" s="22"/>
      <c r="AN1210" s="22"/>
      <c r="AO1210" s="22"/>
    </row>
    <row r="1211" ht="15.75" customHeight="1">
      <c r="A1211" s="22"/>
      <c r="B1211" s="22"/>
      <c r="C1211" s="22"/>
      <c r="D1211" s="22"/>
      <c r="E1211" s="22"/>
      <c r="F1211" s="22"/>
      <c r="G1211" s="130"/>
      <c r="H1211" s="22"/>
      <c r="I1211" s="22"/>
      <c r="J1211" s="22"/>
      <c r="K1211" s="22"/>
      <c r="L1211" s="22"/>
      <c r="M1211" s="22"/>
      <c r="N1211" s="22"/>
      <c r="O1211" s="22"/>
      <c r="P1211" s="22"/>
      <c r="Q1211" s="22"/>
      <c r="R1211" s="22"/>
      <c r="S1211" s="22"/>
      <c r="T1211" s="22"/>
      <c r="U1211" s="22"/>
      <c r="V1211" s="22"/>
      <c r="W1211" s="22"/>
      <c r="X1211" s="22"/>
      <c r="Y1211" s="22"/>
      <c r="Z1211" s="22"/>
      <c r="AA1211" s="22"/>
      <c r="AB1211" s="22"/>
      <c r="AC1211" s="22"/>
      <c r="AD1211" s="22"/>
      <c r="AE1211" s="22"/>
      <c r="AF1211" s="22"/>
      <c r="AG1211" s="22"/>
      <c r="AH1211" s="22"/>
      <c r="AI1211" s="22"/>
      <c r="AJ1211" s="22"/>
      <c r="AK1211" s="22"/>
      <c r="AL1211" s="22"/>
      <c r="AM1211" s="22"/>
      <c r="AN1211" s="22"/>
      <c r="AO1211" s="22"/>
    </row>
    <row r="1212" ht="15.75" customHeight="1">
      <c r="A1212" s="22"/>
      <c r="B1212" s="22"/>
      <c r="C1212" s="22"/>
      <c r="D1212" s="22"/>
      <c r="E1212" s="22"/>
      <c r="F1212" s="22"/>
      <c r="G1212" s="130"/>
      <c r="H1212" s="22"/>
      <c r="I1212" s="22"/>
      <c r="J1212" s="22"/>
      <c r="K1212" s="22"/>
      <c r="L1212" s="22"/>
      <c r="M1212" s="22"/>
      <c r="N1212" s="22"/>
      <c r="O1212" s="22"/>
      <c r="P1212" s="22"/>
      <c r="Q1212" s="22"/>
      <c r="R1212" s="22"/>
      <c r="S1212" s="22"/>
      <c r="T1212" s="22"/>
      <c r="U1212" s="22"/>
      <c r="V1212" s="22"/>
      <c r="W1212" s="22"/>
      <c r="X1212" s="22"/>
      <c r="Y1212" s="22"/>
      <c r="Z1212" s="22"/>
      <c r="AA1212" s="22"/>
      <c r="AB1212" s="22"/>
      <c r="AC1212" s="22"/>
      <c r="AD1212" s="22"/>
      <c r="AE1212" s="22"/>
      <c r="AF1212" s="22"/>
      <c r="AG1212" s="22"/>
      <c r="AH1212" s="22"/>
      <c r="AI1212" s="22"/>
      <c r="AJ1212" s="22"/>
      <c r="AK1212" s="22"/>
      <c r="AL1212" s="22"/>
      <c r="AM1212" s="22"/>
      <c r="AN1212" s="22"/>
      <c r="AO1212" s="22"/>
    </row>
    <row r="1213" ht="15.75" customHeight="1">
      <c r="A1213" s="22"/>
      <c r="B1213" s="22"/>
      <c r="C1213" s="22"/>
      <c r="D1213" s="22"/>
      <c r="E1213" s="22"/>
      <c r="F1213" s="22"/>
      <c r="G1213" s="130"/>
      <c r="H1213" s="22"/>
      <c r="I1213" s="22"/>
      <c r="J1213" s="22"/>
      <c r="K1213" s="22"/>
      <c r="L1213" s="22"/>
      <c r="M1213" s="22"/>
      <c r="N1213" s="22"/>
      <c r="O1213" s="22"/>
      <c r="P1213" s="22"/>
      <c r="Q1213" s="22"/>
      <c r="R1213" s="22"/>
      <c r="S1213" s="22"/>
      <c r="T1213" s="22"/>
      <c r="U1213" s="22"/>
      <c r="V1213" s="22"/>
      <c r="W1213" s="22"/>
      <c r="X1213" s="22"/>
      <c r="Y1213" s="22"/>
      <c r="Z1213" s="22"/>
      <c r="AA1213" s="22"/>
      <c r="AB1213" s="22"/>
      <c r="AC1213" s="22"/>
      <c r="AD1213" s="22"/>
      <c r="AE1213" s="22"/>
      <c r="AF1213" s="22"/>
      <c r="AG1213" s="22"/>
      <c r="AH1213" s="22"/>
      <c r="AI1213" s="22"/>
      <c r="AJ1213" s="22"/>
      <c r="AK1213" s="22"/>
      <c r="AL1213" s="22"/>
      <c r="AM1213" s="22"/>
      <c r="AN1213" s="22"/>
      <c r="AO1213" s="22"/>
    </row>
    <row r="1214" ht="15.75" customHeight="1">
      <c r="A1214" s="22"/>
      <c r="B1214" s="22"/>
      <c r="C1214" s="22"/>
      <c r="D1214" s="22"/>
      <c r="E1214" s="22"/>
      <c r="F1214" s="22"/>
      <c r="G1214" s="130"/>
      <c r="H1214" s="22"/>
      <c r="I1214" s="22"/>
      <c r="J1214" s="22"/>
      <c r="K1214" s="22"/>
      <c r="L1214" s="22"/>
      <c r="M1214" s="22"/>
      <c r="N1214" s="22"/>
      <c r="O1214" s="22"/>
      <c r="P1214" s="22"/>
      <c r="Q1214" s="22"/>
      <c r="R1214" s="22"/>
      <c r="S1214" s="22"/>
      <c r="T1214" s="22"/>
      <c r="U1214" s="22"/>
      <c r="V1214" s="22"/>
      <c r="W1214" s="22"/>
      <c r="X1214" s="22"/>
      <c r="Y1214" s="22"/>
      <c r="Z1214" s="22"/>
      <c r="AA1214" s="22"/>
      <c r="AB1214" s="22"/>
      <c r="AC1214" s="22"/>
      <c r="AD1214" s="22"/>
      <c r="AE1214" s="22"/>
      <c r="AF1214" s="22"/>
      <c r="AG1214" s="22"/>
      <c r="AH1214" s="22"/>
      <c r="AI1214" s="22"/>
      <c r="AJ1214" s="22"/>
      <c r="AK1214" s="22"/>
      <c r="AL1214" s="22"/>
      <c r="AM1214" s="22"/>
      <c r="AN1214" s="22"/>
      <c r="AO1214" s="22"/>
    </row>
    <row r="1215" ht="15.75" customHeight="1">
      <c r="A1215" s="22"/>
      <c r="B1215" s="22"/>
      <c r="C1215" s="22"/>
      <c r="D1215" s="22"/>
      <c r="E1215" s="22"/>
      <c r="F1215" s="22"/>
      <c r="G1215" s="130"/>
      <c r="H1215" s="22"/>
      <c r="I1215" s="22"/>
      <c r="J1215" s="22"/>
      <c r="K1215" s="22"/>
      <c r="L1215" s="22"/>
      <c r="M1215" s="22"/>
      <c r="N1215" s="22"/>
      <c r="O1215" s="22"/>
      <c r="P1215" s="22"/>
      <c r="Q1215" s="22"/>
      <c r="R1215" s="22"/>
      <c r="S1215" s="22"/>
      <c r="T1215" s="22"/>
      <c r="U1215" s="22"/>
      <c r="V1215" s="22"/>
      <c r="W1215" s="22"/>
      <c r="X1215" s="22"/>
      <c r="Y1215" s="22"/>
      <c r="Z1215" s="22"/>
      <c r="AA1215" s="22"/>
      <c r="AB1215" s="22"/>
      <c r="AC1215" s="22"/>
      <c r="AD1215" s="22"/>
      <c r="AE1215" s="22"/>
      <c r="AF1215" s="22"/>
      <c r="AG1215" s="22"/>
      <c r="AH1215" s="22"/>
      <c r="AI1215" s="22"/>
      <c r="AJ1215" s="22"/>
      <c r="AK1215" s="22"/>
      <c r="AL1215" s="22"/>
      <c r="AM1215" s="22"/>
      <c r="AN1215" s="22"/>
      <c r="AO1215" s="22"/>
    </row>
    <row r="1216" ht="15.75" customHeight="1">
      <c r="A1216" s="22"/>
      <c r="B1216" s="22"/>
      <c r="C1216" s="22"/>
      <c r="D1216" s="22"/>
      <c r="E1216" s="22"/>
      <c r="F1216" s="22"/>
      <c r="G1216" s="130"/>
      <c r="H1216" s="22"/>
      <c r="I1216" s="22"/>
      <c r="J1216" s="22"/>
      <c r="K1216" s="22"/>
      <c r="L1216" s="22"/>
      <c r="M1216" s="22"/>
      <c r="N1216" s="22"/>
      <c r="O1216" s="22"/>
      <c r="P1216" s="22"/>
      <c r="Q1216" s="22"/>
      <c r="R1216" s="22"/>
      <c r="S1216" s="22"/>
      <c r="T1216" s="22"/>
      <c r="U1216" s="22"/>
      <c r="V1216" s="22"/>
      <c r="W1216" s="22"/>
      <c r="X1216" s="22"/>
      <c r="Y1216" s="22"/>
      <c r="Z1216" s="22"/>
      <c r="AA1216" s="22"/>
      <c r="AB1216" s="22"/>
      <c r="AC1216" s="22"/>
      <c r="AD1216" s="22"/>
      <c r="AE1216" s="22"/>
      <c r="AF1216" s="22"/>
      <c r="AG1216" s="22"/>
      <c r="AH1216" s="22"/>
      <c r="AI1216" s="22"/>
      <c r="AJ1216" s="22"/>
      <c r="AK1216" s="22"/>
      <c r="AL1216" s="22"/>
      <c r="AM1216" s="22"/>
      <c r="AN1216" s="22"/>
      <c r="AO1216" s="22"/>
    </row>
    <row r="1217" ht="15.75" customHeight="1">
      <c r="A1217" s="22"/>
      <c r="B1217" s="22"/>
      <c r="C1217" s="22"/>
      <c r="D1217" s="22"/>
      <c r="E1217" s="22"/>
      <c r="F1217" s="22"/>
      <c r="G1217" s="130"/>
      <c r="H1217" s="22"/>
      <c r="I1217" s="22"/>
      <c r="J1217" s="22"/>
      <c r="K1217" s="22"/>
      <c r="L1217" s="22"/>
      <c r="M1217" s="22"/>
      <c r="N1217" s="22"/>
      <c r="O1217" s="22"/>
      <c r="P1217" s="22"/>
      <c r="Q1217" s="22"/>
      <c r="R1217" s="22"/>
      <c r="S1217" s="22"/>
      <c r="T1217" s="22"/>
      <c r="U1217" s="22"/>
      <c r="V1217" s="22"/>
      <c r="W1217" s="22"/>
      <c r="X1217" s="22"/>
      <c r="Y1217" s="22"/>
      <c r="Z1217" s="22"/>
      <c r="AA1217" s="22"/>
      <c r="AB1217" s="22"/>
      <c r="AC1217" s="22"/>
      <c r="AD1217" s="22"/>
      <c r="AE1217" s="22"/>
      <c r="AF1217" s="22"/>
      <c r="AG1217" s="22"/>
      <c r="AH1217" s="22"/>
      <c r="AI1217" s="22"/>
      <c r="AJ1217" s="22"/>
      <c r="AK1217" s="22"/>
      <c r="AL1217" s="22"/>
      <c r="AM1217" s="22"/>
      <c r="AN1217" s="22"/>
      <c r="AO1217" s="22"/>
    </row>
    <row r="1218" ht="15.75" customHeight="1">
      <c r="A1218" s="22"/>
      <c r="B1218" s="22"/>
      <c r="C1218" s="22"/>
      <c r="D1218" s="22"/>
      <c r="E1218" s="22"/>
      <c r="F1218" s="22"/>
      <c r="G1218" s="130"/>
      <c r="H1218" s="22"/>
      <c r="I1218" s="22"/>
      <c r="J1218" s="22"/>
      <c r="K1218" s="22"/>
      <c r="L1218" s="22"/>
      <c r="M1218" s="22"/>
      <c r="N1218" s="22"/>
      <c r="O1218" s="22"/>
      <c r="P1218" s="22"/>
      <c r="Q1218" s="22"/>
      <c r="R1218" s="22"/>
      <c r="S1218" s="22"/>
      <c r="T1218" s="22"/>
      <c r="U1218" s="22"/>
      <c r="V1218" s="22"/>
      <c r="W1218" s="22"/>
      <c r="X1218" s="22"/>
      <c r="Y1218" s="22"/>
      <c r="Z1218" s="22"/>
      <c r="AA1218" s="22"/>
      <c r="AB1218" s="22"/>
      <c r="AC1218" s="22"/>
      <c r="AD1218" s="22"/>
      <c r="AE1218" s="22"/>
      <c r="AF1218" s="22"/>
      <c r="AG1218" s="22"/>
      <c r="AH1218" s="22"/>
      <c r="AI1218" s="22"/>
      <c r="AJ1218" s="22"/>
      <c r="AK1218" s="22"/>
      <c r="AL1218" s="22"/>
      <c r="AM1218" s="22"/>
      <c r="AN1218" s="22"/>
      <c r="AO1218" s="22"/>
    </row>
    <row r="1219" ht="15.75" customHeight="1">
      <c r="A1219" s="22"/>
      <c r="B1219" s="22"/>
      <c r="C1219" s="22"/>
      <c r="D1219" s="22"/>
      <c r="E1219" s="22"/>
      <c r="F1219" s="22"/>
      <c r="G1219" s="130"/>
      <c r="H1219" s="22"/>
      <c r="I1219" s="22"/>
      <c r="J1219" s="22"/>
      <c r="K1219" s="22"/>
      <c r="L1219" s="22"/>
      <c r="M1219" s="22"/>
      <c r="N1219" s="22"/>
      <c r="O1219" s="22"/>
      <c r="P1219" s="22"/>
      <c r="Q1219" s="22"/>
      <c r="R1219" s="22"/>
      <c r="S1219" s="22"/>
      <c r="T1219" s="22"/>
      <c r="U1219" s="22"/>
      <c r="V1219" s="22"/>
      <c r="W1219" s="22"/>
      <c r="X1219" s="22"/>
      <c r="Y1219" s="22"/>
      <c r="Z1219" s="22"/>
      <c r="AA1219" s="22"/>
      <c r="AB1219" s="22"/>
      <c r="AC1219" s="22"/>
      <c r="AD1219" s="22"/>
      <c r="AE1219" s="22"/>
      <c r="AF1219" s="22"/>
      <c r="AG1219" s="22"/>
      <c r="AH1219" s="22"/>
      <c r="AI1219" s="22"/>
      <c r="AJ1219" s="22"/>
      <c r="AK1219" s="22"/>
      <c r="AL1219" s="22"/>
      <c r="AM1219" s="22"/>
      <c r="AN1219" s="22"/>
      <c r="AO1219" s="22"/>
    </row>
    <row r="1220" ht="15.75" customHeight="1">
      <c r="A1220" s="22"/>
      <c r="B1220" s="22"/>
      <c r="C1220" s="22"/>
      <c r="D1220" s="22"/>
      <c r="E1220" s="22"/>
      <c r="F1220" s="22"/>
      <c r="G1220" s="130"/>
      <c r="H1220" s="22"/>
      <c r="I1220" s="22"/>
      <c r="J1220" s="22"/>
      <c r="K1220" s="22"/>
      <c r="L1220" s="22"/>
      <c r="M1220" s="22"/>
      <c r="N1220" s="22"/>
      <c r="O1220" s="22"/>
      <c r="P1220" s="22"/>
      <c r="Q1220" s="22"/>
      <c r="R1220" s="22"/>
      <c r="S1220" s="22"/>
      <c r="T1220" s="22"/>
      <c r="U1220" s="22"/>
      <c r="V1220" s="22"/>
      <c r="W1220" s="22"/>
      <c r="X1220" s="22"/>
      <c r="Y1220" s="22"/>
      <c r="Z1220" s="22"/>
      <c r="AA1220" s="22"/>
      <c r="AB1220" s="22"/>
      <c r="AC1220" s="22"/>
      <c r="AD1220" s="22"/>
      <c r="AE1220" s="22"/>
      <c r="AF1220" s="22"/>
      <c r="AG1220" s="22"/>
      <c r="AH1220" s="22"/>
      <c r="AI1220" s="22"/>
      <c r="AJ1220" s="22"/>
      <c r="AK1220" s="22"/>
      <c r="AL1220" s="22"/>
      <c r="AM1220" s="22"/>
      <c r="AN1220" s="22"/>
      <c r="AO1220" s="22"/>
    </row>
    <row r="1221" ht="15.75" customHeight="1">
      <c r="A1221" s="22"/>
      <c r="B1221" s="22"/>
      <c r="C1221" s="22"/>
      <c r="D1221" s="22"/>
      <c r="E1221" s="22"/>
      <c r="F1221" s="22"/>
      <c r="G1221" s="130"/>
      <c r="H1221" s="22"/>
      <c r="I1221" s="22"/>
      <c r="J1221" s="22"/>
      <c r="K1221" s="22"/>
      <c r="L1221" s="22"/>
      <c r="M1221" s="22"/>
      <c r="N1221" s="22"/>
      <c r="O1221" s="22"/>
      <c r="P1221" s="22"/>
      <c r="Q1221" s="22"/>
      <c r="R1221" s="22"/>
      <c r="S1221" s="22"/>
      <c r="T1221" s="22"/>
      <c r="U1221" s="22"/>
      <c r="V1221" s="22"/>
      <c r="W1221" s="22"/>
      <c r="X1221" s="22"/>
      <c r="Y1221" s="22"/>
      <c r="Z1221" s="22"/>
      <c r="AA1221" s="22"/>
      <c r="AB1221" s="22"/>
      <c r="AC1221" s="22"/>
      <c r="AD1221" s="22"/>
      <c r="AE1221" s="22"/>
      <c r="AF1221" s="22"/>
      <c r="AG1221" s="22"/>
      <c r="AH1221" s="22"/>
      <c r="AI1221" s="22"/>
      <c r="AJ1221" s="22"/>
      <c r="AK1221" s="22"/>
      <c r="AL1221" s="22"/>
      <c r="AM1221" s="22"/>
      <c r="AN1221" s="22"/>
      <c r="AO1221" s="22"/>
    </row>
    <row r="1222" ht="15.75" customHeight="1">
      <c r="A1222" s="22"/>
      <c r="B1222" s="22"/>
      <c r="C1222" s="22"/>
      <c r="D1222" s="22"/>
      <c r="E1222" s="22"/>
      <c r="F1222" s="22"/>
      <c r="G1222" s="130"/>
      <c r="H1222" s="22"/>
      <c r="I1222" s="22"/>
      <c r="J1222" s="22"/>
      <c r="K1222" s="22"/>
      <c r="L1222" s="22"/>
      <c r="M1222" s="22"/>
      <c r="N1222" s="22"/>
      <c r="O1222" s="22"/>
      <c r="P1222" s="22"/>
      <c r="Q1222" s="22"/>
      <c r="R1222" s="22"/>
      <c r="S1222" s="22"/>
      <c r="T1222" s="22"/>
      <c r="U1222" s="22"/>
      <c r="V1222" s="22"/>
      <c r="W1222" s="22"/>
      <c r="X1222" s="22"/>
      <c r="Y1222" s="22"/>
      <c r="Z1222" s="22"/>
      <c r="AA1222" s="22"/>
      <c r="AB1222" s="22"/>
      <c r="AC1222" s="22"/>
      <c r="AD1222" s="22"/>
      <c r="AE1222" s="22"/>
      <c r="AF1222" s="22"/>
      <c r="AG1222" s="22"/>
      <c r="AH1222" s="22"/>
      <c r="AI1222" s="22"/>
      <c r="AJ1222" s="22"/>
      <c r="AK1222" s="22"/>
      <c r="AL1222" s="22"/>
      <c r="AM1222" s="22"/>
      <c r="AN1222" s="22"/>
      <c r="AO1222" s="22"/>
    </row>
    <row r="1223" ht="15.75" customHeight="1">
      <c r="A1223" s="22"/>
      <c r="B1223" s="22"/>
      <c r="C1223" s="22"/>
      <c r="D1223" s="22"/>
      <c r="E1223" s="22"/>
      <c r="F1223" s="22"/>
      <c r="G1223" s="130"/>
      <c r="H1223" s="22"/>
      <c r="I1223" s="22"/>
      <c r="J1223" s="22"/>
      <c r="K1223" s="22"/>
      <c r="L1223" s="22"/>
      <c r="M1223" s="22"/>
      <c r="N1223" s="22"/>
      <c r="O1223" s="22"/>
      <c r="P1223" s="22"/>
      <c r="Q1223" s="22"/>
      <c r="R1223" s="22"/>
      <c r="S1223" s="22"/>
      <c r="T1223" s="22"/>
      <c r="U1223" s="22"/>
      <c r="V1223" s="22"/>
      <c r="W1223" s="22"/>
      <c r="X1223" s="22"/>
      <c r="Y1223" s="22"/>
      <c r="Z1223" s="22"/>
      <c r="AA1223" s="22"/>
      <c r="AB1223" s="22"/>
      <c r="AC1223" s="22"/>
      <c r="AD1223" s="22"/>
      <c r="AE1223" s="22"/>
      <c r="AF1223" s="22"/>
      <c r="AG1223" s="22"/>
      <c r="AH1223" s="22"/>
      <c r="AI1223" s="22"/>
      <c r="AJ1223" s="22"/>
      <c r="AK1223" s="22"/>
      <c r="AL1223" s="22"/>
      <c r="AM1223" s="22"/>
      <c r="AN1223" s="22"/>
      <c r="AO1223" s="22"/>
    </row>
    <row r="1224" ht="15.75" customHeight="1">
      <c r="A1224" s="22"/>
      <c r="B1224" s="22"/>
      <c r="C1224" s="22"/>
      <c r="D1224" s="22"/>
      <c r="E1224" s="22"/>
      <c r="F1224" s="22"/>
      <c r="G1224" s="130"/>
      <c r="H1224" s="22"/>
      <c r="I1224" s="22"/>
      <c r="J1224" s="22"/>
      <c r="K1224" s="22"/>
      <c r="L1224" s="22"/>
      <c r="M1224" s="22"/>
      <c r="N1224" s="22"/>
      <c r="O1224" s="22"/>
      <c r="P1224" s="22"/>
      <c r="Q1224" s="22"/>
      <c r="R1224" s="22"/>
      <c r="S1224" s="22"/>
      <c r="T1224" s="22"/>
      <c r="U1224" s="22"/>
      <c r="V1224" s="22"/>
      <c r="W1224" s="22"/>
      <c r="X1224" s="22"/>
      <c r="Y1224" s="22"/>
      <c r="Z1224" s="22"/>
      <c r="AA1224" s="22"/>
      <c r="AB1224" s="22"/>
      <c r="AC1224" s="22"/>
      <c r="AD1224" s="22"/>
      <c r="AE1224" s="22"/>
      <c r="AF1224" s="22"/>
      <c r="AG1224" s="22"/>
      <c r="AH1224" s="22"/>
      <c r="AI1224" s="22"/>
      <c r="AJ1224" s="22"/>
      <c r="AK1224" s="22"/>
      <c r="AL1224" s="22"/>
      <c r="AM1224" s="22"/>
      <c r="AN1224" s="22"/>
      <c r="AO1224" s="22"/>
    </row>
    <row r="1225" ht="15.75" customHeight="1">
      <c r="A1225" s="22"/>
      <c r="B1225" s="22"/>
      <c r="C1225" s="22"/>
      <c r="D1225" s="22"/>
      <c r="E1225" s="22"/>
      <c r="F1225" s="22"/>
      <c r="G1225" s="130"/>
      <c r="H1225" s="22"/>
      <c r="I1225" s="22"/>
      <c r="J1225" s="22"/>
      <c r="K1225" s="22"/>
      <c r="L1225" s="22"/>
      <c r="M1225" s="22"/>
      <c r="N1225" s="22"/>
      <c r="O1225" s="22"/>
      <c r="P1225" s="22"/>
      <c r="Q1225" s="22"/>
      <c r="R1225" s="22"/>
      <c r="S1225" s="22"/>
      <c r="T1225" s="22"/>
      <c r="U1225" s="22"/>
      <c r="V1225" s="22"/>
      <c r="W1225" s="22"/>
      <c r="X1225" s="22"/>
      <c r="Y1225" s="22"/>
      <c r="Z1225" s="22"/>
      <c r="AA1225" s="22"/>
      <c r="AB1225" s="22"/>
      <c r="AC1225" s="22"/>
      <c r="AD1225" s="22"/>
      <c r="AE1225" s="22"/>
      <c r="AF1225" s="22"/>
      <c r="AG1225" s="22"/>
      <c r="AH1225" s="22"/>
      <c r="AI1225" s="22"/>
      <c r="AJ1225" s="22"/>
      <c r="AK1225" s="22"/>
      <c r="AL1225" s="22"/>
      <c r="AM1225" s="22"/>
      <c r="AN1225" s="22"/>
      <c r="AO1225" s="22"/>
    </row>
    <row r="1226" ht="15.75" customHeight="1">
      <c r="A1226" s="22"/>
      <c r="B1226" s="22"/>
      <c r="C1226" s="22"/>
      <c r="D1226" s="22"/>
      <c r="E1226" s="22"/>
      <c r="F1226" s="22"/>
      <c r="G1226" s="130"/>
      <c r="H1226" s="22"/>
      <c r="I1226" s="22"/>
      <c r="J1226" s="22"/>
      <c r="K1226" s="22"/>
      <c r="L1226" s="22"/>
      <c r="M1226" s="22"/>
      <c r="N1226" s="22"/>
      <c r="O1226" s="22"/>
      <c r="P1226" s="22"/>
      <c r="Q1226" s="22"/>
      <c r="R1226" s="22"/>
      <c r="S1226" s="22"/>
      <c r="T1226" s="22"/>
      <c r="U1226" s="22"/>
      <c r="V1226" s="22"/>
      <c r="W1226" s="22"/>
      <c r="X1226" s="22"/>
      <c r="Y1226" s="22"/>
      <c r="Z1226" s="22"/>
      <c r="AA1226" s="22"/>
      <c r="AB1226" s="22"/>
      <c r="AC1226" s="22"/>
      <c r="AD1226" s="22"/>
      <c r="AE1226" s="22"/>
      <c r="AF1226" s="22"/>
      <c r="AG1226" s="22"/>
      <c r="AH1226" s="22"/>
      <c r="AI1226" s="22"/>
      <c r="AJ1226" s="22"/>
      <c r="AK1226" s="22"/>
      <c r="AL1226" s="22"/>
      <c r="AM1226" s="22"/>
      <c r="AN1226" s="22"/>
      <c r="AO1226" s="22"/>
    </row>
    <row r="1227" ht="15.75" customHeight="1">
      <c r="A1227" s="22"/>
      <c r="B1227" s="22"/>
      <c r="C1227" s="22"/>
      <c r="D1227" s="22"/>
      <c r="E1227" s="22"/>
      <c r="F1227" s="22"/>
      <c r="G1227" s="130"/>
      <c r="H1227" s="22"/>
      <c r="I1227" s="22"/>
      <c r="J1227" s="22"/>
      <c r="K1227" s="22"/>
      <c r="L1227" s="22"/>
      <c r="M1227" s="22"/>
      <c r="N1227" s="22"/>
      <c r="O1227" s="22"/>
      <c r="P1227" s="22"/>
      <c r="Q1227" s="22"/>
      <c r="R1227" s="22"/>
      <c r="S1227" s="22"/>
      <c r="T1227" s="22"/>
      <c r="U1227" s="22"/>
      <c r="V1227" s="22"/>
      <c r="W1227" s="22"/>
      <c r="X1227" s="22"/>
      <c r="Y1227" s="22"/>
      <c r="Z1227" s="22"/>
      <c r="AA1227" s="22"/>
      <c r="AB1227" s="22"/>
      <c r="AC1227" s="22"/>
      <c r="AD1227" s="22"/>
      <c r="AE1227" s="22"/>
      <c r="AF1227" s="22"/>
      <c r="AG1227" s="22"/>
      <c r="AH1227" s="22"/>
      <c r="AI1227" s="22"/>
      <c r="AJ1227" s="22"/>
      <c r="AK1227" s="22"/>
      <c r="AL1227" s="22"/>
      <c r="AM1227" s="22"/>
      <c r="AN1227" s="22"/>
      <c r="AO1227" s="22"/>
    </row>
    <row r="1228" ht="15.75" customHeight="1">
      <c r="A1228" s="22"/>
      <c r="B1228" s="22"/>
      <c r="C1228" s="22"/>
      <c r="D1228" s="22"/>
      <c r="E1228" s="22"/>
      <c r="F1228" s="22"/>
      <c r="G1228" s="130"/>
      <c r="H1228" s="22"/>
      <c r="I1228" s="22"/>
      <c r="J1228" s="22"/>
      <c r="K1228" s="22"/>
      <c r="L1228" s="22"/>
      <c r="M1228" s="22"/>
      <c r="N1228" s="22"/>
      <c r="O1228" s="22"/>
      <c r="P1228" s="22"/>
      <c r="Q1228" s="22"/>
      <c r="R1228" s="22"/>
      <c r="S1228" s="22"/>
      <c r="T1228" s="22"/>
      <c r="U1228" s="22"/>
      <c r="V1228" s="22"/>
      <c r="W1228" s="22"/>
      <c r="X1228" s="22"/>
      <c r="Y1228" s="22"/>
      <c r="Z1228" s="22"/>
      <c r="AA1228" s="22"/>
      <c r="AB1228" s="22"/>
      <c r="AC1228" s="22"/>
      <c r="AD1228" s="22"/>
      <c r="AE1228" s="22"/>
      <c r="AF1228" s="22"/>
      <c r="AG1228" s="22"/>
      <c r="AH1228" s="22"/>
      <c r="AI1228" s="22"/>
      <c r="AJ1228" s="22"/>
      <c r="AK1228" s="22"/>
      <c r="AL1228" s="22"/>
      <c r="AM1228" s="22"/>
      <c r="AN1228" s="22"/>
      <c r="AO1228" s="22"/>
    </row>
    <row r="1229" ht="15.75" customHeight="1">
      <c r="A1229" s="22"/>
      <c r="B1229" s="22"/>
      <c r="C1229" s="22"/>
      <c r="D1229" s="22"/>
      <c r="E1229" s="22"/>
      <c r="F1229" s="22"/>
      <c r="G1229" s="130"/>
      <c r="H1229" s="22"/>
      <c r="I1229" s="22"/>
      <c r="J1229" s="22"/>
      <c r="K1229" s="22"/>
      <c r="L1229" s="22"/>
      <c r="M1229" s="22"/>
      <c r="N1229" s="22"/>
      <c r="O1229" s="22"/>
      <c r="P1229" s="22"/>
      <c r="Q1229" s="22"/>
      <c r="R1229" s="22"/>
      <c r="S1229" s="22"/>
      <c r="T1229" s="22"/>
      <c r="U1229" s="22"/>
      <c r="V1229" s="22"/>
      <c r="W1229" s="22"/>
      <c r="X1229" s="22"/>
      <c r="Y1229" s="22"/>
      <c r="Z1229" s="22"/>
      <c r="AA1229" s="22"/>
      <c r="AB1229" s="22"/>
      <c r="AC1229" s="22"/>
      <c r="AD1229" s="22"/>
      <c r="AE1229" s="22"/>
      <c r="AF1229" s="22"/>
      <c r="AG1229" s="22"/>
      <c r="AH1229" s="22"/>
      <c r="AI1229" s="22"/>
      <c r="AJ1229" s="22"/>
      <c r="AK1229" s="22"/>
      <c r="AL1229" s="22"/>
      <c r="AM1229" s="22"/>
      <c r="AN1229" s="22"/>
      <c r="AO1229" s="22"/>
    </row>
    <row r="1230" ht="15.75" customHeight="1">
      <c r="A1230" s="22"/>
      <c r="B1230" s="22"/>
      <c r="C1230" s="22"/>
      <c r="D1230" s="22"/>
      <c r="E1230" s="22"/>
      <c r="F1230" s="22"/>
      <c r="G1230" s="130"/>
      <c r="H1230" s="22"/>
      <c r="I1230" s="22"/>
      <c r="J1230" s="22"/>
      <c r="K1230" s="22"/>
      <c r="L1230" s="22"/>
      <c r="M1230" s="22"/>
      <c r="N1230" s="22"/>
      <c r="O1230" s="22"/>
      <c r="P1230" s="22"/>
      <c r="Q1230" s="22"/>
      <c r="R1230" s="22"/>
      <c r="S1230" s="22"/>
      <c r="T1230" s="22"/>
      <c r="U1230" s="22"/>
      <c r="V1230" s="22"/>
      <c r="W1230" s="22"/>
      <c r="X1230" s="22"/>
      <c r="Y1230" s="22"/>
      <c r="Z1230" s="22"/>
      <c r="AA1230" s="22"/>
      <c r="AB1230" s="22"/>
      <c r="AC1230" s="22"/>
      <c r="AD1230" s="22"/>
      <c r="AE1230" s="22"/>
      <c r="AF1230" s="22"/>
      <c r="AG1230" s="22"/>
      <c r="AH1230" s="22"/>
      <c r="AI1230" s="22"/>
      <c r="AJ1230" s="22"/>
      <c r="AK1230" s="22"/>
      <c r="AL1230" s="22"/>
      <c r="AM1230" s="22"/>
      <c r="AN1230" s="22"/>
      <c r="AO1230" s="22"/>
    </row>
    <row r="1231" ht="15.75" customHeight="1">
      <c r="A1231" s="22"/>
      <c r="B1231" s="22"/>
      <c r="C1231" s="22"/>
      <c r="D1231" s="22"/>
      <c r="E1231" s="22"/>
      <c r="F1231" s="22"/>
      <c r="G1231" s="130"/>
      <c r="H1231" s="22"/>
      <c r="I1231" s="22"/>
      <c r="J1231" s="22"/>
      <c r="K1231" s="22"/>
      <c r="L1231" s="22"/>
      <c r="M1231" s="22"/>
      <c r="N1231" s="22"/>
      <c r="O1231" s="22"/>
      <c r="P1231" s="22"/>
      <c r="Q1231" s="22"/>
      <c r="R1231" s="22"/>
      <c r="S1231" s="22"/>
      <c r="T1231" s="22"/>
      <c r="U1231" s="22"/>
      <c r="V1231" s="22"/>
      <c r="W1231" s="22"/>
      <c r="X1231" s="22"/>
      <c r="Y1231" s="22"/>
      <c r="Z1231" s="22"/>
      <c r="AA1231" s="22"/>
      <c r="AB1231" s="22"/>
      <c r="AC1231" s="22"/>
      <c r="AD1231" s="22"/>
      <c r="AE1231" s="22"/>
      <c r="AF1231" s="22"/>
      <c r="AG1231" s="22"/>
      <c r="AH1231" s="22"/>
      <c r="AI1231" s="22"/>
      <c r="AJ1231" s="22"/>
      <c r="AK1231" s="22"/>
      <c r="AL1231" s="22"/>
      <c r="AM1231" s="22"/>
      <c r="AN1231" s="22"/>
      <c r="AO1231" s="22"/>
    </row>
    <row r="1232" ht="15.75" customHeight="1">
      <c r="A1232" s="22"/>
      <c r="B1232" s="22"/>
      <c r="C1232" s="22"/>
      <c r="D1232" s="22"/>
      <c r="E1232" s="22"/>
      <c r="F1232" s="22"/>
      <c r="G1232" s="130"/>
      <c r="H1232" s="22"/>
      <c r="I1232" s="22"/>
      <c r="J1232" s="22"/>
      <c r="K1232" s="22"/>
      <c r="L1232" s="22"/>
      <c r="M1232" s="22"/>
      <c r="N1232" s="22"/>
      <c r="O1232" s="22"/>
      <c r="P1232" s="22"/>
      <c r="Q1232" s="22"/>
      <c r="R1232" s="22"/>
      <c r="S1232" s="22"/>
      <c r="T1232" s="22"/>
      <c r="U1232" s="22"/>
      <c r="V1232" s="22"/>
      <c r="W1232" s="22"/>
      <c r="X1232" s="22"/>
      <c r="Y1232" s="22"/>
      <c r="Z1232" s="22"/>
      <c r="AA1232" s="22"/>
      <c r="AB1232" s="22"/>
      <c r="AC1232" s="22"/>
      <c r="AD1232" s="22"/>
      <c r="AE1232" s="22"/>
      <c r="AF1232" s="22"/>
      <c r="AG1232" s="22"/>
      <c r="AH1232" s="22"/>
      <c r="AI1232" s="22"/>
      <c r="AJ1232" s="22"/>
      <c r="AK1232" s="22"/>
      <c r="AL1232" s="22"/>
      <c r="AM1232" s="22"/>
      <c r="AN1232" s="22"/>
      <c r="AO1232" s="22"/>
    </row>
    <row r="1233" ht="15.75" customHeight="1">
      <c r="A1233" s="22"/>
      <c r="B1233" s="22"/>
      <c r="C1233" s="22"/>
      <c r="D1233" s="22"/>
      <c r="E1233" s="22"/>
      <c r="F1233" s="22"/>
      <c r="G1233" s="130"/>
      <c r="H1233" s="22"/>
      <c r="I1233" s="22"/>
      <c r="J1233" s="22"/>
      <c r="K1233" s="22"/>
      <c r="L1233" s="22"/>
      <c r="M1233" s="22"/>
      <c r="N1233" s="22"/>
      <c r="O1233" s="22"/>
      <c r="P1233" s="22"/>
      <c r="Q1233" s="22"/>
      <c r="R1233" s="22"/>
      <c r="S1233" s="22"/>
      <c r="T1233" s="22"/>
      <c r="U1233" s="22"/>
      <c r="V1233" s="22"/>
      <c r="W1233" s="22"/>
      <c r="X1233" s="22"/>
      <c r="Y1233" s="22"/>
      <c r="Z1233" s="22"/>
      <c r="AA1233" s="22"/>
      <c r="AB1233" s="22"/>
      <c r="AC1233" s="22"/>
      <c r="AD1233" s="22"/>
      <c r="AE1233" s="22"/>
      <c r="AF1233" s="22"/>
      <c r="AG1233" s="22"/>
      <c r="AH1233" s="22"/>
      <c r="AI1233" s="22"/>
      <c r="AJ1233" s="22"/>
      <c r="AK1233" s="22"/>
      <c r="AL1233" s="22"/>
      <c r="AM1233" s="22"/>
      <c r="AN1233" s="22"/>
      <c r="AO1233" s="22"/>
    </row>
    <row r="1234" ht="15.75" customHeight="1">
      <c r="A1234" s="22"/>
      <c r="B1234" s="22"/>
      <c r="C1234" s="22"/>
      <c r="D1234" s="22"/>
      <c r="E1234" s="22"/>
      <c r="F1234" s="22"/>
      <c r="G1234" s="130"/>
      <c r="H1234" s="22"/>
      <c r="I1234" s="22"/>
      <c r="J1234" s="22"/>
      <c r="K1234" s="22"/>
      <c r="L1234" s="22"/>
      <c r="M1234" s="22"/>
      <c r="N1234" s="22"/>
      <c r="O1234" s="22"/>
      <c r="P1234" s="22"/>
      <c r="Q1234" s="22"/>
      <c r="R1234" s="22"/>
      <c r="S1234" s="22"/>
      <c r="T1234" s="22"/>
      <c r="U1234" s="22"/>
      <c r="V1234" s="22"/>
      <c r="W1234" s="22"/>
      <c r="X1234" s="22"/>
      <c r="Y1234" s="22"/>
      <c r="Z1234" s="22"/>
      <c r="AA1234" s="22"/>
      <c r="AB1234" s="22"/>
      <c r="AC1234" s="22"/>
      <c r="AD1234" s="22"/>
      <c r="AE1234" s="22"/>
      <c r="AF1234" s="22"/>
      <c r="AG1234" s="22"/>
      <c r="AH1234" s="22"/>
      <c r="AI1234" s="22"/>
      <c r="AJ1234" s="22"/>
      <c r="AK1234" s="22"/>
      <c r="AL1234" s="22"/>
      <c r="AM1234" s="22"/>
      <c r="AN1234" s="22"/>
      <c r="AO1234" s="22"/>
    </row>
    <row r="1235" ht="15.75" customHeight="1">
      <c r="A1235" s="22"/>
      <c r="B1235" s="22"/>
      <c r="C1235" s="22"/>
      <c r="D1235" s="22"/>
      <c r="E1235" s="22"/>
      <c r="F1235" s="22"/>
      <c r="G1235" s="130"/>
      <c r="H1235" s="22"/>
      <c r="I1235" s="22"/>
      <c r="J1235" s="22"/>
      <c r="K1235" s="22"/>
      <c r="L1235" s="22"/>
      <c r="M1235" s="22"/>
      <c r="N1235" s="22"/>
      <c r="O1235" s="22"/>
      <c r="P1235" s="22"/>
      <c r="Q1235" s="22"/>
      <c r="R1235" s="22"/>
      <c r="S1235" s="22"/>
      <c r="T1235" s="22"/>
      <c r="U1235" s="22"/>
      <c r="V1235" s="22"/>
      <c r="W1235" s="22"/>
      <c r="X1235" s="22"/>
      <c r="Y1235" s="22"/>
      <c r="Z1235" s="22"/>
      <c r="AA1235" s="22"/>
      <c r="AB1235" s="22"/>
      <c r="AC1235" s="22"/>
      <c r="AD1235" s="22"/>
      <c r="AE1235" s="22"/>
      <c r="AF1235" s="22"/>
      <c r="AG1235" s="22"/>
      <c r="AH1235" s="22"/>
      <c r="AI1235" s="22"/>
      <c r="AJ1235" s="22"/>
      <c r="AK1235" s="22"/>
      <c r="AL1235" s="22"/>
      <c r="AM1235" s="22"/>
      <c r="AN1235" s="22"/>
      <c r="AO1235" s="22"/>
    </row>
    <row r="1236" ht="15.75" customHeight="1">
      <c r="A1236" s="22"/>
      <c r="B1236" s="22"/>
      <c r="C1236" s="22"/>
      <c r="D1236" s="22"/>
      <c r="E1236" s="22"/>
      <c r="F1236" s="22"/>
      <c r="G1236" s="130"/>
      <c r="H1236" s="22"/>
      <c r="I1236" s="22"/>
      <c r="J1236" s="22"/>
      <c r="K1236" s="22"/>
      <c r="L1236" s="22"/>
      <c r="M1236" s="22"/>
      <c r="N1236" s="22"/>
      <c r="O1236" s="22"/>
      <c r="P1236" s="22"/>
      <c r="Q1236" s="22"/>
      <c r="R1236" s="22"/>
      <c r="S1236" s="22"/>
      <c r="T1236" s="22"/>
      <c r="U1236" s="22"/>
      <c r="V1236" s="22"/>
      <c r="W1236" s="22"/>
      <c r="X1236" s="22"/>
      <c r="Y1236" s="22"/>
      <c r="Z1236" s="22"/>
      <c r="AA1236" s="22"/>
      <c r="AB1236" s="22"/>
      <c r="AC1236" s="22"/>
      <c r="AD1236" s="22"/>
      <c r="AE1236" s="22"/>
      <c r="AF1236" s="22"/>
      <c r="AG1236" s="22"/>
      <c r="AH1236" s="22"/>
      <c r="AI1236" s="22"/>
      <c r="AJ1236" s="22"/>
      <c r="AK1236" s="22"/>
      <c r="AL1236" s="22"/>
      <c r="AM1236" s="22"/>
      <c r="AN1236" s="22"/>
      <c r="AO1236" s="22"/>
    </row>
    <row r="1237" ht="15.75" customHeight="1">
      <c r="A1237" s="22"/>
      <c r="B1237" s="22"/>
      <c r="C1237" s="22"/>
      <c r="D1237" s="22"/>
      <c r="E1237" s="22"/>
      <c r="F1237" s="22"/>
      <c r="G1237" s="130"/>
      <c r="H1237" s="22"/>
      <c r="I1237" s="22"/>
      <c r="J1237" s="22"/>
      <c r="K1237" s="22"/>
      <c r="L1237" s="22"/>
      <c r="M1237" s="22"/>
      <c r="N1237" s="22"/>
      <c r="O1237" s="22"/>
      <c r="P1237" s="22"/>
      <c r="Q1237" s="22"/>
      <c r="R1237" s="22"/>
      <c r="S1237" s="22"/>
      <c r="T1237" s="22"/>
      <c r="U1237" s="22"/>
      <c r="V1237" s="22"/>
      <c r="W1237" s="22"/>
      <c r="X1237" s="22"/>
      <c r="Y1237" s="22"/>
      <c r="Z1237" s="22"/>
      <c r="AA1237" s="22"/>
      <c r="AB1237" s="22"/>
      <c r="AC1237" s="22"/>
      <c r="AD1237" s="22"/>
      <c r="AE1237" s="22"/>
      <c r="AF1237" s="22"/>
      <c r="AG1237" s="22"/>
      <c r="AH1237" s="22"/>
      <c r="AI1237" s="22"/>
      <c r="AJ1237" s="22"/>
      <c r="AK1237" s="22"/>
      <c r="AL1237" s="22"/>
      <c r="AM1237" s="22"/>
      <c r="AN1237" s="22"/>
      <c r="AO1237" s="22"/>
    </row>
    <row r="1238" ht="15.75" customHeight="1">
      <c r="A1238" s="22"/>
      <c r="B1238" s="22"/>
      <c r="C1238" s="22"/>
      <c r="D1238" s="22"/>
      <c r="E1238" s="22"/>
      <c r="F1238" s="22"/>
      <c r="G1238" s="130"/>
      <c r="H1238" s="22"/>
      <c r="I1238" s="22"/>
      <c r="J1238" s="22"/>
      <c r="K1238" s="22"/>
      <c r="L1238" s="22"/>
      <c r="M1238" s="22"/>
      <c r="N1238" s="22"/>
      <c r="O1238" s="22"/>
      <c r="P1238" s="22"/>
      <c r="Q1238" s="22"/>
      <c r="R1238" s="22"/>
      <c r="S1238" s="22"/>
      <c r="T1238" s="22"/>
      <c r="U1238" s="22"/>
      <c r="V1238" s="22"/>
      <c r="W1238" s="22"/>
      <c r="X1238" s="22"/>
      <c r="Y1238" s="22"/>
      <c r="Z1238" s="22"/>
      <c r="AA1238" s="22"/>
      <c r="AB1238" s="22"/>
      <c r="AC1238" s="22"/>
      <c r="AD1238" s="22"/>
      <c r="AE1238" s="22"/>
      <c r="AF1238" s="22"/>
      <c r="AG1238" s="22"/>
      <c r="AH1238" s="22"/>
      <c r="AI1238" s="22"/>
      <c r="AJ1238" s="22"/>
      <c r="AK1238" s="22"/>
      <c r="AL1238" s="22"/>
      <c r="AM1238" s="22"/>
      <c r="AN1238" s="22"/>
      <c r="AO1238" s="22"/>
    </row>
    <row r="1239" ht="15.75" customHeight="1">
      <c r="A1239" s="22"/>
      <c r="B1239" s="22"/>
      <c r="C1239" s="22"/>
      <c r="D1239" s="22"/>
      <c r="E1239" s="22"/>
      <c r="F1239" s="22"/>
      <c r="G1239" s="130"/>
      <c r="H1239" s="22"/>
      <c r="I1239" s="22"/>
      <c r="J1239" s="22"/>
      <c r="K1239" s="22"/>
      <c r="L1239" s="22"/>
      <c r="M1239" s="22"/>
      <c r="N1239" s="22"/>
      <c r="O1239" s="22"/>
      <c r="P1239" s="22"/>
      <c r="Q1239" s="22"/>
      <c r="R1239" s="22"/>
      <c r="S1239" s="22"/>
      <c r="T1239" s="22"/>
      <c r="U1239" s="22"/>
      <c r="V1239" s="22"/>
      <c r="W1239" s="22"/>
      <c r="X1239" s="22"/>
      <c r="Y1239" s="22"/>
      <c r="Z1239" s="22"/>
      <c r="AA1239" s="22"/>
      <c r="AB1239" s="22"/>
      <c r="AC1239" s="22"/>
      <c r="AD1239" s="22"/>
      <c r="AE1239" s="22"/>
      <c r="AF1239" s="22"/>
      <c r="AG1239" s="22"/>
      <c r="AH1239" s="22"/>
      <c r="AI1239" s="22"/>
      <c r="AJ1239" s="22"/>
      <c r="AK1239" s="22"/>
      <c r="AL1239" s="22"/>
      <c r="AM1239" s="22"/>
      <c r="AN1239" s="22"/>
      <c r="AO1239" s="22"/>
    </row>
    <row r="1240" ht="15.75" customHeight="1">
      <c r="A1240" s="22"/>
      <c r="B1240" s="22"/>
      <c r="C1240" s="22"/>
      <c r="D1240" s="22"/>
      <c r="E1240" s="22"/>
      <c r="F1240" s="22"/>
      <c r="G1240" s="130"/>
      <c r="H1240" s="22"/>
      <c r="I1240" s="22"/>
      <c r="J1240" s="22"/>
      <c r="K1240" s="22"/>
      <c r="L1240" s="22"/>
      <c r="M1240" s="22"/>
      <c r="N1240" s="22"/>
      <c r="O1240" s="22"/>
      <c r="P1240" s="22"/>
      <c r="Q1240" s="22"/>
      <c r="R1240" s="22"/>
      <c r="S1240" s="22"/>
      <c r="T1240" s="22"/>
      <c r="U1240" s="22"/>
      <c r="V1240" s="22"/>
      <c r="W1240" s="22"/>
      <c r="X1240" s="22"/>
      <c r="Y1240" s="22"/>
      <c r="Z1240" s="22"/>
      <c r="AA1240" s="22"/>
      <c r="AB1240" s="22"/>
      <c r="AC1240" s="22"/>
      <c r="AD1240" s="22"/>
      <c r="AE1240" s="22"/>
      <c r="AF1240" s="22"/>
      <c r="AG1240" s="22"/>
      <c r="AH1240" s="22"/>
      <c r="AI1240" s="22"/>
      <c r="AJ1240" s="22"/>
      <c r="AK1240" s="22"/>
      <c r="AL1240" s="22"/>
      <c r="AM1240" s="22"/>
      <c r="AN1240" s="22"/>
      <c r="AO1240" s="22"/>
    </row>
    <row r="1241" ht="15.75" customHeight="1">
      <c r="A1241" s="22"/>
      <c r="B1241" s="22"/>
      <c r="C1241" s="22"/>
      <c r="D1241" s="22"/>
      <c r="E1241" s="22"/>
      <c r="F1241" s="22"/>
      <c r="G1241" s="130"/>
      <c r="H1241" s="22"/>
      <c r="I1241" s="22"/>
      <c r="J1241" s="22"/>
      <c r="K1241" s="22"/>
      <c r="L1241" s="22"/>
      <c r="M1241" s="22"/>
      <c r="N1241" s="22"/>
      <c r="O1241" s="22"/>
      <c r="P1241" s="22"/>
      <c r="Q1241" s="22"/>
      <c r="R1241" s="22"/>
      <c r="S1241" s="22"/>
      <c r="T1241" s="22"/>
      <c r="U1241" s="22"/>
      <c r="V1241" s="22"/>
      <c r="W1241" s="22"/>
      <c r="X1241" s="22"/>
      <c r="Y1241" s="22"/>
      <c r="Z1241" s="22"/>
      <c r="AA1241" s="22"/>
      <c r="AB1241" s="22"/>
      <c r="AC1241" s="22"/>
      <c r="AD1241" s="22"/>
      <c r="AE1241" s="22"/>
      <c r="AF1241" s="22"/>
      <c r="AG1241" s="22"/>
      <c r="AH1241" s="22"/>
      <c r="AI1241" s="22"/>
      <c r="AJ1241" s="22"/>
      <c r="AK1241" s="22"/>
      <c r="AL1241" s="22"/>
      <c r="AM1241" s="22"/>
      <c r="AN1241" s="22"/>
      <c r="AO1241" s="22"/>
    </row>
    <row r="1242" ht="15.75" customHeight="1">
      <c r="A1242" s="22"/>
      <c r="B1242" s="22"/>
      <c r="C1242" s="22"/>
      <c r="D1242" s="22"/>
      <c r="E1242" s="22"/>
      <c r="F1242" s="22"/>
      <c r="G1242" s="130"/>
      <c r="H1242" s="22"/>
      <c r="I1242" s="22"/>
      <c r="J1242" s="22"/>
      <c r="K1242" s="22"/>
      <c r="L1242" s="22"/>
      <c r="M1242" s="22"/>
      <c r="N1242" s="22"/>
      <c r="O1242" s="22"/>
      <c r="P1242" s="22"/>
      <c r="Q1242" s="22"/>
      <c r="R1242" s="22"/>
      <c r="S1242" s="22"/>
      <c r="T1242" s="22"/>
      <c r="U1242" s="22"/>
      <c r="V1242" s="22"/>
      <c r="W1242" s="22"/>
      <c r="X1242" s="22"/>
      <c r="Y1242" s="22"/>
      <c r="Z1242" s="22"/>
      <c r="AA1242" s="22"/>
      <c r="AB1242" s="22"/>
      <c r="AC1242" s="22"/>
      <c r="AD1242" s="22"/>
      <c r="AE1242" s="22"/>
      <c r="AF1242" s="22"/>
      <c r="AG1242" s="22"/>
      <c r="AH1242" s="22"/>
      <c r="AI1242" s="22"/>
      <c r="AJ1242" s="22"/>
      <c r="AK1242" s="22"/>
      <c r="AL1242" s="22"/>
      <c r="AM1242" s="22"/>
      <c r="AN1242" s="22"/>
      <c r="AO1242" s="22"/>
    </row>
    <row r="1243" ht="15.75" customHeight="1">
      <c r="A1243" s="22"/>
      <c r="B1243" s="22"/>
      <c r="C1243" s="22"/>
      <c r="D1243" s="22"/>
      <c r="E1243" s="22"/>
      <c r="F1243" s="22"/>
      <c r="G1243" s="130"/>
      <c r="H1243" s="22"/>
      <c r="I1243" s="22"/>
      <c r="J1243" s="22"/>
      <c r="K1243" s="22"/>
      <c r="L1243" s="22"/>
      <c r="M1243" s="22"/>
      <c r="N1243" s="22"/>
      <c r="O1243" s="22"/>
      <c r="P1243" s="22"/>
      <c r="Q1243" s="22"/>
      <c r="R1243" s="22"/>
      <c r="S1243" s="22"/>
      <c r="T1243" s="22"/>
      <c r="U1243" s="22"/>
      <c r="V1243" s="22"/>
      <c r="W1243" s="22"/>
      <c r="X1243" s="22"/>
      <c r="Y1243" s="22"/>
      <c r="Z1243" s="22"/>
      <c r="AA1243" s="22"/>
      <c r="AB1243" s="22"/>
      <c r="AC1243" s="22"/>
      <c r="AD1243" s="22"/>
      <c r="AE1243" s="22"/>
      <c r="AF1243" s="22"/>
      <c r="AG1243" s="22"/>
      <c r="AH1243" s="22"/>
      <c r="AI1243" s="22"/>
      <c r="AJ1243" s="22"/>
      <c r="AK1243" s="22"/>
      <c r="AL1243" s="22"/>
      <c r="AM1243" s="22"/>
      <c r="AN1243" s="22"/>
      <c r="AO1243" s="22"/>
    </row>
    <row r="1244" ht="15.75" customHeight="1">
      <c r="A1244" s="22"/>
      <c r="B1244" s="22"/>
      <c r="C1244" s="22"/>
      <c r="D1244" s="22"/>
      <c r="E1244" s="22"/>
      <c r="F1244" s="22"/>
      <c r="G1244" s="130"/>
      <c r="H1244" s="22"/>
      <c r="I1244" s="22"/>
      <c r="J1244" s="22"/>
      <c r="K1244" s="22"/>
      <c r="L1244" s="22"/>
      <c r="M1244" s="22"/>
      <c r="N1244" s="22"/>
      <c r="O1244" s="22"/>
      <c r="P1244" s="22"/>
      <c r="Q1244" s="22"/>
      <c r="R1244" s="22"/>
      <c r="S1244" s="22"/>
      <c r="T1244" s="22"/>
      <c r="U1244" s="22"/>
      <c r="V1244" s="22"/>
      <c r="W1244" s="22"/>
      <c r="X1244" s="22"/>
      <c r="Y1244" s="22"/>
      <c r="Z1244" s="22"/>
      <c r="AA1244" s="22"/>
      <c r="AB1244" s="22"/>
      <c r="AC1244" s="22"/>
      <c r="AD1244" s="22"/>
      <c r="AE1244" s="22"/>
      <c r="AF1244" s="22"/>
      <c r="AG1244" s="22"/>
      <c r="AH1244" s="22"/>
      <c r="AI1244" s="22"/>
      <c r="AJ1244" s="22"/>
      <c r="AK1244" s="22"/>
      <c r="AL1244" s="22"/>
      <c r="AM1244" s="22"/>
      <c r="AN1244" s="22"/>
      <c r="AO1244" s="22"/>
    </row>
    <row r="1245" ht="15.75" customHeight="1">
      <c r="A1245" s="22"/>
      <c r="B1245" s="22"/>
      <c r="C1245" s="22"/>
      <c r="D1245" s="22"/>
      <c r="E1245" s="22"/>
      <c r="F1245" s="22"/>
      <c r="G1245" s="130"/>
      <c r="H1245" s="22"/>
      <c r="I1245" s="22"/>
      <c r="J1245" s="22"/>
      <c r="K1245" s="22"/>
      <c r="L1245" s="22"/>
      <c r="M1245" s="22"/>
      <c r="N1245" s="22"/>
      <c r="O1245" s="22"/>
      <c r="P1245" s="22"/>
      <c r="Q1245" s="22"/>
      <c r="R1245" s="22"/>
      <c r="S1245" s="22"/>
      <c r="T1245" s="22"/>
      <c r="U1245" s="22"/>
      <c r="V1245" s="22"/>
      <c r="W1245" s="22"/>
      <c r="X1245" s="22"/>
      <c r="Y1245" s="22"/>
      <c r="Z1245" s="22"/>
      <c r="AA1245" s="22"/>
      <c r="AB1245" s="22"/>
      <c r="AC1245" s="22"/>
      <c r="AD1245" s="22"/>
      <c r="AE1245" s="22"/>
      <c r="AF1245" s="22"/>
      <c r="AG1245" s="22"/>
      <c r="AH1245" s="22"/>
      <c r="AI1245" s="22"/>
      <c r="AJ1245" s="22"/>
      <c r="AK1245" s="22"/>
      <c r="AL1245" s="22"/>
      <c r="AM1245" s="22"/>
      <c r="AN1245" s="22"/>
      <c r="AO1245" s="22"/>
    </row>
    <row r="1246" ht="15.75" customHeight="1">
      <c r="A1246" s="22"/>
      <c r="B1246" s="22"/>
      <c r="C1246" s="22"/>
      <c r="D1246" s="22"/>
      <c r="E1246" s="22"/>
      <c r="F1246" s="22"/>
      <c r="G1246" s="130"/>
      <c r="H1246" s="22"/>
      <c r="I1246" s="22"/>
      <c r="J1246" s="22"/>
      <c r="K1246" s="22"/>
      <c r="L1246" s="22"/>
      <c r="M1246" s="22"/>
      <c r="N1246" s="22"/>
      <c r="O1246" s="22"/>
      <c r="P1246" s="22"/>
      <c r="Q1246" s="22"/>
      <c r="R1246" s="22"/>
      <c r="S1246" s="22"/>
      <c r="T1246" s="22"/>
      <c r="U1246" s="22"/>
      <c r="V1246" s="22"/>
      <c r="W1246" s="22"/>
      <c r="X1246" s="22"/>
      <c r="Y1246" s="22"/>
      <c r="Z1246" s="22"/>
      <c r="AA1246" s="22"/>
      <c r="AB1246" s="22"/>
      <c r="AC1246" s="22"/>
      <c r="AD1246" s="22"/>
      <c r="AE1246" s="22"/>
      <c r="AF1246" s="22"/>
      <c r="AG1246" s="22"/>
      <c r="AH1246" s="22"/>
      <c r="AI1246" s="22"/>
      <c r="AJ1246" s="22"/>
      <c r="AK1246" s="22"/>
      <c r="AL1246" s="22"/>
      <c r="AM1246" s="22"/>
      <c r="AN1246" s="22"/>
      <c r="AO1246" s="22"/>
    </row>
    <row r="1247" ht="15.75" customHeight="1">
      <c r="A1247" s="22"/>
      <c r="B1247" s="22"/>
      <c r="C1247" s="22"/>
      <c r="D1247" s="22"/>
      <c r="E1247" s="22"/>
      <c r="F1247" s="22"/>
      <c r="G1247" s="130"/>
      <c r="H1247" s="22"/>
      <c r="I1247" s="22"/>
      <c r="J1247" s="22"/>
      <c r="K1247" s="22"/>
      <c r="L1247" s="22"/>
      <c r="M1247" s="22"/>
      <c r="N1247" s="22"/>
      <c r="O1247" s="22"/>
      <c r="P1247" s="22"/>
      <c r="Q1247" s="22"/>
      <c r="R1247" s="22"/>
      <c r="S1247" s="22"/>
      <c r="T1247" s="22"/>
      <c r="U1247" s="22"/>
      <c r="V1247" s="22"/>
      <c r="W1247" s="22"/>
      <c r="X1247" s="22"/>
      <c r="Y1247" s="22"/>
      <c r="Z1247" s="22"/>
      <c r="AA1247" s="22"/>
      <c r="AB1247" s="22"/>
      <c r="AC1247" s="22"/>
      <c r="AD1247" s="22"/>
      <c r="AE1247" s="22"/>
      <c r="AF1247" s="22"/>
      <c r="AG1247" s="22"/>
      <c r="AH1247" s="22"/>
      <c r="AI1247" s="22"/>
      <c r="AJ1247" s="22"/>
      <c r="AK1247" s="22"/>
      <c r="AL1247" s="22"/>
      <c r="AM1247" s="22"/>
      <c r="AN1247" s="22"/>
      <c r="AO1247" s="22"/>
    </row>
    <row r="1248" ht="15.75" customHeight="1">
      <c r="A1248" s="22"/>
      <c r="B1248" s="22"/>
      <c r="C1248" s="22"/>
      <c r="D1248" s="22"/>
      <c r="E1248" s="22"/>
      <c r="F1248" s="22"/>
      <c r="G1248" s="130"/>
      <c r="H1248" s="22"/>
      <c r="I1248" s="22"/>
      <c r="J1248" s="22"/>
      <c r="K1248" s="22"/>
      <c r="L1248" s="22"/>
      <c r="M1248" s="22"/>
      <c r="N1248" s="22"/>
      <c r="O1248" s="22"/>
      <c r="P1248" s="22"/>
      <c r="Q1248" s="22"/>
      <c r="R1248" s="22"/>
      <c r="S1248" s="22"/>
      <c r="T1248" s="22"/>
      <c r="U1248" s="22"/>
      <c r="V1248" s="22"/>
      <c r="W1248" s="22"/>
      <c r="X1248" s="22"/>
      <c r="Y1248" s="22"/>
      <c r="Z1248" s="22"/>
      <c r="AA1248" s="22"/>
      <c r="AB1248" s="22"/>
      <c r="AC1248" s="22"/>
      <c r="AD1248" s="22"/>
      <c r="AE1248" s="22"/>
      <c r="AF1248" s="22"/>
      <c r="AG1248" s="22"/>
      <c r="AH1248" s="22"/>
      <c r="AI1248" s="22"/>
      <c r="AJ1248" s="22"/>
      <c r="AK1248" s="22"/>
      <c r="AL1248" s="22"/>
      <c r="AM1248" s="22"/>
      <c r="AN1248" s="22"/>
      <c r="AO1248" s="22"/>
    </row>
    <row r="1249" ht="15.75" customHeight="1">
      <c r="A1249" s="22"/>
      <c r="B1249" s="22"/>
      <c r="C1249" s="22"/>
      <c r="D1249" s="22"/>
      <c r="E1249" s="22"/>
      <c r="F1249" s="22"/>
      <c r="G1249" s="130"/>
      <c r="H1249" s="22"/>
      <c r="I1249" s="22"/>
      <c r="J1249" s="22"/>
      <c r="K1249" s="22"/>
      <c r="L1249" s="22"/>
      <c r="M1249" s="22"/>
      <c r="N1249" s="22"/>
      <c r="O1249" s="22"/>
      <c r="P1249" s="22"/>
      <c r="Q1249" s="22"/>
      <c r="R1249" s="22"/>
      <c r="S1249" s="22"/>
      <c r="T1249" s="22"/>
      <c r="U1249" s="22"/>
      <c r="V1249" s="22"/>
      <c r="W1249" s="22"/>
      <c r="X1249" s="22"/>
      <c r="Y1249" s="22"/>
      <c r="Z1249" s="22"/>
      <c r="AA1249" s="22"/>
      <c r="AB1249" s="22"/>
      <c r="AC1249" s="22"/>
      <c r="AD1249" s="22"/>
      <c r="AE1249" s="22"/>
      <c r="AF1249" s="22"/>
      <c r="AG1249" s="22"/>
      <c r="AH1249" s="22"/>
      <c r="AI1249" s="22"/>
      <c r="AJ1249" s="22"/>
      <c r="AK1249" s="22"/>
      <c r="AL1249" s="22"/>
      <c r="AM1249" s="22"/>
      <c r="AN1249" s="22"/>
      <c r="AO1249" s="22"/>
    </row>
    <row r="1250" ht="15.75" customHeight="1">
      <c r="A1250" s="22"/>
      <c r="B1250" s="22"/>
      <c r="C1250" s="22"/>
      <c r="D1250" s="22"/>
      <c r="E1250" s="22"/>
      <c r="F1250" s="22"/>
      <c r="G1250" s="130"/>
      <c r="H1250" s="22"/>
      <c r="I1250" s="22"/>
      <c r="J1250" s="22"/>
      <c r="K1250" s="22"/>
      <c r="L1250" s="22"/>
      <c r="M1250" s="22"/>
      <c r="N1250" s="22"/>
      <c r="O1250" s="22"/>
      <c r="P1250" s="22"/>
      <c r="Q1250" s="22"/>
      <c r="R1250" s="22"/>
      <c r="S1250" s="22"/>
      <c r="T1250" s="22"/>
      <c r="U1250" s="22"/>
      <c r="V1250" s="22"/>
      <c r="W1250" s="22"/>
      <c r="X1250" s="22"/>
      <c r="Y1250" s="22"/>
      <c r="Z1250" s="22"/>
      <c r="AA1250" s="22"/>
      <c r="AB1250" s="22"/>
      <c r="AC1250" s="22"/>
      <c r="AD1250" s="22"/>
      <c r="AE1250" s="22"/>
      <c r="AF1250" s="22"/>
      <c r="AG1250" s="22"/>
      <c r="AH1250" s="22"/>
      <c r="AI1250" s="22"/>
      <c r="AJ1250" s="22"/>
      <c r="AK1250" s="22"/>
      <c r="AL1250" s="22"/>
      <c r="AM1250" s="22"/>
      <c r="AN1250" s="22"/>
      <c r="AO1250" s="22"/>
    </row>
    <row r="1251" ht="15.75" customHeight="1">
      <c r="A1251" s="22"/>
      <c r="B1251" s="22"/>
      <c r="C1251" s="22"/>
      <c r="D1251" s="22"/>
      <c r="E1251" s="22"/>
      <c r="F1251" s="22"/>
      <c r="G1251" s="130"/>
      <c r="H1251" s="22"/>
      <c r="I1251" s="22"/>
      <c r="J1251" s="22"/>
      <c r="K1251" s="22"/>
      <c r="L1251" s="22"/>
      <c r="M1251" s="22"/>
      <c r="N1251" s="22"/>
      <c r="O1251" s="22"/>
      <c r="P1251" s="22"/>
      <c r="Q1251" s="22"/>
      <c r="R1251" s="22"/>
      <c r="S1251" s="22"/>
      <c r="T1251" s="22"/>
      <c r="U1251" s="22"/>
      <c r="V1251" s="22"/>
      <c r="W1251" s="22"/>
      <c r="X1251" s="22"/>
      <c r="Y1251" s="22"/>
      <c r="Z1251" s="22"/>
      <c r="AA1251" s="22"/>
      <c r="AB1251" s="22"/>
      <c r="AC1251" s="22"/>
      <c r="AD1251" s="22"/>
      <c r="AE1251" s="22"/>
      <c r="AF1251" s="22"/>
      <c r="AG1251" s="22"/>
      <c r="AH1251" s="22"/>
      <c r="AI1251" s="22"/>
      <c r="AJ1251" s="22"/>
      <c r="AK1251" s="22"/>
      <c r="AL1251" s="22"/>
      <c r="AM1251" s="22"/>
      <c r="AN1251" s="22"/>
      <c r="AO1251" s="22"/>
    </row>
    <row r="1252" ht="15.75" customHeight="1">
      <c r="A1252" s="22"/>
      <c r="B1252" s="22"/>
      <c r="C1252" s="22"/>
      <c r="D1252" s="22"/>
      <c r="E1252" s="22"/>
      <c r="F1252" s="22"/>
      <c r="G1252" s="130"/>
      <c r="H1252" s="22"/>
      <c r="I1252" s="22"/>
      <c r="J1252" s="22"/>
      <c r="K1252" s="22"/>
      <c r="L1252" s="22"/>
      <c r="M1252" s="22"/>
      <c r="N1252" s="22"/>
      <c r="O1252" s="22"/>
      <c r="P1252" s="22"/>
      <c r="Q1252" s="22"/>
      <c r="R1252" s="22"/>
      <c r="S1252" s="22"/>
      <c r="T1252" s="22"/>
      <c r="U1252" s="22"/>
      <c r="V1252" s="22"/>
      <c r="W1252" s="22"/>
      <c r="X1252" s="22"/>
      <c r="Y1252" s="22"/>
      <c r="Z1252" s="22"/>
      <c r="AA1252" s="22"/>
      <c r="AB1252" s="22"/>
      <c r="AC1252" s="22"/>
      <c r="AD1252" s="22"/>
      <c r="AE1252" s="22"/>
      <c r="AF1252" s="22"/>
      <c r="AG1252" s="22"/>
      <c r="AH1252" s="22"/>
      <c r="AI1252" s="22"/>
      <c r="AJ1252" s="22"/>
      <c r="AK1252" s="22"/>
      <c r="AL1252" s="22"/>
      <c r="AM1252" s="22"/>
      <c r="AN1252" s="22"/>
      <c r="AO1252" s="22"/>
    </row>
    <row r="1253" ht="15.75" customHeight="1">
      <c r="A1253" s="22"/>
      <c r="B1253" s="22"/>
      <c r="C1253" s="22"/>
      <c r="D1253" s="22"/>
      <c r="E1253" s="22"/>
      <c r="F1253" s="22"/>
      <c r="G1253" s="130"/>
      <c r="H1253" s="22"/>
      <c r="I1253" s="22"/>
      <c r="J1253" s="22"/>
      <c r="K1253" s="22"/>
      <c r="L1253" s="22"/>
      <c r="M1253" s="22"/>
      <c r="N1253" s="22"/>
      <c r="O1253" s="22"/>
      <c r="P1253" s="22"/>
      <c r="Q1253" s="22"/>
      <c r="R1253" s="22"/>
      <c r="S1253" s="22"/>
      <c r="T1253" s="22"/>
      <c r="U1253" s="22"/>
      <c r="V1253" s="22"/>
      <c r="W1253" s="22"/>
      <c r="X1253" s="22"/>
      <c r="Y1253" s="22"/>
      <c r="Z1253" s="22"/>
      <c r="AA1253" s="22"/>
      <c r="AB1253" s="22"/>
      <c r="AC1253" s="22"/>
      <c r="AD1253" s="22"/>
      <c r="AE1253" s="22"/>
      <c r="AF1253" s="22"/>
      <c r="AG1253" s="22"/>
      <c r="AH1253" s="22"/>
      <c r="AI1253" s="22"/>
      <c r="AJ1253" s="22"/>
      <c r="AK1253" s="22"/>
      <c r="AL1253" s="22"/>
      <c r="AM1253" s="22"/>
      <c r="AN1253" s="22"/>
      <c r="AO1253" s="22"/>
    </row>
    <row r="1254" ht="15.75" customHeight="1">
      <c r="A1254" s="22"/>
      <c r="B1254" s="22"/>
      <c r="C1254" s="22"/>
      <c r="D1254" s="22"/>
      <c r="E1254" s="22"/>
      <c r="F1254" s="22"/>
      <c r="G1254" s="130"/>
      <c r="H1254" s="22"/>
      <c r="I1254" s="22"/>
      <c r="J1254" s="22"/>
      <c r="K1254" s="22"/>
      <c r="L1254" s="22"/>
      <c r="M1254" s="22"/>
      <c r="N1254" s="22"/>
      <c r="O1254" s="22"/>
      <c r="P1254" s="22"/>
      <c r="Q1254" s="22"/>
      <c r="R1254" s="22"/>
      <c r="S1254" s="22"/>
      <c r="T1254" s="22"/>
      <c r="U1254" s="22"/>
      <c r="V1254" s="22"/>
      <c r="W1254" s="22"/>
      <c r="X1254" s="22"/>
      <c r="Y1254" s="22"/>
      <c r="Z1254" s="22"/>
      <c r="AA1254" s="22"/>
      <c r="AB1254" s="22"/>
      <c r="AC1254" s="22"/>
      <c r="AD1254" s="22"/>
      <c r="AE1254" s="22"/>
      <c r="AF1254" s="22"/>
      <c r="AG1254" s="22"/>
      <c r="AH1254" s="22"/>
      <c r="AI1254" s="22"/>
      <c r="AJ1254" s="22"/>
      <c r="AK1254" s="22"/>
      <c r="AL1254" s="22"/>
      <c r="AM1254" s="22"/>
      <c r="AN1254" s="22"/>
      <c r="AO1254" s="22"/>
    </row>
    <row r="1255" ht="15.75" customHeight="1">
      <c r="A1255" s="22"/>
      <c r="B1255" s="22"/>
      <c r="C1255" s="22"/>
      <c r="D1255" s="22"/>
      <c r="E1255" s="22"/>
      <c r="F1255" s="22"/>
      <c r="G1255" s="130"/>
      <c r="H1255" s="22"/>
      <c r="I1255" s="22"/>
      <c r="J1255" s="22"/>
      <c r="K1255" s="22"/>
      <c r="L1255" s="22"/>
      <c r="M1255" s="22"/>
      <c r="N1255" s="22"/>
      <c r="O1255" s="22"/>
      <c r="P1255" s="22"/>
      <c r="Q1255" s="22"/>
      <c r="R1255" s="22"/>
      <c r="S1255" s="22"/>
      <c r="T1255" s="22"/>
      <c r="U1255" s="22"/>
      <c r="V1255" s="22"/>
      <c r="W1255" s="22"/>
      <c r="X1255" s="22"/>
      <c r="Y1255" s="22"/>
      <c r="Z1255" s="22"/>
      <c r="AA1255" s="22"/>
      <c r="AB1255" s="22"/>
      <c r="AC1255" s="22"/>
      <c r="AD1255" s="22"/>
      <c r="AE1255" s="22"/>
      <c r="AF1255" s="22"/>
      <c r="AG1255" s="22"/>
      <c r="AH1255" s="22"/>
      <c r="AI1255" s="22"/>
      <c r="AJ1255" s="22"/>
      <c r="AK1255" s="22"/>
      <c r="AL1255" s="22"/>
      <c r="AM1255" s="22"/>
      <c r="AN1255" s="22"/>
      <c r="AO1255" s="22"/>
    </row>
    <row r="1256" ht="15.75" customHeight="1">
      <c r="A1256" s="22"/>
      <c r="B1256" s="22"/>
      <c r="C1256" s="22"/>
      <c r="D1256" s="22"/>
      <c r="E1256" s="22"/>
      <c r="F1256" s="22"/>
      <c r="G1256" s="130"/>
      <c r="H1256" s="22"/>
      <c r="I1256" s="22"/>
      <c r="J1256" s="22"/>
      <c r="K1256" s="22"/>
      <c r="L1256" s="22"/>
      <c r="M1256" s="22"/>
      <c r="N1256" s="22"/>
      <c r="O1256" s="22"/>
      <c r="P1256" s="22"/>
      <c r="Q1256" s="22"/>
      <c r="R1256" s="22"/>
      <c r="S1256" s="22"/>
      <c r="T1256" s="22"/>
      <c r="U1256" s="22"/>
      <c r="V1256" s="22"/>
      <c r="W1256" s="22"/>
      <c r="X1256" s="22"/>
      <c r="Y1256" s="22"/>
      <c r="Z1256" s="22"/>
      <c r="AA1256" s="22"/>
      <c r="AB1256" s="22"/>
      <c r="AC1256" s="22"/>
      <c r="AD1256" s="22"/>
      <c r="AE1256" s="22"/>
      <c r="AF1256" s="22"/>
      <c r="AG1256" s="22"/>
      <c r="AH1256" s="22"/>
      <c r="AI1256" s="22"/>
      <c r="AJ1256" s="22"/>
      <c r="AK1256" s="22"/>
      <c r="AL1256" s="22"/>
      <c r="AM1256" s="22"/>
      <c r="AN1256" s="22"/>
      <c r="AO1256" s="22"/>
    </row>
    <row r="1257" ht="15.75" customHeight="1">
      <c r="A1257" s="22"/>
      <c r="B1257" s="22"/>
      <c r="C1257" s="22"/>
      <c r="D1257" s="22"/>
      <c r="E1257" s="22"/>
      <c r="F1257" s="22"/>
      <c r="G1257" s="130"/>
      <c r="H1257" s="22"/>
      <c r="I1257" s="22"/>
      <c r="J1257" s="22"/>
      <c r="K1257" s="22"/>
      <c r="L1257" s="22"/>
      <c r="M1257" s="22"/>
      <c r="N1257" s="22"/>
      <c r="O1257" s="22"/>
      <c r="P1257" s="22"/>
      <c r="Q1257" s="22"/>
      <c r="R1257" s="22"/>
      <c r="S1257" s="22"/>
      <c r="T1257" s="22"/>
      <c r="U1257" s="22"/>
      <c r="V1257" s="22"/>
      <c r="W1257" s="22"/>
      <c r="X1257" s="22"/>
      <c r="Y1257" s="22"/>
      <c r="Z1257" s="22"/>
      <c r="AA1257" s="22"/>
      <c r="AB1257" s="22"/>
      <c r="AC1257" s="22"/>
      <c r="AD1257" s="22"/>
      <c r="AE1257" s="22"/>
      <c r="AF1257" s="22"/>
      <c r="AG1257" s="22"/>
      <c r="AH1257" s="22"/>
      <c r="AI1257" s="22"/>
      <c r="AJ1257" s="22"/>
      <c r="AK1257" s="22"/>
      <c r="AL1257" s="22"/>
      <c r="AM1257" s="22"/>
      <c r="AN1257" s="22"/>
      <c r="AO1257" s="22"/>
    </row>
    <row r="1258" ht="15.75" customHeight="1">
      <c r="A1258" s="22"/>
      <c r="B1258" s="22"/>
      <c r="C1258" s="22"/>
      <c r="D1258" s="22"/>
      <c r="E1258" s="22"/>
      <c r="F1258" s="22"/>
      <c r="G1258" s="130"/>
      <c r="H1258" s="22"/>
      <c r="I1258" s="22"/>
      <c r="J1258" s="22"/>
      <c r="K1258" s="22"/>
      <c r="L1258" s="22"/>
      <c r="M1258" s="22"/>
      <c r="N1258" s="22"/>
      <c r="O1258" s="22"/>
      <c r="P1258" s="22"/>
      <c r="Q1258" s="22"/>
      <c r="R1258" s="22"/>
      <c r="S1258" s="22"/>
      <c r="T1258" s="22"/>
      <c r="U1258" s="22"/>
      <c r="V1258" s="22"/>
      <c r="W1258" s="22"/>
      <c r="X1258" s="22"/>
      <c r="Y1258" s="22"/>
      <c r="Z1258" s="22"/>
      <c r="AA1258" s="22"/>
      <c r="AB1258" s="22"/>
      <c r="AC1258" s="22"/>
      <c r="AD1258" s="22"/>
      <c r="AE1258" s="22"/>
      <c r="AF1258" s="22"/>
      <c r="AG1258" s="22"/>
      <c r="AH1258" s="22"/>
      <c r="AI1258" s="22"/>
      <c r="AJ1258" s="22"/>
      <c r="AK1258" s="22"/>
      <c r="AL1258" s="22"/>
      <c r="AM1258" s="22"/>
      <c r="AN1258" s="22"/>
      <c r="AO1258" s="22"/>
    </row>
    <row r="1259" ht="15.75" customHeight="1">
      <c r="A1259" s="22"/>
      <c r="B1259" s="22"/>
      <c r="C1259" s="22"/>
      <c r="D1259" s="22"/>
      <c r="E1259" s="22"/>
      <c r="F1259" s="22"/>
      <c r="G1259" s="130"/>
      <c r="H1259" s="22"/>
      <c r="I1259" s="22"/>
      <c r="J1259" s="22"/>
      <c r="K1259" s="22"/>
      <c r="L1259" s="22"/>
      <c r="M1259" s="22"/>
      <c r="N1259" s="22"/>
      <c r="O1259" s="22"/>
      <c r="P1259" s="22"/>
      <c r="Q1259" s="22"/>
      <c r="R1259" s="22"/>
      <c r="S1259" s="22"/>
      <c r="T1259" s="22"/>
      <c r="U1259" s="22"/>
      <c r="V1259" s="22"/>
      <c r="W1259" s="22"/>
      <c r="X1259" s="22"/>
      <c r="Y1259" s="22"/>
      <c r="Z1259" s="22"/>
      <c r="AA1259" s="22"/>
      <c r="AB1259" s="22"/>
      <c r="AC1259" s="22"/>
      <c r="AD1259" s="22"/>
      <c r="AE1259" s="22"/>
      <c r="AF1259" s="22"/>
      <c r="AG1259" s="22"/>
      <c r="AH1259" s="22"/>
      <c r="AI1259" s="22"/>
      <c r="AJ1259" s="22"/>
      <c r="AK1259" s="22"/>
      <c r="AL1259" s="22"/>
      <c r="AM1259" s="22"/>
      <c r="AN1259" s="22"/>
      <c r="AO1259" s="22"/>
    </row>
    <row r="1260" ht="15.75" customHeight="1">
      <c r="A1260" s="22"/>
      <c r="B1260" s="22"/>
      <c r="C1260" s="22"/>
      <c r="D1260" s="22"/>
      <c r="E1260" s="22"/>
      <c r="F1260" s="22"/>
      <c r="G1260" s="130"/>
      <c r="H1260" s="22"/>
      <c r="I1260" s="22"/>
      <c r="J1260" s="22"/>
      <c r="K1260" s="22"/>
      <c r="L1260" s="22"/>
      <c r="M1260" s="22"/>
      <c r="N1260" s="22"/>
      <c r="O1260" s="22"/>
      <c r="P1260" s="22"/>
      <c r="Q1260" s="22"/>
      <c r="R1260" s="22"/>
      <c r="S1260" s="22"/>
      <c r="T1260" s="22"/>
      <c r="U1260" s="22"/>
      <c r="V1260" s="22"/>
      <c r="W1260" s="22"/>
      <c r="X1260" s="22"/>
      <c r="Y1260" s="22"/>
      <c r="Z1260" s="22"/>
      <c r="AA1260" s="22"/>
      <c r="AB1260" s="22"/>
      <c r="AC1260" s="22"/>
      <c r="AD1260" s="22"/>
      <c r="AE1260" s="22"/>
      <c r="AF1260" s="22"/>
      <c r="AG1260" s="22"/>
      <c r="AH1260" s="22"/>
      <c r="AI1260" s="22"/>
      <c r="AJ1260" s="22"/>
      <c r="AK1260" s="22"/>
      <c r="AL1260" s="22"/>
      <c r="AM1260" s="22"/>
      <c r="AN1260" s="22"/>
      <c r="AO1260" s="22"/>
    </row>
    <row r="1261" ht="15.75" customHeight="1">
      <c r="A1261" s="22"/>
      <c r="B1261" s="22"/>
      <c r="C1261" s="22"/>
      <c r="D1261" s="22"/>
      <c r="E1261" s="22"/>
      <c r="F1261" s="22"/>
      <c r="G1261" s="130"/>
      <c r="H1261" s="22"/>
      <c r="I1261" s="22"/>
      <c r="J1261" s="22"/>
      <c r="K1261" s="22"/>
      <c r="L1261" s="22"/>
      <c r="M1261" s="22"/>
      <c r="N1261" s="22"/>
      <c r="O1261" s="22"/>
      <c r="P1261" s="22"/>
      <c r="Q1261" s="22"/>
      <c r="R1261" s="22"/>
      <c r="S1261" s="22"/>
      <c r="T1261" s="22"/>
      <c r="U1261" s="22"/>
      <c r="V1261" s="22"/>
      <c r="W1261" s="22"/>
      <c r="X1261" s="22"/>
      <c r="Y1261" s="22"/>
      <c r="Z1261" s="22"/>
      <c r="AA1261" s="22"/>
      <c r="AB1261" s="22"/>
      <c r="AC1261" s="22"/>
      <c r="AD1261" s="22"/>
      <c r="AE1261" s="22"/>
      <c r="AF1261" s="22"/>
      <c r="AG1261" s="22"/>
      <c r="AH1261" s="22"/>
      <c r="AI1261" s="22"/>
      <c r="AJ1261" s="22"/>
      <c r="AK1261" s="22"/>
      <c r="AL1261" s="22"/>
      <c r="AM1261" s="22"/>
      <c r="AN1261" s="22"/>
      <c r="AO1261" s="22"/>
    </row>
    <row r="1262" ht="15.75" customHeight="1">
      <c r="A1262" s="22"/>
      <c r="B1262" s="22"/>
      <c r="C1262" s="22"/>
      <c r="D1262" s="22"/>
      <c r="E1262" s="22"/>
      <c r="F1262" s="22"/>
      <c r="G1262" s="130"/>
      <c r="H1262" s="22"/>
      <c r="I1262" s="22"/>
      <c r="J1262" s="22"/>
      <c r="K1262" s="22"/>
      <c r="L1262" s="22"/>
      <c r="M1262" s="22"/>
      <c r="N1262" s="22"/>
      <c r="O1262" s="22"/>
      <c r="P1262" s="22"/>
      <c r="Q1262" s="22"/>
      <c r="R1262" s="22"/>
      <c r="S1262" s="22"/>
      <c r="T1262" s="22"/>
      <c r="U1262" s="22"/>
      <c r="V1262" s="22"/>
      <c r="W1262" s="22"/>
      <c r="X1262" s="22"/>
      <c r="Y1262" s="22"/>
      <c r="Z1262" s="22"/>
      <c r="AA1262" s="22"/>
      <c r="AB1262" s="22"/>
      <c r="AC1262" s="22"/>
      <c r="AD1262" s="22"/>
      <c r="AE1262" s="22"/>
      <c r="AF1262" s="22"/>
      <c r="AG1262" s="22"/>
      <c r="AH1262" s="22"/>
      <c r="AI1262" s="22"/>
      <c r="AJ1262" s="22"/>
      <c r="AK1262" s="22"/>
      <c r="AL1262" s="22"/>
      <c r="AM1262" s="22"/>
      <c r="AN1262" s="22"/>
      <c r="AO1262" s="22"/>
    </row>
    <row r="1263" ht="15.75" customHeight="1">
      <c r="A1263" s="22"/>
      <c r="B1263" s="22"/>
      <c r="C1263" s="22"/>
      <c r="D1263" s="22"/>
      <c r="E1263" s="22"/>
      <c r="F1263" s="22"/>
      <c r="G1263" s="130"/>
      <c r="H1263" s="22"/>
      <c r="I1263" s="22"/>
      <c r="J1263" s="22"/>
      <c r="K1263" s="22"/>
      <c r="L1263" s="22"/>
      <c r="M1263" s="22"/>
      <c r="N1263" s="22"/>
      <c r="O1263" s="22"/>
      <c r="P1263" s="22"/>
      <c r="Q1263" s="22"/>
      <c r="R1263" s="22"/>
      <c r="S1263" s="22"/>
      <c r="T1263" s="22"/>
      <c r="U1263" s="22"/>
      <c r="V1263" s="22"/>
      <c r="W1263" s="22"/>
      <c r="X1263" s="22"/>
      <c r="Y1263" s="22"/>
      <c r="Z1263" s="22"/>
      <c r="AA1263" s="22"/>
      <c r="AB1263" s="22"/>
      <c r="AC1263" s="22"/>
      <c r="AD1263" s="22"/>
      <c r="AE1263" s="22"/>
      <c r="AF1263" s="22"/>
      <c r="AG1263" s="22"/>
      <c r="AH1263" s="22"/>
      <c r="AI1263" s="22"/>
      <c r="AJ1263" s="22"/>
      <c r="AK1263" s="22"/>
      <c r="AL1263" s="22"/>
      <c r="AM1263" s="22"/>
      <c r="AN1263" s="22"/>
      <c r="AO1263" s="22"/>
    </row>
    <row r="1264" ht="15.75" customHeight="1">
      <c r="A1264" s="22"/>
      <c r="B1264" s="22"/>
      <c r="C1264" s="22"/>
      <c r="D1264" s="22"/>
      <c r="E1264" s="22"/>
      <c r="F1264" s="22"/>
      <c r="G1264" s="130"/>
      <c r="H1264" s="22"/>
      <c r="I1264" s="22"/>
      <c r="J1264" s="22"/>
      <c r="K1264" s="22"/>
      <c r="L1264" s="22"/>
      <c r="M1264" s="22"/>
      <c r="N1264" s="22"/>
      <c r="O1264" s="22"/>
      <c r="P1264" s="22"/>
      <c r="Q1264" s="22"/>
      <c r="R1264" s="22"/>
      <c r="S1264" s="22"/>
      <c r="T1264" s="22"/>
      <c r="U1264" s="22"/>
      <c r="V1264" s="22"/>
      <c r="W1264" s="22"/>
      <c r="X1264" s="22"/>
      <c r="Y1264" s="22"/>
      <c r="Z1264" s="22"/>
      <c r="AA1264" s="22"/>
      <c r="AB1264" s="22"/>
      <c r="AC1264" s="22"/>
      <c r="AD1264" s="22"/>
      <c r="AE1264" s="22"/>
      <c r="AF1264" s="22"/>
      <c r="AG1264" s="22"/>
      <c r="AH1264" s="22"/>
      <c r="AI1264" s="22"/>
      <c r="AJ1264" s="22"/>
      <c r="AK1264" s="22"/>
      <c r="AL1264" s="22"/>
      <c r="AM1264" s="22"/>
      <c r="AN1264" s="22"/>
      <c r="AO1264" s="22"/>
    </row>
    <row r="1265" ht="15.75" customHeight="1">
      <c r="A1265" s="22"/>
      <c r="B1265" s="22"/>
      <c r="C1265" s="22"/>
      <c r="D1265" s="22"/>
      <c r="E1265" s="22"/>
      <c r="F1265" s="22"/>
      <c r="G1265" s="130"/>
      <c r="H1265" s="22"/>
      <c r="I1265" s="22"/>
      <c r="J1265" s="22"/>
      <c r="K1265" s="22"/>
      <c r="L1265" s="22"/>
      <c r="M1265" s="22"/>
      <c r="N1265" s="22"/>
      <c r="O1265" s="22"/>
      <c r="P1265" s="22"/>
      <c r="Q1265" s="22"/>
      <c r="R1265" s="22"/>
      <c r="S1265" s="22"/>
      <c r="T1265" s="22"/>
      <c r="U1265" s="22"/>
      <c r="V1265" s="22"/>
      <c r="W1265" s="22"/>
      <c r="X1265" s="22"/>
      <c r="Y1265" s="22"/>
      <c r="Z1265" s="22"/>
      <c r="AA1265" s="22"/>
      <c r="AB1265" s="22"/>
      <c r="AC1265" s="22"/>
      <c r="AD1265" s="22"/>
      <c r="AE1265" s="22"/>
      <c r="AF1265" s="22"/>
      <c r="AG1265" s="22"/>
      <c r="AH1265" s="22"/>
      <c r="AI1265" s="22"/>
      <c r="AJ1265" s="22"/>
      <c r="AK1265" s="22"/>
      <c r="AL1265" s="22"/>
      <c r="AM1265" s="22"/>
      <c r="AN1265" s="22"/>
      <c r="AO1265" s="22"/>
    </row>
    <row r="1266" ht="15.75" customHeight="1">
      <c r="A1266" s="22"/>
      <c r="B1266" s="22"/>
      <c r="C1266" s="22"/>
      <c r="D1266" s="22"/>
      <c r="E1266" s="22"/>
      <c r="F1266" s="22"/>
      <c r="G1266" s="130"/>
      <c r="H1266" s="22"/>
      <c r="I1266" s="22"/>
      <c r="J1266" s="22"/>
      <c r="K1266" s="22"/>
      <c r="L1266" s="22"/>
      <c r="M1266" s="22"/>
      <c r="N1266" s="22"/>
      <c r="O1266" s="22"/>
      <c r="P1266" s="22"/>
      <c r="Q1266" s="22"/>
      <c r="R1266" s="22"/>
      <c r="S1266" s="22"/>
      <c r="T1266" s="22"/>
      <c r="U1266" s="22"/>
      <c r="V1266" s="22"/>
      <c r="W1266" s="22"/>
      <c r="X1266" s="22"/>
      <c r="Y1266" s="22"/>
      <c r="Z1266" s="22"/>
      <c r="AA1266" s="22"/>
      <c r="AB1266" s="22"/>
      <c r="AC1266" s="22"/>
      <c r="AD1266" s="22"/>
      <c r="AE1266" s="22"/>
      <c r="AF1266" s="22"/>
      <c r="AG1266" s="22"/>
      <c r="AH1266" s="22"/>
      <c r="AI1266" s="22"/>
      <c r="AJ1266" s="22"/>
      <c r="AK1266" s="22"/>
      <c r="AL1266" s="22"/>
      <c r="AM1266" s="22"/>
      <c r="AN1266" s="22"/>
      <c r="AO1266" s="22"/>
    </row>
    <row r="1267" ht="15.75" customHeight="1">
      <c r="A1267" s="22"/>
      <c r="B1267" s="22"/>
      <c r="C1267" s="22"/>
      <c r="D1267" s="22"/>
      <c r="E1267" s="22"/>
      <c r="F1267" s="22"/>
      <c r="G1267" s="130"/>
      <c r="H1267" s="22"/>
      <c r="I1267" s="22"/>
      <c r="J1267" s="22"/>
      <c r="K1267" s="22"/>
      <c r="L1267" s="22"/>
      <c r="M1267" s="22"/>
      <c r="N1267" s="22"/>
      <c r="O1267" s="22"/>
      <c r="P1267" s="22"/>
      <c r="Q1267" s="22"/>
      <c r="R1267" s="22"/>
      <c r="S1267" s="22"/>
      <c r="T1267" s="22"/>
      <c r="U1267" s="22"/>
      <c r="V1267" s="22"/>
      <c r="W1267" s="22"/>
      <c r="X1267" s="22"/>
      <c r="Y1267" s="22"/>
      <c r="Z1267" s="22"/>
      <c r="AA1267" s="22"/>
      <c r="AB1267" s="22"/>
      <c r="AC1267" s="22"/>
      <c r="AD1267" s="22"/>
      <c r="AE1267" s="22"/>
      <c r="AF1267" s="22"/>
      <c r="AG1267" s="22"/>
      <c r="AH1267" s="22"/>
      <c r="AI1267" s="22"/>
      <c r="AJ1267" s="22"/>
      <c r="AK1267" s="22"/>
      <c r="AL1267" s="22"/>
      <c r="AM1267" s="22"/>
      <c r="AN1267" s="22"/>
      <c r="AO1267" s="22"/>
    </row>
    <row r="1268" ht="15.75" customHeight="1">
      <c r="A1268" s="22"/>
      <c r="B1268" s="22"/>
      <c r="C1268" s="22"/>
      <c r="D1268" s="22"/>
      <c r="E1268" s="22"/>
      <c r="F1268" s="22"/>
      <c r="G1268" s="130"/>
      <c r="H1268" s="22"/>
      <c r="I1268" s="22"/>
      <c r="J1268" s="22"/>
      <c r="K1268" s="22"/>
      <c r="L1268" s="22"/>
      <c r="M1268" s="22"/>
      <c r="N1268" s="22"/>
      <c r="O1268" s="22"/>
      <c r="P1268" s="22"/>
      <c r="Q1268" s="22"/>
      <c r="R1268" s="22"/>
      <c r="S1268" s="22"/>
      <c r="T1268" s="22"/>
      <c r="U1268" s="22"/>
      <c r="V1268" s="22"/>
      <c r="W1268" s="22"/>
      <c r="X1268" s="22"/>
      <c r="Y1268" s="22"/>
      <c r="Z1268" s="22"/>
      <c r="AA1268" s="22"/>
      <c r="AB1268" s="22"/>
      <c r="AC1268" s="22"/>
      <c r="AD1268" s="22"/>
      <c r="AE1268" s="22"/>
      <c r="AF1268" s="22"/>
      <c r="AG1268" s="22"/>
      <c r="AH1268" s="22"/>
      <c r="AI1268" s="22"/>
      <c r="AJ1268" s="22"/>
      <c r="AK1268" s="22"/>
      <c r="AL1268" s="22"/>
      <c r="AM1268" s="22"/>
      <c r="AN1268" s="22"/>
      <c r="AO1268" s="22"/>
    </row>
    <row r="1269" ht="15.75" customHeight="1">
      <c r="A1269" s="22"/>
      <c r="B1269" s="22"/>
      <c r="C1269" s="22"/>
      <c r="D1269" s="22"/>
      <c r="E1269" s="22"/>
      <c r="F1269" s="22"/>
      <c r="G1269" s="130"/>
      <c r="H1269" s="22"/>
      <c r="I1269" s="22"/>
      <c r="J1269" s="22"/>
      <c r="K1269" s="22"/>
      <c r="L1269" s="22"/>
      <c r="M1269" s="22"/>
      <c r="N1269" s="22"/>
      <c r="O1269" s="22"/>
      <c r="P1269" s="22"/>
      <c r="Q1269" s="22"/>
      <c r="R1269" s="22"/>
      <c r="S1269" s="22"/>
      <c r="T1269" s="22"/>
      <c r="U1269" s="22"/>
      <c r="V1269" s="22"/>
      <c r="W1269" s="22"/>
      <c r="X1269" s="22"/>
      <c r="Y1269" s="22"/>
      <c r="Z1269" s="22"/>
      <c r="AA1269" s="22"/>
      <c r="AB1269" s="22"/>
      <c r="AC1269" s="22"/>
      <c r="AD1269" s="22"/>
      <c r="AE1269" s="22"/>
      <c r="AF1269" s="22"/>
      <c r="AG1269" s="22"/>
      <c r="AH1269" s="22"/>
      <c r="AI1269" s="22"/>
      <c r="AJ1269" s="22"/>
      <c r="AK1269" s="22"/>
      <c r="AL1269" s="22"/>
      <c r="AM1269" s="22"/>
      <c r="AN1269" s="22"/>
      <c r="AO1269" s="22"/>
    </row>
    <row r="1270" ht="15.75" customHeight="1">
      <c r="A1270" s="22"/>
      <c r="B1270" s="22"/>
      <c r="C1270" s="22"/>
      <c r="D1270" s="22"/>
      <c r="E1270" s="22"/>
      <c r="F1270" s="22"/>
      <c r="G1270" s="130"/>
      <c r="H1270" s="22"/>
      <c r="I1270" s="22"/>
      <c r="J1270" s="22"/>
      <c r="K1270" s="22"/>
      <c r="L1270" s="22"/>
      <c r="M1270" s="22"/>
      <c r="N1270" s="22"/>
      <c r="O1270" s="22"/>
      <c r="P1270" s="22"/>
      <c r="Q1270" s="22"/>
      <c r="R1270" s="22"/>
      <c r="S1270" s="22"/>
      <c r="T1270" s="22"/>
      <c r="U1270" s="22"/>
      <c r="V1270" s="22"/>
      <c r="W1270" s="22"/>
      <c r="X1270" s="22"/>
      <c r="Y1270" s="22"/>
      <c r="Z1270" s="22"/>
      <c r="AA1270" s="22"/>
      <c r="AB1270" s="22"/>
      <c r="AC1270" s="22"/>
      <c r="AD1270" s="22"/>
      <c r="AE1270" s="22"/>
      <c r="AF1270" s="22"/>
      <c r="AG1270" s="22"/>
      <c r="AH1270" s="22"/>
      <c r="AI1270" s="22"/>
      <c r="AJ1270" s="22"/>
      <c r="AK1270" s="22"/>
      <c r="AL1270" s="22"/>
      <c r="AM1270" s="22"/>
      <c r="AN1270" s="22"/>
      <c r="AO1270" s="22"/>
    </row>
    <row r="1271" ht="15.75" customHeight="1">
      <c r="A1271" s="22"/>
      <c r="B1271" s="22"/>
      <c r="C1271" s="22"/>
      <c r="D1271" s="22"/>
      <c r="E1271" s="22"/>
      <c r="F1271" s="22"/>
      <c r="G1271" s="130"/>
      <c r="H1271" s="22"/>
      <c r="I1271" s="22"/>
      <c r="J1271" s="22"/>
      <c r="K1271" s="22"/>
      <c r="L1271" s="22"/>
      <c r="M1271" s="22"/>
      <c r="N1271" s="22"/>
      <c r="O1271" s="22"/>
      <c r="P1271" s="22"/>
      <c r="Q1271" s="22"/>
      <c r="R1271" s="22"/>
      <c r="S1271" s="22"/>
      <c r="T1271" s="22"/>
      <c r="U1271" s="22"/>
      <c r="V1271" s="22"/>
      <c r="W1271" s="22"/>
      <c r="X1271" s="22"/>
      <c r="Y1271" s="22"/>
      <c r="Z1271" s="22"/>
      <c r="AA1271" s="22"/>
      <c r="AB1271" s="22"/>
      <c r="AC1271" s="22"/>
      <c r="AD1271" s="22"/>
      <c r="AE1271" s="22"/>
      <c r="AF1271" s="22"/>
      <c r="AG1271" s="22"/>
      <c r="AH1271" s="22"/>
      <c r="AI1271" s="22"/>
      <c r="AJ1271" s="22"/>
      <c r="AK1271" s="22"/>
      <c r="AL1271" s="22"/>
      <c r="AM1271" s="22"/>
      <c r="AN1271" s="22"/>
      <c r="AO1271" s="22"/>
    </row>
    <row r="1272" ht="15.75" customHeight="1">
      <c r="A1272" s="22"/>
      <c r="B1272" s="22"/>
      <c r="C1272" s="22"/>
      <c r="D1272" s="22"/>
      <c r="E1272" s="22"/>
      <c r="F1272" s="22"/>
      <c r="G1272" s="130"/>
      <c r="H1272" s="22"/>
      <c r="I1272" s="22"/>
      <c r="J1272" s="22"/>
      <c r="K1272" s="22"/>
      <c r="L1272" s="22"/>
      <c r="M1272" s="22"/>
      <c r="N1272" s="22"/>
      <c r="O1272" s="22"/>
      <c r="P1272" s="22"/>
      <c r="Q1272" s="22"/>
      <c r="R1272" s="22"/>
      <c r="S1272" s="22"/>
      <c r="T1272" s="22"/>
      <c r="U1272" s="22"/>
      <c r="V1272" s="22"/>
      <c r="W1272" s="22"/>
      <c r="X1272" s="22"/>
      <c r="Y1272" s="22"/>
      <c r="Z1272" s="22"/>
      <c r="AA1272" s="22"/>
      <c r="AB1272" s="22"/>
      <c r="AC1272" s="22"/>
      <c r="AD1272" s="22"/>
      <c r="AE1272" s="22"/>
      <c r="AF1272" s="22"/>
      <c r="AG1272" s="22"/>
      <c r="AH1272" s="22"/>
      <c r="AI1272" s="22"/>
      <c r="AJ1272" s="22"/>
      <c r="AK1272" s="22"/>
      <c r="AL1272" s="22"/>
      <c r="AM1272" s="22"/>
      <c r="AN1272" s="22"/>
      <c r="AO1272" s="22"/>
    </row>
    <row r="1273" ht="15.75" customHeight="1">
      <c r="A1273" s="22"/>
      <c r="B1273" s="22"/>
      <c r="C1273" s="22"/>
      <c r="D1273" s="22"/>
      <c r="E1273" s="22"/>
      <c r="F1273" s="22"/>
      <c r="G1273" s="130"/>
      <c r="H1273" s="22"/>
      <c r="I1273" s="22"/>
      <c r="J1273" s="22"/>
      <c r="K1273" s="22"/>
      <c r="L1273" s="22"/>
      <c r="M1273" s="22"/>
      <c r="N1273" s="22"/>
      <c r="O1273" s="22"/>
      <c r="P1273" s="22"/>
      <c r="Q1273" s="22"/>
      <c r="R1273" s="22"/>
      <c r="S1273" s="22"/>
      <c r="T1273" s="22"/>
      <c r="U1273" s="22"/>
      <c r="V1273" s="22"/>
      <c r="W1273" s="22"/>
      <c r="X1273" s="22"/>
      <c r="Y1273" s="22"/>
      <c r="Z1273" s="22"/>
      <c r="AA1273" s="22"/>
      <c r="AB1273" s="22"/>
      <c r="AC1273" s="22"/>
      <c r="AD1273" s="22"/>
      <c r="AE1273" s="22"/>
      <c r="AF1273" s="22"/>
      <c r="AG1273" s="22"/>
      <c r="AH1273" s="22"/>
      <c r="AI1273" s="22"/>
      <c r="AJ1273" s="22"/>
      <c r="AK1273" s="22"/>
      <c r="AL1273" s="22"/>
      <c r="AM1273" s="22"/>
      <c r="AN1273" s="22"/>
      <c r="AO1273" s="22"/>
    </row>
    <row r="1274" ht="15.75" customHeight="1">
      <c r="A1274" s="22"/>
      <c r="B1274" s="22"/>
      <c r="C1274" s="22"/>
      <c r="D1274" s="22"/>
      <c r="E1274" s="22"/>
      <c r="F1274" s="22"/>
      <c r="G1274" s="130"/>
      <c r="H1274" s="22"/>
      <c r="I1274" s="22"/>
      <c r="J1274" s="22"/>
      <c r="K1274" s="22"/>
      <c r="L1274" s="22"/>
      <c r="M1274" s="22"/>
      <c r="N1274" s="22"/>
      <c r="O1274" s="22"/>
      <c r="P1274" s="22"/>
      <c r="Q1274" s="22"/>
      <c r="R1274" s="22"/>
      <c r="S1274" s="22"/>
      <c r="T1274" s="22"/>
      <c r="U1274" s="22"/>
      <c r="V1274" s="22"/>
      <c r="W1274" s="22"/>
      <c r="X1274" s="22"/>
      <c r="Y1274" s="22"/>
      <c r="Z1274" s="22"/>
      <c r="AA1274" s="22"/>
      <c r="AB1274" s="22"/>
      <c r="AC1274" s="22"/>
      <c r="AD1274" s="22"/>
      <c r="AE1274" s="22"/>
      <c r="AF1274" s="22"/>
      <c r="AG1274" s="22"/>
      <c r="AH1274" s="22"/>
      <c r="AI1274" s="22"/>
      <c r="AJ1274" s="22"/>
      <c r="AK1274" s="22"/>
      <c r="AL1274" s="22"/>
      <c r="AM1274" s="22"/>
      <c r="AN1274" s="22"/>
      <c r="AO1274" s="22"/>
    </row>
    <row r="1275" ht="15.75" customHeight="1">
      <c r="A1275" s="22"/>
      <c r="B1275" s="22"/>
      <c r="C1275" s="22"/>
      <c r="D1275" s="22"/>
      <c r="E1275" s="22"/>
      <c r="F1275" s="22"/>
      <c r="G1275" s="130"/>
      <c r="H1275" s="22"/>
      <c r="I1275" s="22"/>
      <c r="J1275" s="22"/>
      <c r="K1275" s="22"/>
      <c r="L1275" s="22"/>
      <c r="M1275" s="22"/>
      <c r="N1275" s="22"/>
      <c r="O1275" s="22"/>
      <c r="P1275" s="22"/>
      <c r="Q1275" s="22"/>
      <c r="R1275" s="22"/>
      <c r="S1275" s="22"/>
      <c r="T1275" s="22"/>
      <c r="U1275" s="22"/>
      <c r="V1275" s="22"/>
      <c r="W1275" s="22"/>
      <c r="X1275" s="22"/>
      <c r="Y1275" s="22"/>
      <c r="Z1275" s="22"/>
      <c r="AA1275" s="22"/>
      <c r="AB1275" s="22"/>
      <c r="AC1275" s="22"/>
      <c r="AD1275" s="22"/>
      <c r="AE1275" s="22"/>
      <c r="AF1275" s="22"/>
      <c r="AG1275" s="22"/>
      <c r="AH1275" s="22"/>
      <c r="AI1275" s="22"/>
      <c r="AJ1275" s="22"/>
      <c r="AK1275" s="22"/>
      <c r="AL1275" s="22"/>
      <c r="AM1275" s="22"/>
      <c r="AN1275" s="22"/>
      <c r="AO1275" s="22"/>
    </row>
    <row r="1276" ht="15.75" customHeight="1">
      <c r="A1276" s="22"/>
      <c r="B1276" s="22"/>
      <c r="C1276" s="22"/>
      <c r="D1276" s="22"/>
      <c r="E1276" s="22"/>
      <c r="F1276" s="22"/>
      <c r="G1276" s="130"/>
      <c r="H1276" s="22"/>
      <c r="I1276" s="22"/>
      <c r="J1276" s="22"/>
      <c r="K1276" s="22"/>
      <c r="L1276" s="22"/>
      <c r="M1276" s="22"/>
      <c r="N1276" s="22"/>
      <c r="O1276" s="22"/>
      <c r="P1276" s="22"/>
      <c r="Q1276" s="22"/>
      <c r="R1276" s="22"/>
      <c r="S1276" s="22"/>
      <c r="T1276" s="22"/>
      <c r="U1276" s="22"/>
      <c r="V1276" s="22"/>
      <c r="W1276" s="22"/>
      <c r="X1276" s="22"/>
      <c r="Y1276" s="22"/>
      <c r="Z1276" s="22"/>
      <c r="AA1276" s="22"/>
      <c r="AB1276" s="22"/>
      <c r="AC1276" s="22"/>
      <c r="AD1276" s="22"/>
      <c r="AE1276" s="22"/>
      <c r="AF1276" s="22"/>
      <c r="AG1276" s="22"/>
      <c r="AH1276" s="22"/>
      <c r="AI1276" s="22"/>
      <c r="AJ1276" s="22"/>
      <c r="AK1276" s="22"/>
      <c r="AL1276" s="22"/>
      <c r="AM1276" s="22"/>
      <c r="AN1276" s="22"/>
      <c r="AO1276" s="22"/>
    </row>
    <row r="1277" ht="15.75" customHeight="1">
      <c r="A1277" s="22"/>
      <c r="B1277" s="22"/>
      <c r="C1277" s="22"/>
      <c r="D1277" s="22"/>
      <c r="E1277" s="22"/>
      <c r="F1277" s="22"/>
      <c r="G1277" s="130"/>
      <c r="H1277" s="22"/>
      <c r="I1277" s="22"/>
      <c r="J1277" s="22"/>
      <c r="K1277" s="22"/>
      <c r="L1277" s="22"/>
      <c r="M1277" s="22"/>
      <c r="N1277" s="22"/>
      <c r="O1277" s="22"/>
      <c r="P1277" s="22"/>
      <c r="Q1277" s="22"/>
      <c r="R1277" s="22"/>
      <c r="S1277" s="22"/>
      <c r="T1277" s="22"/>
      <c r="U1277" s="22"/>
      <c r="V1277" s="22"/>
      <c r="W1277" s="22"/>
      <c r="X1277" s="22"/>
      <c r="Y1277" s="22"/>
      <c r="Z1277" s="22"/>
      <c r="AA1277" s="22"/>
      <c r="AB1277" s="22"/>
      <c r="AC1277" s="22"/>
      <c r="AD1277" s="22"/>
      <c r="AE1277" s="22"/>
      <c r="AF1277" s="22"/>
      <c r="AG1277" s="22"/>
      <c r="AH1277" s="22"/>
      <c r="AI1277" s="22"/>
      <c r="AJ1277" s="22"/>
      <c r="AK1277" s="22"/>
      <c r="AL1277" s="22"/>
      <c r="AM1277" s="22"/>
      <c r="AN1277" s="22"/>
      <c r="AO1277" s="22"/>
    </row>
    <row r="1278" ht="15.75" customHeight="1">
      <c r="A1278" s="22"/>
      <c r="B1278" s="22"/>
      <c r="C1278" s="22"/>
      <c r="D1278" s="22"/>
      <c r="E1278" s="22"/>
      <c r="F1278" s="22"/>
      <c r="G1278" s="130"/>
      <c r="H1278" s="22"/>
      <c r="I1278" s="22"/>
      <c r="J1278" s="22"/>
      <c r="K1278" s="22"/>
      <c r="L1278" s="22"/>
      <c r="M1278" s="22"/>
      <c r="N1278" s="22"/>
      <c r="O1278" s="22"/>
      <c r="P1278" s="22"/>
      <c r="Q1278" s="22"/>
      <c r="R1278" s="22"/>
      <c r="S1278" s="22"/>
      <c r="T1278" s="22"/>
      <c r="U1278" s="22"/>
      <c r="V1278" s="22"/>
      <c r="W1278" s="22"/>
      <c r="X1278" s="22"/>
      <c r="Y1278" s="22"/>
      <c r="Z1278" s="22"/>
      <c r="AA1278" s="22"/>
      <c r="AB1278" s="22"/>
      <c r="AC1278" s="22"/>
      <c r="AD1278" s="22"/>
      <c r="AE1278" s="22"/>
      <c r="AF1278" s="22"/>
      <c r="AG1278" s="22"/>
      <c r="AH1278" s="22"/>
      <c r="AI1278" s="22"/>
      <c r="AJ1278" s="22"/>
      <c r="AK1278" s="22"/>
      <c r="AL1278" s="22"/>
      <c r="AM1278" s="22"/>
      <c r="AN1278" s="22"/>
      <c r="AO1278" s="22"/>
    </row>
    <row r="1279" ht="15.75" customHeight="1">
      <c r="A1279" s="22"/>
      <c r="B1279" s="22"/>
      <c r="C1279" s="22"/>
      <c r="D1279" s="22"/>
      <c r="E1279" s="22"/>
      <c r="F1279" s="22"/>
      <c r="G1279" s="130"/>
      <c r="H1279" s="22"/>
      <c r="I1279" s="22"/>
      <c r="J1279" s="22"/>
      <c r="K1279" s="22"/>
      <c r="L1279" s="22"/>
      <c r="M1279" s="22"/>
      <c r="N1279" s="22"/>
      <c r="O1279" s="22"/>
      <c r="P1279" s="22"/>
      <c r="Q1279" s="22"/>
      <c r="R1279" s="22"/>
      <c r="S1279" s="22"/>
      <c r="T1279" s="22"/>
      <c r="U1279" s="22"/>
      <c r="V1279" s="22"/>
      <c r="W1279" s="22"/>
      <c r="X1279" s="22"/>
      <c r="Y1279" s="22"/>
      <c r="Z1279" s="22"/>
      <c r="AA1279" s="22"/>
      <c r="AB1279" s="22"/>
      <c r="AC1279" s="22"/>
      <c r="AD1279" s="22"/>
      <c r="AE1279" s="22"/>
      <c r="AF1279" s="22"/>
      <c r="AG1279" s="22"/>
      <c r="AH1279" s="22"/>
      <c r="AI1279" s="22"/>
      <c r="AJ1279" s="22"/>
      <c r="AK1279" s="22"/>
      <c r="AL1279" s="22"/>
      <c r="AM1279" s="22"/>
      <c r="AN1279" s="22"/>
      <c r="AO1279" s="22"/>
    </row>
    <row r="1280" ht="15.75" customHeight="1">
      <c r="A1280" s="22"/>
      <c r="B1280" s="22"/>
      <c r="C1280" s="22"/>
      <c r="D1280" s="22"/>
      <c r="E1280" s="22"/>
      <c r="F1280" s="22"/>
      <c r="G1280" s="130"/>
      <c r="H1280" s="22"/>
      <c r="I1280" s="22"/>
      <c r="J1280" s="22"/>
      <c r="K1280" s="22"/>
      <c r="L1280" s="22"/>
      <c r="M1280" s="22"/>
      <c r="N1280" s="22"/>
      <c r="O1280" s="22"/>
      <c r="P1280" s="22"/>
      <c r="Q1280" s="22"/>
      <c r="R1280" s="22"/>
      <c r="S1280" s="22"/>
      <c r="T1280" s="22"/>
      <c r="U1280" s="22"/>
      <c r="V1280" s="22"/>
      <c r="W1280" s="22"/>
      <c r="X1280" s="22"/>
      <c r="Y1280" s="22"/>
      <c r="Z1280" s="22"/>
      <c r="AA1280" s="22"/>
      <c r="AB1280" s="22"/>
      <c r="AC1280" s="22"/>
      <c r="AD1280" s="22"/>
      <c r="AE1280" s="22"/>
      <c r="AF1280" s="22"/>
      <c r="AG1280" s="22"/>
      <c r="AH1280" s="22"/>
      <c r="AI1280" s="22"/>
      <c r="AJ1280" s="22"/>
      <c r="AK1280" s="22"/>
      <c r="AL1280" s="22"/>
      <c r="AM1280" s="22"/>
      <c r="AN1280" s="22"/>
      <c r="AO1280" s="22"/>
    </row>
    <row r="1281" ht="15.75" customHeight="1">
      <c r="A1281" s="22"/>
      <c r="B1281" s="22"/>
      <c r="C1281" s="22"/>
      <c r="D1281" s="22"/>
      <c r="E1281" s="22"/>
      <c r="F1281" s="22"/>
      <c r="G1281" s="130"/>
      <c r="H1281" s="22"/>
      <c r="I1281" s="22"/>
      <c r="J1281" s="22"/>
      <c r="K1281" s="22"/>
      <c r="L1281" s="22"/>
      <c r="M1281" s="22"/>
      <c r="N1281" s="22"/>
      <c r="O1281" s="22"/>
      <c r="P1281" s="22"/>
      <c r="Q1281" s="22"/>
      <c r="R1281" s="22"/>
      <c r="S1281" s="22"/>
      <c r="T1281" s="22"/>
      <c r="U1281" s="22"/>
      <c r="V1281" s="22"/>
      <c r="W1281" s="22"/>
      <c r="X1281" s="22"/>
      <c r="Y1281" s="22"/>
      <c r="Z1281" s="22"/>
      <c r="AA1281" s="22"/>
      <c r="AB1281" s="22"/>
      <c r="AC1281" s="22"/>
      <c r="AD1281" s="22"/>
      <c r="AE1281" s="22"/>
      <c r="AF1281" s="22"/>
      <c r="AG1281" s="22"/>
      <c r="AH1281" s="22"/>
      <c r="AI1281" s="22"/>
      <c r="AJ1281" s="22"/>
      <c r="AK1281" s="22"/>
      <c r="AL1281" s="22"/>
      <c r="AM1281" s="22"/>
      <c r="AN1281" s="22"/>
      <c r="AO1281" s="22"/>
    </row>
    <row r="1282" ht="15.75" customHeight="1">
      <c r="A1282" s="22"/>
      <c r="B1282" s="22"/>
      <c r="C1282" s="22"/>
      <c r="D1282" s="22"/>
      <c r="E1282" s="22"/>
      <c r="F1282" s="22"/>
      <c r="G1282" s="130"/>
      <c r="H1282" s="22"/>
      <c r="I1282" s="22"/>
      <c r="J1282" s="22"/>
      <c r="K1282" s="22"/>
      <c r="L1282" s="22"/>
      <c r="M1282" s="22"/>
      <c r="N1282" s="22"/>
      <c r="O1282" s="22"/>
      <c r="P1282" s="22"/>
      <c r="Q1282" s="22"/>
      <c r="R1282" s="22"/>
      <c r="S1282" s="22"/>
      <c r="T1282" s="22"/>
      <c r="U1282" s="22"/>
      <c r="V1282" s="22"/>
      <c r="W1282" s="22"/>
      <c r="X1282" s="22"/>
      <c r="Y1282" s="22"/>
      <c r="Z1282" s="22"/>
      <c r="AA1282" s="22"/>
      <c r="AB1282" s="22"/>
      <c r="AC1282" s="22"/>
      <c r="AD1282" s="22"/>
      <c r="AE1282" s="22"/>
      <c r="AF1282" s="22"/>
      <c r="AG1282" s="22"/>
      <c r="AH1282" s="22"/>
      <c r="AI1282" s="22"/>
      <c r="AJ1282" s="22"/>
      <c r="AK1282" s="22"/>
      <c r="AL1282" s="22"/>
      <c r="AM1282" s="22"/>
      <c r="AN1282" s="22"/>
      <c r="AO1282" s="22"/>
    </row>
    <row r="1283" ht="15.75" customHeight="1">
      <c r="A1283" s="22"/>
      <c r="B1283" s="22"/>
      <c r="C1283" s="22"/>
      <c r="D1283" s="22"/>
      <c r="E1283" s="22"/>
      <c r="F1283" s="22"/>
      <c r="G1283" s="130"/>
      <c r="H1283" s="22"/>
      <c r="I1283" s="22"/>
      <c r="J1283" s="22"/>
      <c r="K1283" s="22"/>
      <c r="L1283" s="22"/>
      <c r="M1283" s="22"/>
      <c r="N1283" s="22"/>
      <c r="O1283" s="22"/>
      <c r="P1283" s="22"/>
      <c r="Q1283" s="22"/>
      <c r="R1283" s="22"/>
      <c r="S1283" s="22"/>
      <c r="T1283" s="22"/>
      <c r="U1283" s="22"/>
      <c r="V1283" s="22"/>
      <c r="W1283" s="22"/>
      <c r="X1283" s="22"/>
      <c r="Y1283" s="22"/>
      <c r="Z1283" s="22"/>
      <c r="AA1283" s="22"/>
      <c r="AB1283" s="22"/>
      <c r="AC1283" s="22"/>
      <c r="AD1283" s="22"/>
      <c r="AE1283" s="22"/>
      <c r="AF1283" s="22"/>
      <c r="AG1283" s="22"/>
      <c r="AH1283" s="22"/>
      <c r="AI1283" s="22"/>
      <c r="AJ1283" s="22"/>
      <c r="AK1283" s="22"/>
      <c r="AL1283" s="22"/>
      <c r="AM1283" s="22"/>
      <c r="AN1283" s="22"/>
      <c r="AO1283" s="22"/>
    </row>
    <row r="1284" ht="15.75" customHeight="1">
      <c r="A1284" s="22"/>
      <c r="B1284" s="22"/>
      <c r="C1284" s="22"/>
      <c r="D1284" s="22"/>
      <c r="E1284" s="22"/>
      <c r="F1284" s="22"/>
      <c r="G1284" s="130"/>
      <c r="H1284" s="22"/>
      <c r="I1284" s="22"/>
      <c r="J1284" s="22"/>
      <c r="K1284" s="22"/>
      <c r="L1284" s="22"/>
      <c r="M1284" s="22"/>
      <c r="N1284" s="22"/>
      <c r="O1284" s="22"/>
      <c r="P1284" s="22"/>
      <c r="Q1284" s="22"/>
      <c r="R1284" s="22"/>
      <c r="S1284" s="22"/>
      <c r="T1284" s="22"/>
      <c r="U1284" s="22"/>
      <c r="V1284" s="22"/>
      <c r="W1284" s="22"/>
      <c r="X1284" s="22"/>
      <c r="Y1284" s="22"/>
      <c r="Z1284" s="22"/>
      <c r="AA1284" s="22"/>
      <c r="AB1284" s="22"/>
      <c r="AC1284" s="22"/>
      <c r="AD1284" s="22"/>
      <c r="AE1284" s="22"/>
      <c r="AF1284" s="22"/>
      <c r="AG1284" s="22"/>
      <c r="AH1284" s="22"/>
      <c r="AI1284" s="22"/>
      <c r="AJ1284" s="22"/>
      <c r="AK1284" s="22"/>
      <c r="AL1284" s="22"/>
      <c r="AM1284" s="22"/>
      <c r="AN1284" s="22"/>
      <c r="AO1284" s="22"/>
    </row>
    <row r="1285" ht="15.75" customHeight="1">
      <c r="A1285" s="22"/>
      <c r="B1285" s="22"/>
      <c r="C1285" s="22"/>
      <c r="D1285" s="22"/>
      <c r="E1285" s="22"/>
      <c r="F1285" s="22"/>
      <c r="G1285" s="130"/>
      <c r="H1285" s="22"/>
      <c r="I1285" s="22"/>
      <c r="J1285" s="22"/>
      <c r="K1285" s="22"/>
      <c r="L1285" s="22"/>
      <c r="M1285" s="22"/>
      <c r="N1285" s="22"/>
      <c r="O1285" s="22"/>
      <c r="P1285" s="22"/>
      <c r="Q1285" s="22"/>
      <c r="R1285" s="22"/>
      <c r="S1285" s="22"/>
      <c r="T1285" s="22"/>
      <c r="U1285" s="22"/>
      <c r="V1285" s="22"/>
      <c r="W1285" s="22"/>
      <c r="X1285" s="22"/>
      <c r="Y1285" s="22"/>
      <c r="Z1285" s="22"/>
      <c r="AA1285" s="22"/>
      <c r="AB1285" s="22"/>
      <c r="AC1285" s="22"/>
      <c r="AD1285" s="22"/>
      <c r="AE1285" s="22"/>
      <c r="AF1285" s="22"/>
      <c r="AG1285" s="22"/>
      <c r="AH1285" s="22"/>
      <c r="AI1285" s="22"/>
      <c r="AJ1285" s="22"/>
      <c r="AK1285" s="22"/>
      <c r="AL1285" s="22"/>
      <c r="AM1285" s="22"/>
      <c r="AN1285" s="22"/>
      <c r="AO1285" s="22"/>
    </row>
    <row r="1286" ht="15.75" customHeight="1">
      <c r="A1286" s="22"/>
      <c r="B1286" s="22"/>
      <c r="C1286" s="22"/>
      <c r="D1286" s="22"/>
      <c r="E1286" s="22"/>
      <c r="F1286" s="22"/>
      <c r="G1286" s="130"/>
      <c r="H1286" s="22"/>
      <c r="I1286" s="22"/>
      <c r="J1286" s="22"/>
      <c r="K1286" s="22"/>
      <c r="L1286" s="22"/>
      <c r="M1286" s="22"/>
      <c r="N1286" s="22"/>
      <c r="O1286" s="22"/>
      <c r="P1286" s="22"/>
      <c r="Q1286" s="22"/>
      <c r="R1286" s="22"/>
      <c r="S1286" s="22"/>
      <c r="T1286" s="22"/>
      <c r="U1286" s="22"/>
      <c r="V1286" s="22"/>
      <c r="W1286" s="22"/>
      <c r="X1286" s="22"/>
      <c r="Y1286" s="22"/>
      <c r="Z1286" s="22"/>
      <c r="AA1286" s="22"/>
      <c r="AB1286" s="22"/>
      <c r="AC1286" s="22"/>
      <c r="AD1286" s="22"/>
      <c r="AE1286" s="22"/>
      <c r="AF1286" s="22"/>
      <c r="AG1286" s="22"/>
      <c r="AH1286" s="22"/>
      <c r="AI1286" s="22"/>
      <c r="AJ1286" s="22"/>
      <c r="AK1286" s="22"/>
      <c r="AL1286" s="22"/>
      <c r="AM1286" s="22"/>
      <c r="AN1286" s="22"/>
      <c r="AO1286" s="22"/>
    </row>
    <row r="1287" ht="15.75" customHeight="1">
      <c r="A1287" s="22"/>
      <c r="B1287" s="22"/>
      <c r="C1287" s="22"/>
      <c r="D1287" s="22"/>
      <c r="E1287" s="22"/>
      <c r="F1287" s="22"/>
      <c r="G1287" s="130"/>
      <c r="H1287" s="22"/>
      <c r="I1287" s="22"/>
      <c r="J1287" s="22"/>
      <c r="K1287" s="22"/>
      <c r="L1287" s="22"/>
      <c r="M1287" s="22"/>
      <c r="N1287" s="22"/>
      <c r="O1287" s="22"/>
      <c r="P1287" s="22"/>
      <c r="Q1287" s="22"/>
      <c r="R1287" s="22"/>
      <c r="S1287" s="22"/>
      <c r="T1287" s="22"/>
      <c r="U1287" s="22"/>
      <c r="V1287" s="22"/>
      <c r="W1287" s="22"/>
      <c r="X1287" s="22"/>
      <c r="Y1287" s="22"/>
      <c r="Z1287" s="22"/>
      <c r="AA1287" s="22"/>
      <c r="AB1287" s="22"/>
      <c r="AC1287" s="22"/>
      <c r="AD1287" s="22"/>
      <c r="AE1287" s="22"/>
      <c r="AF1287" s="22"/>
      <c r="AG1287" s="22"/>
      <c r="AH1287" s="22"/>
      <c r="AI1287" s="22"/>
      <c r="AJ1287" s="22"/>
      <c r="AK1287" s="22"/>
      <c r="AL1287" s="22"/>
      <c r="AM1287" s="22"/>
      <c r="AN1287" s="22"/>
      <c r="AO1287" s="22"/>
    </row>
    <row r="1288" ht="15.75" customHeight="1">
      <c r="A1288" s="22"/>
      <c r="B1288" s="22"/>
      <c r="C1288" s="22"/>
      <c r="D1288" s="22"/>
      <c r="E1288" s="22"/>
      <c r="F1288" s="22"/>
      <c r="G1288" s="130"/>
      <c r="H1288" s="22"/>
      <c r="I1288" s="22"/>
      <c r="J1288" s="22"/>
      <c r="K1288" s="22"/>
      <c r="L1288" s="22"/>
      <c r="M1288" s="22"/>
      <c r="N1288" s="22"/>
      <c r="O1288" s="22"/>
      <c r="P1288" s="22"/>
      <c r="Q1288" s="22"/>
      <c r="R1288" s="22"/>
      <c r="S1288" s="22"/>
      <c r="T1288" s="22"/>
      <c r="U1288" s="22"/>
      <c r="V1288" s="22"/>
      <c r="W1288" s="22"/>
      <c r="X1288" s="22"/>
      <c r="Y1288" s="22"/>
      <c r="Z1288" s="22"/>
      <c r="AA1288" s="22"/>
      <c r="AB1288" s="22"/>
      <c r="AC1288" s="22"/>
      <c r="AD1288" s="22"/>
      <c r="AE1288" s="22"/>
      <c r="AF1288" s="22"/>
      <c r="AG1288" s="22"/>
      <c r="AH1288" s="22"/>
      <c r="AI1288" s="22"/>
      <c r="AJ1288" s="22"/>
      <c r="AK1288" s="22"/>
      <c r="AL1288" s="22"/>
      <c r="AM1288" s="22"/>
      <c r="AN1288" s="22"/>
      <c r="AO1288" s="22"/>
    </row>
    <row r="1289" ht="15.75" customHeight="1">
      <c r="A1289" s="22"/>
      <c r="B1289" s="22"/>
      <c r="C1289" s="22"/>
      <c r="D1289" s="22"/>
      <c r="E1289" s="22"/>
      <c r="F1289" s="22"/>
      <c r="G1289" s="130"/>
      <c r="H1289" s="22"/>
      <c r="I1289" s="22"/>
      <c r="J1289" s="22"/>
      <c r="K1289" s="22"/>
      <c r="L1289" s="22"/>
      <c r="M1289" s="22"/>
      <c r="N1289" s="22"/>
      <c r="O1289" s="22"/>
      <c r="P1289" s="22"/>
      <c r="Q1289" s="22"/>
      <c r="R1289" s="22"/>
      <c r="S1289" s="22"/>
      <c r="T1289" s="22"/>
      <c r="U1289" s="22"/>
      <c r="V1289" s="22"/>
      <c r="W1289" s="22"/>
      <c r="X1289" s="22"/>
      <c r="Y1289" s="22"/>
      <c r="Z1289" s="22"/>
      <c r="AA1289" s="22"/>
      <c r="AB1289" s="22"/>
      <c r="AC1289" s="22"/>
      <c r="AD1289" s="22"/>
      <c r="AE1289" s="22"/>
      <c r="AF1289" s="22"/>
      <c r="AG1289" s="22"/>
      <c r="AH1289" s="22"/>
      <c r="AI1289" s="22"/>
      <c r="AJ1289" s="22"/>
      <c r="AK1289" s="22"/>
      <c r="AL1289" s="22"/>
      <c r="AM1289" s="22"/>
      <c r="AN1289" s="22"/>
      <c r="AO1289" s="22"/>
    </row>
    <row r="1290" ht="15.75" customHeight="1">
      <c r="A1290" s="22"/>
      <c r="B1290" s="22"/>
      <c r="C1290" s="22"/>
      <c r="D1290" s="22"/>
      <c r="E1290" s="22"/>
      <c r="F1290" s="22"/>
      <c r="G1290" s="130"/>
      <c r="H1290" s="22"/>
      <c r="I1290" s="22"/>
      <c r="J1290" s="22"/>
      <c r="K1290" s="22"/>
      <c r="L1290" s="22"/>
      <c r="M1290" s="22"/>
      <c r="N1290" s="22"/>
      <c r="O1290" s="22"/>
      <c r="P1290" s="22"/>
      <c r="Q1290" s="22"/>
      <c r="R1290" s="22"/>
      <c r="S1290" s="22"/>
      <c r="T1290" s="22"/>
      <c r="U1290" s="22"/>
      <c r="V1290" s="22"/>
      <c r="W1290" s="22"/>
      <c r="X1290" s="22"/>
      <c r="Y1290" s="22"/>
      <c r="Z1290" s="22"/>
      <c r="AA1290" s="22"/>
      <c r="AB1290" s="22"/>
      <c r="AC1290" s="22"/>
      <c r="AD1290" s="22"/>
      <c r="AE1290" s="22"/>
      <c r="AF1290" s="22"/>
      <c r="AG1290" s="22"/>
      <c r="AH1290" s="22"/>
      <c r="AI1290" s="22"/>
      <c r="AJ1290" s="22"/>
      <c r="AK1290" s="22"/>
      <c r="AL1290" s="22"/>
      <c r="AM1290" s="22"/>
      <c r="AN1290" s="22"/>
      <c r="AO1290" s="22"/>
    </row>
    <row r="1291" ht="15.75" customHeight="1">
      <c r="A1291" s="22"/>
      <c r="B1291" s="22"/>
      <c r="C1291" s="22"/>
      <c r="D1291" s="22"/>
      <c r="E1291" s="22"/>
      <c r="F1291" s="22"/>
      <c r="G1291" s="130"/>
      <c r="H1291" s="22"/>
      <c r="I1291" s="22"/>
      <c r="J1291" s="22"/>
      <c r="K1291" s="22"/>
      <c r="L1291" s="22"/>
      <c r="M1291" s="22"/>
      <c r="N1291" s="22"/>
      <c r="O1291" s="22"/>
      <c r="P1291" s="22"/>
      <c r="Q1291" s="22"/>
      <c r="R1291" s="22"/>
      <c r="S1291" s="22"/>
      <c r="T1291" s="22"/>
      <c r="U1291" s="22"/>
      <c r="V1291" s="22"/>
      <c r="W1291" s="22"/>
      <c r="X1291" s="22"/>
      <c r="Y1291" s="22"/>
      <c r="Z1291" s="22"/>
      <c r="AA1291" s="22"/>
      <c r="AB1291" s="22"/>
      <c r="AC1291" s="22"/>
      <c r="AD1291" s="22"/>
      <c r="AE1291" s="22"/>
      <c r="AF1291" s="22"/>
      <c r="AG1291" s="22"/>
      <c r="AH1291" s="22"/>
      <c r="AI1291" s="22"/>
      <c r="AJ1291" s="22"/>
      <c r="AK1291" s="22"/>
      <c r="AL1291" s="22"/>
      <c r="AM1291" s="22"/>
      <c r="AN1291" s="22"/>
      <c r="AO1291" s="22"/>
    </row>
    <row r="1292" ht="15.75" customHeight="1">
      <c r="A1292" s="22"/>
      <c r="B1292" s="22"/>
      <c r="C1292" s="22"/>
      <c r="D1292" s="22"/>
      <c r="E1292" s="22"/>
      <c r="F1292" s="22"/>
      <c r="G1292" s="130"/>
      <c r="H1292" s="22"/>
      <c r="I1292" s="22"/>
      <c r="J1292" s="22"/>
      <c r="K1292" s="22"/>
      <c r="L1292" s="22"/>
      <c r="M1292" s="22"/>
      <c r="N1292" s="22"/>
      <c r="O1292" s="22"/>
      <c r="P1292" s="22"/>
      <c r="Q1292" s="22"/>
      <c r="R1292" s="22"/>
      <c r="S1292" s="22"/>
      <c r="T1292" s="22"/>
      <c r="U1292" s="22"/>
      <c r="V1292" s="22"/>
      <c r="W1292" s="22"/>
      <c r="X1292" s="22"/>
      <c r="Y1292" s="22"/>
      <c r="Z1292" s="22"/>
      <c r="AA1292" s="22"/>
      <c r="AB1292" s="22"/>
      <c r="AC1292" s="22"/>
      <c r="AD1292" s="22"/>
      <c r="AE1292" s="22"/>
      <c r="AF1292" s="22"/>
      <c r="AG1292" s="22"/>
      <c r="AH1292" s="22"/>
      <c r="AI1292" s="22"/>
      <c r="AJ1292" s="22"/>
      <c r="AK1292" s="22"/>
      <c r="AL1292" s="22"/>
      <c r="AM1292" s="22"/>
      <c r="AN1292" s="22"/>
      <c r="AO1292" s="22"/>
    </row>
    <row r="1293" ht="15.75" customHeight="1">
      <c r="A1293" s="22"/>
      <c r="B1293" s="22"/>
      <c r="C1293" s="22"/>
      <c r="D1293" s="22"/>
      <c r="E1293" s="22"/>
      <c r="F1293" s="22"/>
      <c r="G1293" s="130"/>
      <c r="H1293" s="22"/>
      <c r="I1293" s="22"/>
      <c r="J1293" s="22"/>
      <c r="K1293" s="22"/>
      <c r="L1293" s="22"/>
      <c r="M1293" s="22"/>
      <c r="N1293" s="22"/>
      <c r="O1293" s="22"/>
      <c r="P1293" s="22"/>
      <c r="Q1293" s="22"/>
      <c r="R1293" s="22"/>
      <c r="S1293" s="22"/>
      <c r="T1293" s="22"/>
      <c r="U1293" s="22"/>
      <c r="V1293" s="22"/>
      <c r="W1293" s="22"/>
      <c r="X1293" s="22"/>
      <c r="Y1293" s="22"/>
      <c r="Z1293" s="22"/>
      <c r="AA1293" s="22"/>
      <c r="AB1293" s="22"/>
      <c r="AC1293" s="22"/>
      <c r="AD1293" s="22"/>
      <c r="AE1293" s="22"/>
      <c r="AF1293" s="22"/>
      <c r="AG1293" s="22"/>
      <c r="AH1293" s="22"/>
      <c r="AI1293" s="22"/>
      <c r="AJ1293" s="22"/>
      <c r="AK1293" s="22"/>
      <c r="AL1293" s="22"/>
      <c r="AM1293" s="22"/>
      <c r="AN1293" s="22"/>
      <c r="AO1293" s="22"/>
    </row>
    <row r="1294" ht="15.75" customHeight="1">
      <c r="A1294" s="22"/>
      <c r="B1294" s="22"/>
      <c r="C1294" s="22"/>
      <c r="D1294" s="22"/>
      <c r="E1294" s="22"/>
      <c r="F1294" s="22"/>
      <c r="G1294" s="130"/>
      <c r="H1294" s="22"/>
      <c r="I1294" s="22"/>
      <c r="J1294" s="22"/>
      <c r="K1294" s="22"/>
      <c r="L1294" s="22"/>
      <c r="M1294" s="22"/>
      <c r="N1294" s="22"/>
      <c r="O1294" s="22"/>
      <c r="P1294" s="22"/>
      <c r="Q1294" s="22"/>
      <c r="R1294" s="22"/>
      <c r="S1294" s="22"/>
      <c r="T1294" s="22"/>
      <c r="U1294" s="22"/>
      <c r="V1294" s="22"/>
      <c r="W1294" s="22"/>
      <c r="X1294" s="22"/>
      <c r="Y1294" s="22"/>
      <c r="Z1294" s="22"/>
      <c r="AA1294" s="22"/>
      <c r="AB1294" s="22"/>
      <c r="AC1294" s="22"/>
      <c r="AD1294" s="22"/>
      <c r="AE1294" s="22"/>
      <c r="AF1294" s="22"/>
      <c r="AG1294" s="22"/>
      <c r="AH1294" s="22"/>
      <c r="AI1294" s="22"/>
      <c r="AJ1294" s="22"/>
      <c r="AK1294" s="22"/>
      <c r="AL1294" s="22"/>
      <c r="AM1294" s="22"/>
      <c r="AN1294" s="22"/>
      <c r="AO1294" s="22"/>
    </row>
    <row r="1295" ht="15.75" customHeight="1">
      <c r="A1295" s="22"/>
      <c r="B1295" s="22"/>
      <c r="C1295" s="22"/>
      <c r="D1295" s="22"/>
      <c r="E1295" s="22"/>
      <c r="F1295" s="22"/>
      <c r="G1295" s="130"/>
      <c r="H1295" s="22"/>
      <c r="I1295" s="22"/>
      <c r="J1295" s="22"/>
      <c r="K1295" s="22"/>
      <c r="L1295" s="22"/>
      <c r="M1295" s="22"/>
      <c r="N1295" s="22"/>
      <c r="O1295" s="22"/>
      <c r="P1295" s="22"/>
      <c r="Q1295" s="22"/>
      <c r="R1295" s="22"/>
      <c r="S1295" s="22"/>
      <c r="T1295" s="22"/>
      <c r="U1295" s="22"/>
      <c r="V1295" s="22"/>
      <c r="W1295" s="22"/>
      <c r="X1295" s="22"/>
      <c r="Y1295" s="22"/>
      <c r="Z1295" s="22"/>
      <c r="AA1295" s="22"/>
      <c r="AB1295" s="22"/>
      <c r="AC1295" s="22"/>
      <c r="AD1295" s="22"/>
      <c r="AE1295" s="22"/>
      <c r="AF1295" s="22"/>
      <c r="AG1295" s="22"/>
      <c r="AH1295" s="22"/>
      <c r="AI1295" s="22"/>
      <c r="AJ1295" s="22"/>
      <c r="AK1295" s="22"/>
      <c r="AL1295" s="22"/>
      <c r="AM1295" s="22"/>
      <c r="AN1295" s="22"/>
      <c r="AO1295" s="22"/>
    </row>
    <row r="1296" ht="15.75" customHeight="1">
      <c r="A1296" s="22"/>
      <c r="B1296" s="22"/>
      <c r="C1296" s="22"/>
      <c r="D1296" s="22"/>
      <c r="E1296" s="22"/>
      <c r="F1296" s="22"/>
      <c r="G1296" s="130"/>
      <c r="H1296" s="22"/>
      <c r="I1296" s="22"/>
      <c r="J1296" s="22"/>
      <c r="K1296" s="22"/>
      <c r="L1296" s="22"/>
      <c r="M1296" s="22"/>
      <c r="N1296" s="22"/>
      <c r="O1296" s="22"/>
      <c r="P1296" s="22"/>
      <c r="Q1296" s="22"/>
      <c r="R1296" s="22"/>
      <c r="S1296" s="22"/>
      <c r="T1296" s="22"/>
      <c r="U1296" s="22"/>
      <c r="V1296" s="22"/>
      <c r="W1296" s="22"/>
      <c r="X1296" s="22"/>
      <c r="Y1296" s="22"/>
      <c r="Z1296" s="22"/>
      <c r="AA1296" s="22"/>
      <c r="AB1296" s="22"/>
      <c r="AC1296" s="22"/>
      <c r="AD1296" s="22"/>
      <c r="AE1296" s="22"/>
      <c r="AF1296" s="22"/>
      <c r="AG1296" s="22"/>
      <c r="AH1296" s="22"/>
      <c r="AI1296" s="22"/>
      <c r="AJ1296" s="22"/>
      <c r="AK1296" s="22"/>
      <c r="AL1296" s="22"/>
      <c r="AM1296" s="22"/>
      <c r="AN1296" s="22"/>
      <c r="AO1296" s="22"/>
    </row>
    <row r="1297" ht="15.75" customHeight="1">
      <c r="A1297" s="22"/>
      <c r="B1297" s="22"/>
      <c r="C1297" s="22"/>
      <c r="D1297" s="22"/>
      <c r="E1297" s="22"/>
      <c r="F1297" s="22"/>
      <c r="G1297" s="130"/>
      <c r="H1297" s="22"/>
      <c r="I1297" s="22"/>
      <c r="J1297" s="22"/>
      <c r="K1297" s="22"/>
      <c r="L1297" s="22"/>
      <c r="M1297" s="22"/>
      <c r="N1297" s="22"/>
      <c r="O1297" s="22"/>
      <c r="P1297" s="22"/>
      <c r="Q1297" s="22"/>
      <c r="R1297" s="22"/>
      <c r="S1297" s="22"/>
      <c r="T1297" s="22"/>
      <c r="U1297" s="22"/>
      <c r="V1297" s="22"/>
      <c r="W1297" s="22"/>
      <c r="X1297" s="22"/>
      <c r="Y1297" s="22"/>
      <c r="Z1297" s="22"/>
      <c r="AA1297" s="22"/>
      <c r="AB1297" s="22"/>
      <c r="AC1297" s="22"/>
      <c r="AD1297" s="22"/>
      <c r="AE1297" s="22"/>
      <c r="AF1297" s="22"/>
      <c r="AG1297" s="22"/>
      <c r="AH1297" s="22"/>
      <c r="AI1297" s="22"/>
      <c r="AJ1297" s="22"/>
      <c r="AK1297" s="22"/>
      <c r="AL1297" s="22"/>
      <c r="AM1297" s="22"/>
      <c r="AN1297" s="22"/>
      <c r="AO1297" s="22"/>
    </row>
    <row r="1298" ht="15.75" customHeight="1">
      <c r="A1298" s="22"/>
      <c r="B1298" s="22"/>
      <c r="C1298" s="22"/>
      <c r="D1298" s="22"/>
      <c r="E1298" s="22"/>
      <c r="F1298" s="22"/>
      <c r="G1298" s="130"/>
      <c r="H1298" s="22"/>
      <c r="I1298" s="22"/>
      <c r="J1298" s="22"/>
      <c r="K1298" s="22"/>
      <c r="L1298" s="22"/>
      <c r="M1298" s="22"/>
      <c r="N1298" s="22"/>
      <c r="O1298" s="22"/>
      <c r="P1298" s="22"/>
      <c r="Q1298" s="22"/>
      <c r="R1298" s="22"/>
      <c r="S1298" s="22"/>
      <c r="T1298" s="22"/>
      <c r="U1298" s="22"/>
      <c r="V1298" s="22"/>
      <c r="W1298" s="22"/>
      <c r="X1298" s="22"/>
      <c r="Y1298" s="22"/>
      <c r="Z1298" s="22"/>
      <c r="AA1298" s="22"/>
      <c r="AB1298" s="22"/>
      <c r="AC1298" s="22"/>
      <c r="AD1298" s="22"/>
      <c r="AE1298" s="22"/>
      <c r="AF1298" s="22"/>
      <c r="AG1298" s="22"/>
      <c r="AH1298" s="22"/>
      <c r="AI1298" s="22"/>
      <c r="AJ1298" s="22"/>
      <c r="AK1298" s="22"/>
      <c r="AL1298" s="22"/>
      <c r="AM1298" s="22"/>
      <c r="AN1298" s="22"/>
      <c r="AO1298" s="22"/>
    </row>
    <row r="1299" ht="15.75" customHeight="1">
      <c r="A1299" s="22"/>
      <c r="B1299" s="22"/>
      <c r="C1299" s="22"/>
      <c r="D1299" s="22"/>
      <c r="E1299" s="22"/>
      <c r="F1299" s="22"/>
      <c r="G1299" s="130"/>
      <c r="H1299" s="22"/>
      <c r="I1299" s="22"/>
      <c r="J1299" s="22"/>
      <c r="K1299" s="22"/>
      <c r="L1299" s="22"/>
      <c r="M1299" s="22"/>
      <c r="N1299" s="22"/>
      <c r="O1299" s="22"/>
      <c r="P1299" s="22"/>
      <c r="Q1299" s="22"/>
      <c r="R1299" s="22"/>
      <c r="S1299" s="22"/>
      <c r="T1299" s="22"/>
      <c r="U1299" s="22"/>
      <c r="V1299" s="22"/>
      <c r="W1299" s="22"/>
      <c r="X1299" s="22"/>
      <c r="Y1299" s="22"/>
      <c r="Z1299" s="22"/>
      <c r="AA1299" s="22"/>
      <c r="AB1299" s="22"/>
      <c r="AC1299" s="22"/>
      <c r="AD1299" s="22"/>
      <c r="AE1299" s="22"/>
      <c r="AF1299" s="22"/>
      <c r="AG1299" s="22"/>
      <c r="AH1299" s="22"/>
      <c r="AI1299" s="22"/>
      <c r="AJ1299" s="22"/>
      <c r="AK1299" s="22"/>
      <c r="AL1299" s="22"/>
      <c r="AM1299" s="22"/>
      <c r="AN1299" s="22"/>
      <c r="AO1299" s="22"/>
    </row>
    <row r="1300" ht="15.75" customHeight="1">
      <c r="A1300" s="22"/>
      <c r="B1300" s="22"/>
      <c r="C1300" s="22"/>
      <c r="D1300" s="22"/>
      <c r="E1300" s="22"/>
      <c r="F1300" s="22"/>
      <c r="G1300" s="130"/>
      <c r="H1300" s="22"/>
      <c r="I1300" s="22"/>
      <c r="J1300" s="22"/>
      <c r="K1300" s="22"/>
      <c r="L1300" s="22"/>
      <c r="M1300" s="22"/>
      <c r="N1300" s="22"/>
      <c r="O1300" s="22"/>
      <c r="P1300" s="22"/>
      <c r="Q1300" s="22"/>
      <c r="R1300" s="22"/>
      <c r="S1300" s="22"/>
      <c r="T1300" s="22"/>
      <c r="U1300" s="22"/>
      <c r="V1300" s="22"/>
      <c r="W1300" s="22"/>
      <c r="X1300" s="22"/>
      <c r="Y1300" s="22"/>
      <c r="Z1300" s="22"/>
      <c r="AA1300" s="22"/>
      <c r="AB1300" s="22"/>
      <c r="AC1300" s="22"/>
      <c r="AD1300" s="22"/>
      <c r="AE1300" s="22"/>
      <c r="AF1300" s="22"/>
      <c r="AG1300" s="22"/>
      <c r="AH1300" s="22"/>
      <c r="AI1300" s="22"/>
      <c r="AJ1300" s="22"/>
      <c r="AK1300" s="22"/>
      <c r="AL1300" s="22"/>
      <c r="AM1300" s="22"/>
      <c r="AN1300" s="22"/>
      <c r="AO1300" s="22"/>
    </row>
    <row r="1301" ht="15.75" customHeight="1">
      <c r="A1301" s="22"/>
      <c r="B1301" s="22"/>
      <c r="C1301" s="22"/>
      <c r="D1301" s="22"/>
      <c r="E1301" s="22"/>
      <c r="F1301" s="22"/>
      <c r="G1301" s="130"/>
      <c r="H1301" s="22"/>
      <c r="I1301" s="22"/>
      <c r="J1301" s="22"/>
      <c r="K1301" s="22"/>
      <c r="L1301" s="22"/>
      <c r="M1301" s="22"/>
      <c r="N1301" s="22"/>
      <c r="O1301" s="22"/>
      <c r="P1301" s="22"/>
      <c r="Q1301" s="22"/>
      <c r="R1301" s="22"/>
      <c r="S1301" s="22"/>
      <c r="T1301" s="22"/>
      <c r="U1301" s="22"/>
      <c r="V1301" s="22"/>
      <c r="W1301" s="22"/>
      <c r="X1301" s="22"/>
      <c r="Y1301" s="22"/>
      <c r="Z1301" s="22"/>
      <c r="AA1301" s="22"/>
      <c r="AB1301" s="22"/>
      <c r="AC1301" s="22"/>
      <c r="AD1301" s="22"/>
      <c r="AE1301" s="22"/>
      <c r="AF1301" s="22"/>
      <c r="AG1301" s="22"/>
      <c r="AH1301" s="22"/>
      <c r="AI1301" s="22"/>
      <c r="AJ1301" s="22"/>
      <c r="AK1301" s="22"/>
      <c r="AL1301" s="22"/>
      <c r="AM1301" s="22"/>
      <c r="AN1301" s="22"/>
      <c r="AO1301" s="22"/>
    </row>
    <row r="1302" ht="15.75" customHeight="1">
      <c r="A1302" s="22"/>
      <c r="B1302" s="22"/>
      <c r="C1302" s="22"/>
      <c r="D1302" s="22"/>
      <c r="E1302" s="22"/>
      <c r="F1302" s="22"/>
      <c r="G1302" s="130"/>
      <c r="H1302" s="22"/>
      <c r="I1302" s="22"/>
      <c r="J1302" s="22"/>
      <c r="K1302" s="22"/>
      <c r="L1302" s="22"/>
      <c r="M1302" s="22"/>
      <c r="N1302" s="22"/>
      <c r="O1302" s="22"/>
      <c r="P1302" s="22"/>
      <c r="Q1302" s="22"/>
      <c r="R1302" s="22"/>
      <c r="S1302" s="22"/>
      <c r="T1302" s="22"/>
      <c r="U1302" s="22"/>
      <c r="V1302" s="22"/>
      <c r="W1302" s="22"/>
      <c r="X1302" s="22"/>
      <c r="Y1302" s="22"/>
      <c r="Z1302" s="22"/>
      <c r="AA1302" s="22"/>
      <c r="AB1302" s="22"/>
      <c r="AC1302" s="22"/>
      <c r="AD1302" s="22"/>
      <c r="AE1302" s="22"/>
      <c r="AF1302" s="22"/>
      <c r="AG1302" s="22"/>
      <c r="AH1302" s="22"/>
      <c r="AI1302" s="22"/>
      <c r="AJ1302" s="22"/>
      <c r="AK1302" s="22"/>
      <c r="AL1302" s="22"/>
      <c r="AM1302" s="22"/>
      <c r="AN1302" s="22"/>
      <c r="AO1302" s="22"/>
    </row>
    <row r="1303" ht="15.75" customHeight="1">
      <c r="A1303" s="22"/>
      <c r="B1303" s="22"/>
      <c r="C1303" s="22"/>
      <c r="D1303" s="22"/>
      <c r="E1303" s="22"/>
      <c r="F1303" s="22"/>
      <c r="G1303" s="130"/>
      <c r="H1303" s="22"/>
      <c r="I1303" s="22"/>
      <c r="J1303" s="22"/>
      <c r="K1303" s="22"/>
      <c r="L1303" s="22"/>
      <c r="M1303" s="22"/>
      <c r="N1303" s="22"/>
      <c r="O1303" s="22"/>
      <c r="P1303" s="22"/>
      <c r="Q1303" s="22"/>
      <c r="R1303" s="22"/>
      <c r="S1303" s="22"/>
      <c r="T1303" s="22"/>
      <c r="U1303" s="22"/>
      <c r="V1303" s="22"/>
      <c r="W1303" s="22"/>
      <c r="X1303" s="22"/>
      <c r="Y1303" s="22"/>
      <c r="Z1303" s="22"/>
      <c r="AA1303" s="22"/>
      <c r="AB1303" s="22"/>
      <c r="AC1303" s="22"/>
      <c r="AD1303" s="22"/>
      <c r="AE1303" s="22"/>
      <c r="AF1303" s="22"/>
      <c r="AG1303" s="22"/>
      <c r="AH1303" s="22"/>
      <c r="AI1303" s="22"/>
      <c r="AJ1303" s="22"/>
      <c r="AK1303" s="22"/>
      <c r="AL1303" s="22"/>
      <c r="AM1303" s="22"/>
      <c r="AN1303" s="22"/>
      <c r="AO1303" s="22"/>
    </row>
    <row r="1304" ht="15.75" customHeight="1">
      <c r="A1304" s="22"/>
      <c r="B1304" s="22"/>
      <c r="C1304" s="22"/>
      <c r="D1304" s="22"/>
      <c r="E1304" s="22"/>
      <c r="F1304" s="22"/>
      <c r="G1304" s="130"/>
      <c r="H1304" s="22"/>
      <c r="I1304" s="22"/>
      <c r="J1304" s="22"/>
      <c r="K1304" s="22"/>
      <c r="L1304" s="22"/>
      <c r="M1304" s="22"/>
      <c r="N1304" s="22"/>
      <c r="O1304" s="22"/>
      <c r="P1304" s="22"/>
      <c r="Q1304" s="22"/>
      <c r="R1304" s="22"/>
      <c r="S1304" s="22"/>
      <c r="T1304" s="22"/>
      <c r="U1304" s="22"/>
      <c r="V1304" s="22"/>
      <c r="W1304" s="22"/>
      <c r="X1304" s="22"/>
      <c r="Y1304" s="22"/>
      <c r="Z1304" s="22"/>
      <c r="AA1304" s="22"/>
      <c r="AB1304" s="22"/>
      <c r="AC1304" s="22"/>
      <c r="AD1304" s="22"/>
      <c r="AE1304" s="22"/>
      <c r="AF1304" s="22"/>
      <c r="AG1304" s="22"/>
      <c r="AH1304" s="22"/>
      <c r="AI1304" s="22"/>
      <c r="AJ1304" s="22"/>
      <c r="AK1304" s="22"/>
      <c r="AL1304" s="22"/>
      <c r="AM1304" s="22"/>
      <c r="AN1304" s="22"/>
      <c r="AO1304" s="22"/>
    </row>
    <row r="1305" ht="15.75" customHeight="1">
      <c r="A1305" s="22"/>
      <c r="B1305" s="22"/>
      <c r="C1305" s="22"/>
      <c r="D1305" s="22"/>
      <c r="E1305" s="22"/>
      <c r="F1305" s="22"/>
      <c r="G1305" s="130"/>
      <c r="H1305" s="22"/>
      <c r="I1305" s="22"/>
      <c r="J1305" s="22"/>
      <c r="K1305" s="22"/>
      <c r="L1305" s="22"/>
      <c r="M1305" s="22"/>
      <c r="N1305" s="22"/>
      <c r="O1305" s="22"/>
      <c r="P1305" s="22"/>
      <c r="Q1305" s="22"/>
      <c r="R1305" s="22"/>
      <c r="S1305" s="22"/>
      <c r="T1305" s="22"/>
      <c r="U1305" s="22"/>
      <c r="V1305" s="22"/>
      <c r="W1305" s="22"/>
      <c r="X1305" s="22"/>
      <c r="Y1305" s="22"/>
      <c r="Z1305" s="22"/>
      <c r="AA1305" s="22"/>
      <c r="AB1305" s="22"/>
      <c r="AC1305" s="22"/>
      <c r="AD1305" s="22"/>
      <c r="AE1305" s="22"/>
      <c r="AF1305" s="22"/>
      <c r="AG1305" s="22"/>
      <c r="AH1305" s="22"/>
      <c r="AI1305" s="22"/>
      <c r="AJ1305" s="22"/>
      <c r="AK1305" s="22"/>
      <c r="AL1305" s="22"/>
      <c r="AM1305" s="22"/>
      <c r="AN1305" s="22"/>
      <c r="AO1305" s="22"/>
    </row>
    <row r="1306" ht="15.75" customHeight="1">
      <c r="A1306" s="22"/>
      <c r="B1306" s="22"/>
      <c r="C1306" s="22"/>
      <c r="D1306" s="22"/>
      <c r="E1306" s="22"/>
      <c r="F1306" s="22"/>
      <c r="G1306" s="130"/>
      <c r="H1306" s="22"/>
      <c r="I1306" s="22"/>
      <c r="J1306" s="22"/>
      <c r="K1306" s="22"/>
      <c r="L1306" s="22"/>
      <c r="M1306" s="22"/>
      <c r="N1306" s="22"/>
      <c r="O1306" s="22"/>
      <c r="P1306" s="22"/>
      <c r="Q1306" s="22"/>
      <c r="R1306" s="22"/>
      <c r="S1306" s="22"/>
      <c r="T1306" s="22"/>
      <c r="U1306" s="22"/>
      <c r="V1306" s="22"/>
      <c r="W1306" s="22"/>
      <c r="X1306" s="22"/>
      <c r="Y1306" s="22"/>
      <c r="Z1306" s="22"/>
      <c r="AA1306" s="22"/>
      <c r="AB1306" s="22"/>
      <c r="AC1306" s="22"/>
      <c r="AD1306" s="22"/>
      <c r="AE1306" s="22"/>
      <c r="AF1306" s="22"/>
      <c r="AG1306" s="22"/>
      <c r="AH1306" s="22"/>
      <c r="AI1306" s="22"/>
      <c r="AJ1306" s="22"/>
      <c r="AK1306" s="22"/>
      <c r="AL1306" s="22"/>
      <c r="AM1306" s="22"/>
      <c r="AN1306" s="22"/>
      <c r="AO1306" s="22"/>
    </row>
    <row r="1307" ht="15.75" customHeight="1">
      <c r="A1307" s="22"/>
      <c r="B1307" s="22"/>
      <c r="C1307" s="22"/>
      <c r="D1307" s="22"/>
      <c r="E1307" s="22"/>
      <c r="F1307" s="22"/>
      <c r="G1307" s="130"/>
      <c r="H1307" s="22"/>
      <c r="I1307" s="22"/>
      <c r="J1307" s="22"/>
      <c r="K1307" s="22"/>
      <c r="L1307" s="22"/>
      <c r="M1307" s="22"/>
      <c r="N1307" s="22"/>
      <c r="O1307" s="22"/>
      <c r="P1307" s="22"/>
      <c r="Q1307" s="22"/>
      <c r="R1307" s="22"/>
      <c r="S1307" s="22"/>
      <c r="T1307" s="22"/>
      <c r="U1307" s="22"/>
      <c r="V1307" s="22"/>
      <c r="W1307" s="22"/>
      <c r="X1307" s="22"/>
      <c r="Y1307" s="22"/>
      <c r="Z1307" s="22"/>
      <c r="AA1307" s="22"/>
      <c r="AB1307" s="22"/>
      <c r="AC1307" s="22"/>
      <c r="AD1307" s="22"/>
      <c r="AE1307" s="22"/>
      <c r="AF1307" s="22"/>
      <c r="AG1307" s="22"/>
      <c r="AH1307" s="22"/>
      <c r="AI1307" s="22"/>
      <c r="AJ1307" s="22"/>
      <c r="AK1307" s="22"/>
      <c r="AL1307" s="22"/>
      <c r="AM1307" s="22"/>
      <c r="AN1307" s="22"/>
      <c r="AO1307" s="22"/>
    </row>
    <row r="1308" ht="15.75" customHeight="1">
      <c r="A1308" s="22"/>
      <c r="B1308" s="22"/>
      <c r="C1308" s="22"/>
      <c r="D1308" s="22"/>
      <c r="E1308" s="22"/>
      <c r="F1308" s="22"/>
      <c r="G1308" s="130"/>
      <c r="H1308" s="22"/>
      <c r="I1308" s="22"/>
      <c r="J1308" s="22"/>
      <c r="K1308" s="22"/>
      <c r="L1308" s="22"/>
      <c r="M1308" s="22"/>
      <c r="N1308" s="22"/>
      <c r="O1308" s="22"/>
      <c r="P1308" s="22"/>
      <c r="Q1308" s="22"/>
      <c r="R1308" s="22"/>
      <c r="S1308" s="22"/>
      <c r="T1308" s="22"/>
      <c r="U1308" s="22"/>
      <c r="V1308" s="22"/>
      <c r="W1308" s="22"/>
      <c r="X1308" s="22"/>
      <c r="Y1308" s="22"/>
      <c r="Z1308" s="22"/>
      <c r="AA1308" s="22"/>
      <c r="AB1308" s="22"/>
      <c r="AC1308" s="22"/>
      <c r="AD1308" s="22"/>
      <c r="AE1308" s="22"/>
      <c r="AF1308" s="22"/>
      <c r="AG1308" s="22"/>
      <c r="AH1308" s="22"/>
      <c r="AI1308" s="22"/>
      <c r="AJ1308" s="22"/>
      <c r="AK1308" s="22"/>
      <c r="AL1308" s="22"/>
      <c r="AM1308" s="22"/>
      <c r="AN1308" s="22"/>
      <c r="AO1308" s="22"/>
    </row>
    <row r="1309" ht="15.75" customHeight="1">
      <c r="A1309" s="22"/>
      <c r="B1309" s="22"/>
      <c r="C1309" s="22"/>
      <c r="D1309" s="22"/>
      <c r="E1309" s="22"/>
      <c r="F1309" s="22"/>
      <c r="G1309" s="130"/>
      <c r="H1309" s="22"/>
      <c r="I1309" s="22"/>
      <c r="J1309" s="22"/>
      <c r="K1309" s="22"/>
      <c r="L1309" s="22"/>
      <c r="M1309" s="22"/>
      <c r="N1309" s="22"/>
      <c r="O1309" s="22"/>
      <c r="P1309" s="22"/>
      <c r="Q1309" s="22"/>
      <c r="R1309" s="22"/>
      <c r="S1309" s="22"/>
      <c r="T1309" s="22"/>
      <c r="U1309" s="22"/>
      <c r="V1309" s="22"/>
      <c r="W1309" s="22"/>
      <c r="X1309" s="22"/>
      <c r="Y1309" s="22"/>
      <c r="Z1309" s="22"/>
      <c r="AA1309" s="22"/>
      <c r="AB1309" s="22"/>
      <c r="AC1309" s="22"/>
      <c r="AD1309" s="22"/>
      <c r="AE1309" s="22"/>
      <c r="AF1309" s="22"/>
      <c r="AG1309" s="22"/>
      <c r="AH1309" s="22"/>
      <c r="AI1309" s="22"/>
      <c r="AJ1309" s="22"/>
      <c r="AK1309" s="22"/>
      <c r="AL1309" s="22"/>
      <c r="AM1309" s="22"/>
      <c r="AN1309" s="22"/>
      <c r="AO1309" s="22"/>
    </row>
    <row r="1310" ht="15.75" customHeight="1">
      <c r="A1310" s="22"/>
      <c r="B1310" s="22"/>
      <c r="C1310" s="22"/>
      <c r="D1310" s="22"/>
      <c r="E1310" s="22"/>
      <c r="F1310" s="22"/>
      <c r="G1310" s="130"/>
      <c r="H1310" s="22"/>
      <c r="I1310" s="22"/>
      <c r="J1310" s="22"/>
      <c r="K1310" s="22"/>
      <c r="L1310" s="22"/>
      <c r="M1310" s="22"/>
      <c r="N1310" s="22"/>
      <c r="O1310" s="22"/>
      <c r="P1310" s="22"/>
      <c r="Q1310" s="22"/>
      <c r="R1310" s="22"/>
      <c r="S1310" s="22"/>
      <c r="T1310" s="22"/>
      <c r="U1310" s="22"/>
      <c r="V1310" s="22"/>
      <c r="W1310" s="22"/>
      <c r="X1310" s="22"/>
      <c r="Y1310" s="22"/>
      <c r="Z1310" s="22"/>
      <c r="AA1310" s="22"/>
      <c r="AB1310" s="22"/>
      <c r="AC1310" s="22"/>
      <c r="AD1310" s="22"/>
      <c r="AE1310" s="22"/>
      <c r="AF1310" s="22"/>
      <c r="AG1310" s="22"/>
      <c r="AH1310" s="22"/>
      <c r="AI1310" s="22"/>
      <c r="AJ1310" s="22"/>
      <c r="AK1310" s="22"/>
      <c r="AL1310" s="22"/>
      <c r="AM1310" s="22"/>
      <c r="AN1310" s="22"/>
      <c r="AO1310" s="22"/>
    </row>
    <row r="1311" ht="15.75" customHeight="1">
      <c r="A1311" s="22"/>
      <c r="B1311" s="22"/>
      <c r="C1311" s="22"/>
      <c r="D1311" s="22"/>
      <c r="E1311" s="22"/>
      <c r="F1311" s="22"/>
      <c r="G1311" s="130"/>
      <c r="H1311" s="22"/>
      <c r="I1311" s="22"/>
      <c r="J1311" s="22"/>
      <c r="K1311" s="22"/>
      <c r="L1311" s="22"/>
      <c r="M1311" s="22"/>
      <c r="N1311" s="22"/>
      <c r="O1311" s="22"/>
      <c r="P1311" s="22"/>
      <c r="Q1311" s="22"/>
      <c r="R1311" s="22"/>
      <c r="S1311" s="22"/>
      <c r="T1311" s="22"/>
      <c r="U1311" s="22"/>
      <c r="V1311" s="22"/>
      <c r="W1311" s="22"/>
      <c r="X1311" s="22"/>
      <c r="Y1311" s="22"/>
      <c r="Z1311" s="22"/>
      <c r="AA1311" s="22"/>
      <c r="AB1311" s="22"/>
      <c r="AC1311" s="22"/>
      <c r="AD1311" s="22"/>
      <c r="AE1311" s="22"/>
      <c r="AF1311" s="22"/>
      <c r="AG1311" s="22"/>
      <c r="AH1311" s="22"/>
      <c r="AI1311" s="22"/>
      <c r="AJ1311" s="22"/>
      <c r="AK1311" s="22"/>
      <c r="AL1311" s="22"/>
      <c r="AM1311" s="22"/>
      <c r="AN1311" s="22"/>
      <c r="AO1311" s="22"/>
    </row>
    <row r="1312" ht="15.75" customHeight="1">
      <c r="A1312" s="22"/>
      <c r="B1312" s="22"/>
      <c r="C1312" s="22"/>
      <c r="D1312" s="22"/>
      <c r="E1312" s="22"/>
      <c r="F1312" s="22"/>
      <c r="G1312" s="130"/>
      <c r="H1312" s="22"/>
      <c r="I1312" s="22"/>
      <c r="J1312" s="22"/>
      <c r="K1312" s="22"/>
      <c r="L1312" s="22"/>
      <c r="M1312" s="22"/>
      <c r="N1312" s="22"/>
      <c r="O1312" s="22"/>
      <c r="P1312" s="22"/>
      <c r="Q1312" s="22"/>
      <c r="R1312" s="22"/>
      <c r="S1312" s="22"/>
      <c r="T1312" s="22"/>
      <c r="U1312" s="22"/>
      <c r="V1312" s="22"/>
      <c r="W1312" s="22"/>
      <c r="X1312" s="22"/>
      <c r="Y1312" s="22"/>
      <c r="Z1312" s="22"/>
      <c r="AA1312" s="22"/>
      <c r="AB1312" s="22"/>
      <c r="AC1312" s="22"/>
      <c r="AD1312" s="22"/>
      <c r="AE1312" s="22"/>
      <c r="AF1312" s="22"/>
      <c r="AG1312" s="22"/>
      <c r="AH1312" s="22"/>
      <c r="AI1312" s="22"/>
      <c r="AJ1312" s="22"/>
      <c r="AK1312" s="22"/>
      <c r="AL1312" s="22"/>
      <c r="AM1312" s="22"/>
      <c r="AN1312" s="22"/>
      <c r="AO1312" s="22"/>
    </row>
    <row r="1313" ht="15.75" customHeight="1">
      <c r="A1313" s="22"/>
      <c r="B1313" s="22"/>
      <c r="C1313" s="22"/>
      <c r="D1313" s="22"/>
      <c r="E1313" s="22"/>
      <c r="F1313" s="22"/>
      <c r="G1313" s="130"/>
      <c r="H1313" s="22"/>
      <c r="I1313" s="22"/>
      <c r="J1313" s="22"/>
      <c r="K1313" s="22"/>
      <c r="L1313" s="22"/>
      <c r="M1313" s="22"/>
      <c r="N1313" s="22"/>
      <c r="O1313" s="22"/>
      <c r="P1313" s="22"/>
      <c r="Q1313" s="22"/>
      <c r="R1313" s="22"/>
      <c r="S1313" s="22"/>
      <c r="T1313" s="22"/>
      <c r="U1313" s="22"/>
      <c r="V1313" s="22"/>
      <c r="W1313" s="22"/>
      <c r="X1313" s="22"/>
      <c r="Y1313" s="22"/>
      <c r="Z1313" s="22"/>
      <c r="AA1313" s="22"/>
      <c r="AB1313" s="22"/>
      <c r="AC1313" s="22"/>
      <c r="AD1313" s="22"/>
      <c r="AE1313" s="22"/>
      <c r="AF1313" s="22"/>
      <c r="AG1313" s="22"/>
      <c r="AH1313" s="22"/>
      <c r="AI1313" s="22"/>
      <c r="AJ1313" s="22"/>
      <c r="AK1313" s="22"/>
      <c r="AL1313" s="22"/>
      <c r="AM1313" s="22"/>
      <c r="AN1313" s="22"/>
      <c r="AO1313" s="22"/>
    </row>
    <row r="1314" ht="15.75" customHeight="1">
      <c r="A1314" s="22"/>
      <c r="B1314" s="22"/>
      <c r="C1314" s="22"/>
      <c r="D1314" s="22"/>
      <c r="E1314" s="22"/>
      <c r="F1314" s="22"/>
      <c r="G1314" s="130"/>
      <c r="H1314" s="22"/>
      <c r="I1314" s="22"/>
      <c r="J1314" s="22"/>
      <c r="K1314" s="22"/>
      <c r="L1314" s="22"/>
      <c r="M1314" s="22"/>
      <c r="N1314" s="22"/>
      <c r="O1314" s="22"/>
      <c r="P1314" s="22"/>
      <c r="Q1314" s="22"/>
      <c r="R1314" s="22"/>
      <c r="S1314" s="22"/>
      <c r="T1314" s="22"/>
      <c r="U1314" s="22"/>
      <c r="V1314" s="22"/>
      <c r="W1314" s="22"/>
      <c r="X1314" s="22"/>
      <c r="Y1314" s="22"/>
      <c r="Z1314" s="22"/>
      <c r="AA1314" s="22"/>
      <c r="AB1314" s="22"/>
      <c r="AC1314" s="22"/>
      <c r="AD1314" s="22"/>
      <c r="AE1314" s="22"/>
      <c r="AF1314" s="22"/>
      <c r="AG1314" s="22"/>
      <c r="AH1314" s="22"/>
      <c r="AI1314" s="22"/>
      <c r="AJ1314" s="22"/>
      <c r="AK1314" s="22"/>
      <c r="AL1314" s="22"/>
      <c r="AM1314" s="22"/>
      <c r="AN1314" s="22"/>
      <c r="AO1314" s="22"/>
    </row>
    <row r="1315" ht="15.75" customHeight="1">
      <c r="A1315" s="22"/>
      <c r="B1315" s="22"/>
      <c r="C1315" s="22"/>
      <c r="D1315" s="22"/>
      <c r="E1315" s="22"/>
      <c r="F1315" s="22"/>
      <c r="G1315" s="130"/>
      <c r="H1315" s="22"/>
      <c r="I1315" s="22"/>
      <c r="J1315" s="22"/>
      <c r="K1315" s="22"/>
      <c r="L1315" s="22"/>
      <c r="M1315" s="22"/>
      <c r="N1315" s="22"/>
      <c r="O1315" s="22"/>
      <c r="P1315" s="22"/>
      <c r="Q1315" s="22"/>
      <c r="R1315" s="22"/>
      <c r="S1315" s="22"/>
      <c r="T1315" s="22"/>
      <c r="U1315" s="22"/>
      <c r="V1315" s="22"/>
      <c r="W1315" s="22"/>
      <c r="X1315" s="22"/>
      <c r="Y1315" s="22"/>
      <c r="Z1315" s="22"/>
      <c r="AA1315" s="22"/>
      <c r="AB1315" s="22"/>
      <c r="AC1315" s="22"/>
      <c r="AD1315" s="22"/>
      <c r="AE1315" s="22"/>
      <c r="AF1315" s="22"/>
      <c r="AG1315" s="22"/>
      <c r="AH1315" s="22"/>
      <c r="AI1315" s="22"/>
      <c r="AJ1315" s="22"/>
      <c r="AK1315" s="22"/>
      <c r="AL1315" s="22"/>
      <c r="AM1315" s="22"/>
      <c r="AN1315" s="22"/>
      <c r="AO1315" s="22"/>
    </row>
    <row r="1316" ht="15.75" customHeight="1">
      <c r="A1316" s="22"/>
      <c r="B1316" s="22"/>
      <c r="C1316" s="22"/>
      <c r="D1316" s="22"/>
      <c r="E1316" s="22"/>
      <c r="F1316" s="22"/>
      <c r="G1316" s="130"/>
      <c r="H1316" s="22"/>
      <c r="I1316" s="22"/>
      <c r="J1316" s="22"/>
      <c r="K1316" s="22"/>
      <c r="L1316" s="22"/>
      <c r="M1316" s="22"/>
      <c r="N1316" s="22"/>
      <c r="O1316" s="22"/>
      <c r="P1316" s="22"/>
      <c r="Q1316" s="22"/>
      <c r="R1316" s="22"/>
      <c r="S1316" s="22"/>
      <c r="T1316" s="22"/>
      <c r="U1316" s="22"/>
      <c r="V1316" s="22"/>
      <c r="W1316" s="22"/>
      <c r="X1316" s="22"/>
      <c r="Y1316" s="22"/>
      <c r="Z1316" s="22"/>
      <c r="AA1316" s="22"/>
      <c r="AB1316" s="22"/>
      <c r="AC1316" s="22"/>
      <c r="AD1316" s="22"/>
      <c r="AE1316" s="22"/>
      <c r="AF1316" s="22"/>
      <c r="AG1316" s="22"/>
      <c r="AH1316" s="22"/>
      <c r="AI1316" s="22"/>
      <c r="AJ1316" s="22"/>
      <c r="AK1316" s="22"/>
      <c r="AL1316" s="22"/>
      <c r="AM1316" s="22"/>
      <c r="AN1316" s="22"/>
      <c r="AO1316" s="22"/>
    </row>
    <row r="1317" ht="15.75" customHeight="1">
      <c r="A1317" s="22"/>
      <c r="B1317" s="22"/>
      <c r="C1317" s="22"/>
      <c r="D1317" s="22"/>
      <c r="E1317" s="22"/>
      <c r="F1317" s="22"/>
      <c r="G1317" s="130"/>
      <c r="H1317" s="22"/>
      <c r="I1317" s="22"/>
      <c r="J1317" s="22"/>
      <c r="K1317" s="22"/>
      <c r="L1317" s="22"/>
      <c r="M1317" s="22"/>
      <c r="N1317" s="22"/>
      <c r="O1317" s="22"/>
      <c r="P1317" s="22"/>
      <c r="Q1317" s="22"/>
      <c r="R1317" s="22"/>
      <c r="S1317" s="22"/>
      <c r="T1317" s="22"/>
      <c r="U1317" s="22"/>
      <c r="V1317" s="22"/>
      <c r="W1317" s="22"/>
      <c r="X1317" s="22"/>
      <c r="Y1317" s="22"/>
      <c r="Z1317" s="22"/>
      <c r="AA1317" s="22"/>
      <c r="AB1317" s="22"/>
      <c r="AC1317" s="22"/>
      <c r="AD1317" s="22"/>
      <c r="AE1317" s="22"/>
      <c r="AF1317" s="22"/>
      <c r="AG1317" s="22"/>
      <c r="AH1317" s="22"/>
      <c r="AI1317" s="22"/>
      <c r="AJ1317" s="22"/>
      <c r="AK1317" s="22"/>
      <c r="AL1317" s="22"/>
      <c r="AM1317" s="22"/>
      <c r="AN1317" s="22"/>
      <c r="AO1317" s="22"/>
    </row>
    <row r="1318" ht="15.75" customHeight="1">
      <c r="A1318" s="22"/>
      <c r="B1318" s="22"/>
      <c r="C1318" s="22"/>
      <c r="D1318" s="22"/>
      <c r="E1318" s="22"/>
      <c r="F1318" s="22"/>
      <c r="G1318" s="130"/>
      <c r="H1318" s="22"/>
      <c r="I1318" s="22"/>
      <c r="J1318" s="22"/>
      <c r="K1318" s="22"/>
      <c r="L1318" s="22"/>
      <c r="M1318" s="22"/>
      <c r="N1318" s="22"/>
      <c r="O1318" s="22"/>
      <c r="P1318" s="22"/>
      <c r="Q1318" s="22"/>
      <c r="R1318" s="22"/>
      <c r="S1318" s="22"/>
      <c r="T1318" s="22"/>
      <c r="U1318" s="22"/>
      <c r="V1318" s="22"/>
      <c r="W1318" s="22"/>
      <c r="X1318" s="22"/>
      <c r="Y1318" s="22"/>
      <c r="Z1318" s="22"/>
      <c r="AA1318" s="22"/>
      <c r="AB1318" s="22"/>
      <c r="AC1318" s="22"/>
      <c r="AD1318" s="22"/>
      <c r="AE1318" s="22"/>
      <c r="AF1318" s="22"/>
      <c r="AG1318" s="22"/>
      <c r="AH1318" s="22"/>
      <c r="AI1318" s="22"/>
      <c r="AJ1318" s="22"/>
      <c r="AK1318" s="22"/>
      <c r="AL1318" s="22"/>
      <c r="AM1318" s="22"/>
      <c r="AN1318" s="22"/>
      <c r="AO1318" s="22"/>
    </row>
    <row r="1319" ht="15.75" customHeight="1">
      <c r="A1319" s="22"/>
      <c r="B1319" s="22"/>
      <c r="C1319" s="22"/>
      <c r="D1319" s="22"/>
      <c r="E1319" s="22"/>
      <c r="F1319" s="22"/>
      <c r="G1319" s="130"/>
      <c r="H1319" s="22"/>
      <c r="I1319" s="22"/>
      <c r="J1319" s="22"/>
      <c r="K1319" s="22"/>
      <c r="L1319" s="22"/>
      <c r="M1319" s="22"/>
      <c r="N1319" s="22"/>
      <c r="O1319" s="22"/>
      <c r="P1319" s="22"/>
      <c r="Q1319" s="22"/>
      <c r="R1319" s="22"/>
      <c r="S1319" s="22"/>
      <c r="T1319" s="22"/>
      <c r="U1319" s="22"/>
      <c r="V1319" s="22"/>
      <c r="W1319" s="22"/>
      <c r="X1319" s="22"/>
      <c r="Y1319" s="22"/>
      <c r="Z1319" s="22"/>
      <c r="AA1319" s="22"/>
      <c r="AB1319" s="22"/>
      <c r="AC1319" s="22"/>
      <c r="AD1319" s="22"/>
      <c r="AE1319" s="22"/>
      <c r="AF1319" s="22"/>
      <c r="AG1319" s="22"/>
      <c r="AH1319" s="22"/>
      <c r="AI1319" s="22"/>
      <c r="AJ1319" s="22"/>
      <c r="AK1319" s="22"/>
      <c r="AL1319" s="22"/>
      <c r="AM1319" s="22"/>
      <c r="AN1319" s="22"/>
      <c r="AO1319" s="22"/>
    </row>
    <row r="1320" ht="15.75" customHeight="1">
      <c r="A1320" s="22"/>
      <c r="B1320" s="22"/>
      <c r="C1320" s="22"/>
      <c r="D1320" s="22"/>
      <c r="E1320" s="22"/>
      <c r="F1320" s="22"/>
      <c r="G1320" s="130"/>
      <c r="H1320" s="22"/>
      <c r="I1320" s="22"/>
      <c r="J1320" s="22"/>
      <c r="K1320" s="22"/>
      <c r="L1320" s="22"/>
      <c r="M1320" s="22"/>
      <c r="N1320" s="22"/>
      <c r="O1320" s="22"/>
      <c r="P1320" s="22"/>
      <c r="Q1320" s="22"/>
      <c r="R1320" s="22"/>
      <c r="S1320" s="22"/>
      <c r="T1320" s="22"/>
      <c r="U1320" s="22"/>
      <c r="V1320" s="22"/>
      <c r="W1320" s="22"/>
      <c r="X1320" s="22"/>
      <c r="Y1320" s="22"/>
      <c r="Z1320" s="22"/>
      <c r="AA1320" s="22"/>
      <c r="AB1320" s="22"/>
      <c r="AC1320" s="22"/>
      <c r="AD1320" s="22"/>
      <c r="AE1320" s="22"/>
      <c r="AF1320" s="22"/>
      <c r="AG1320" s="22"/>
      <c r="AH1320" s="22"/>
      <c r="AI1320" s="22"/>
      <c r="AJ1320" s="22"/>
      <c r="AK1320" s="22"/>
      <c r="AL1320" s="22"/>
      <c r="AM1320" s="22"/>
      <c r="AN1320" s="22"/>
      <c r="AO1320" s="22"/>
    </row>
    <row r="1321" ht="15.75" customHeight="1">
      <c r="A1321" s="22"/>
      <c r="B1321" s="22"/>
      <c r="C1321" s="22"/>
      <c r="D1321" s="22"/>
      <c r="E1321" s="22"/>
      <c r="F1321" s="22"/>
      <c r="G1321" s="130"/>
      <c r="H1321" s="22"/>
      <c r="I1321" s="22"/>
      <c r="J1321" s="22"/>
      <c r="K1321" s="22"/>
      <c r="L1321" s="22"/>
      <c r="M1321" s="22"/>
      <c r="N1321" s="22"/>
      <c r="O1321" s="22"/>
      <c r="P1321" s="22"/>
      <c r="Q1321" s="22"/>
      <c r="R1321" s="22"/>
      <c r="S1321" s="22"/>
      <c r="T1321" s="22"/>
      <c r="U1321" s="22"/>
      <c r="V1321" s="22"/>
      <c r="W1321" s="22"/>
      <c r="X1321" s="22"/>
      <c r="Y1321" s="22"/>
      <c r="Z1321" s="22"/>
      <c r="AA1321" s="22"/>
      <c r="AB1321" s="22"/>
      <c r="AC1321" s="22"/>
      <c r="AD1321" s="22"/>
      <c r="AE1321" s="22"/>
      <c r="AF1321" s="22"/>
      <c r="AG1321" s="22"/>
      <c r="AH1321" s="22"/>
      <c r="AI1321" s="22"/>
      <c r="AJ1321" s="22"/>
      <c r="AK1321" s="22"/>
      <c r="AL1321" s="22"/>
      <c r="AM1321" s="22"/>
      <c r="AN1321" s="22"/>
      <c r="AO1321" s="22"/>
    </row>
    <row r="1322" ht="15.75" customHeight="1">
      <c r="A1322" s="22"/>
      <c r="B1322" s="22"/>
      <c r="C1322" s="22"/>
      <c r="D1322" s="22"/>
      <c r="E1322" s="22"/>
      <c r="F1322" s="22"/>
      <c r="G1322" s="130"/>
      <c r="H1322" s="22"/>
      <c r="I1322" s="22"/>
      <c r="J1322" s="22"/>
      <c r="K1322" s="22"/>
      <c r="L1322" s="22"/>
      <c r="M1322" s="22"/>
      <c r="N1322" s="22"/>
      <c r="O1322" s="22"/>
      <c r="P1322" s="22"/>
      <c r="Q1322" s="22"/>
      <c r="R1322" s="22"/>
      <c r="S1322" s="22"/>
      <c r="T1322" s="22"/>
      <c r="U1322" s="22"/>
      <c r="V1322" s="22"/>
      <c r="W1322" s="22"/>
      <c r="X1322" s="22"/>
      <c r="Y1322" s="22"/>
      <c r="Z1322" s="22"/>
      <c r="AA1322" s="22"/>
      <c r="AB1322" s="22"/>
      <c r="AC1322" s="22"/>
      <c r="AD1322" s="22"/>
      <c r="AE1322" s="22"/>
      <c r="AF1322" s="22"/>
      <c r="AG1322" s="22"/>
      <c r="AH1322" s="22"/>
      <c r="AI1322" s="22"/>
      <c r="AJ1322" s="22"/>
      <c r="AK1322" s="22"/>
      <c r="AL1322" s="22"/>
      <c r="AM1322" s="22"/>
      <c r="AN1322" s="22"/>
      <c r="AO1322" s="22"/>
    </row>
    <row r="1323" ht="15.75" customHeight="1">
      <c r="A1323" s="22"/>
      <c r="B1323" s="22"/>
      <c r="C1323" s="22"/>
      <c r="D1323" s="22"/>
      <c r="E1323" s="22"/>
      <c r="F1323" s="22"/>
      <c r="G1323" s="130"/>
      <c r="H1323" s="22"/>
      <c r="I1323" s="22"/>
      <c r="J1323" s="22"/>
      <c r="K1323" s="22"/>
      <c r="L1323" s="22"/>
      <c r="M1323" s="22"/>
      <c r="N1323" s="22"/>
      <c r="O1323" s="22"/>
      <c r="P1323" s="22"/>
      <c r="Q1323" s="22"/>
      <c r="R1323" s="22"/>
      <c r="S1323" s="22"/>
      <c r="T1323" s="22"/>
      <c r="U1323" s="22"/>
      <c r="V1323" s="22"/>
      <c r="W1323" s="22"/>
      <c r="X1323" s="22"/>
      <c r="Y1323" s="22"/>
      <c r="Z1323" s="22"/>
      <c r="AA1323" s="22"/>
      <c r="AB1323" s="22"/>
      <c r="AC1323" s="22"/>
      <c r="AD1323" s="22"/>
      <c r="AE1323" s="22"/>
      <c r="AF1323" s="22"/>
      <c r="AG1323" s="22"/>
      <c r="AH1323" s="22"/>
      <c r="AI1323" s="22"/>
      <c r="AJ1323" s="22"/>
      <c r="AK1323" s="22"/>
      <c r="AL1323" s="22"/>
      <c r="AM1323" s="22"/>
      <c r="AN1323" s="22"/>
      <c r="AO1323" s="22"/>
    </row>
    <row r="1324" ht="15.75" customHeight="1">
      <c r="A1324" s="22"/>
      <c r="B1324" s="22"/>
      <c r="C1324" s="22"/>
      <c r="D1324" s="22"/>
      <c r="E1324" s="22"/>
      <c r="F1324" s="22"/>
      <c r="G1324" s="130"/>
      <c r="H1324" s="22"/>
      <c r="I1324" s="22"/>
      <c r="J1324" s="22"/>
      <c r="K1324" s="22"/>
      <c r="L1324" s="22"/>
      <c r="M1324" s="22"/>
      <c r="N1324" s="22"/>
      <c r="O1324" s="22"/>
      <c r="P1324" s="22"/>
      <c r="Q1324" s="22"/>
      <c r="R1324" s="22"/>
      <c r="S1324" s="22"/>
      <c r="T1324" s="22"/>
      <c r="U1324" s="22"/>
      <c r="V1324" s="22"/>
      <c r="W1324" s="22"/>
      <c r="X1324" s="22"/>
      <c r="Y1324" s="22"/>
      <c r="Z1324" s="22"/>
      <c r="AA1324" s="22"/>
      <c r="AB1324" s="22"/>
      <c r="AC1324" s="22"/>
      <c r="AD1324" s="22"/>
      <c r="AE1324" s="22"/>
      <c r="AF1324" s="22"/>
      <c r="AG1324" s="22"/>
      <c r="AH1324" s="22"/>
      <c r="AI1324" s="22"/>
      <c r="AJ1324" s="22"/>
      <c r="AK1324" s="22"/>
      <c r="AL1324" s="22"/>
      <c r="AM1324" s="22"/>
      <c r="AN1324" s="22"/>
      <c r="AO1324" s="22"/>
    </row>
    <row r="1325" ht="15.75" customHeight="1">
      <c r="A1325" s="22"/>
      <c r="B1325" s="22"/>
      <c r="C1325" s="22"/>
      <c r="D1325" s="22"/>
      <c r="E1325" s="22"/>
      <c r="F1325" s="22"/>
      <c r="G1325" s="130"/>
      <c r="H1325" s="22"/>
      <c r="I1325" s="22"/>
      <c r="J1325" s="22"/>
      <c r="K1325" s="22"/>
      <c r="L1325" s="22"/>
      <c r="M1325" s="22"/>
      <c r="N1325" s="22"/>
      <c r="O1325" s="22"/>
      <c r="P1325" s="22"/>
      <c r="Q1325" s="22"/>
      <c r="R1325" s="22"/>
      <c r="S1325" s="22"/>
      <c r="T1325" s="22"/>
      <c r="U1325" s="22"/>
      <c r="V1325" s="22"/>
      <c r="W1325" s="22"/>
      <c r="X1325" s="22"/>
      <c r="Y1325" s="22"/>
      <c r="Z1325" s="22"/>
      <c r="AA1325" s="22"/>
      <c r="AB1325" s="22"/>
      <c r="AC1325" s="22"/>
      <c r="AD1325" s="22"/>
      <c r="AE1325" s="22"/>
      <c r="AF1325" s="22"/>
      <c r="AG1325" s="22"/>
      <c r="AH1325" s="22"/>
      <c r="AI1325" s="22"/>
      <c r="AJ1325" s="22"/>
      <c r="AK1325" s="22"/>
      <c r="AL1325" s="22"/>
      <c r="AM1325" s="22"/>
      <c r="AN1325" s="22"/>
      <c r="AO1325" s="22"/>
    </row>
    <row r="1326" ht="15.75" customHeight="1">
      <c r="A1326" s="22"/>
      <c r="B1326" s="22"/>
      <c r="C1326" s="22"/>
      <c r="D1326" s="22"/>
      <c r="E1326" s="22"/>
      <c r="F1326" s="22"/>
      <c r="G1326" s="130"/>
      <c r="H1326" s="22"/>
      <c r="I1326" s="22"/>
      <c r="J1326" s="22"/>
      <c r="K1326" s="22"/>
      <c r="L1326" s="22"/>
      <c r="M1326" s="22"/>
      <c r="N1326" s="22"/>
      <c r="O1326" s="22"/>
      <c r="P1326" s="22"/>
      <c r="Q1326" s="22"/>
      <c r="R1326" s="22"/>
      <c r="S1326" s="22"/>
      <c r="T1326" s="22"/>
      <c r="U1326" s="22"/>
      <c r="V1326" s="22"/>
      <c r="W1326" s="22"/>
      <c r="X1326" s="22"/>
      <c r="Y1326" s="22"/>
      <c r="Z1326" s="22"/>
      <c r="AA1326" s="22"/>
      <c r="AB1326" s="22"/>
      <c r="AC1326" s="22"/>
      <c r="AD1326" s="22"/>
      <c r="AE1326" s="22"/>
      <c r="AF1326" s="22"/>
      <c r="AG1326" s="22"/>
      <c r="AH1326" s="22"/>
      <c r="AI1326" s="22"/>
      <c r="AJ1326" s="22"/>
      <c r="AK1326" s="22"/>
      <c r="AL1326" s="22"/>
      <c r="AM1326" s="22"/>
      <c r="AN1326" s="22"/>
      <c r="AO1326" s="22"/>
    </row>
    <row r="1327" ht="15.75" customHeight="1">
      <c r="A1327" s="22"/>
      <c r="B1327" s="22"/>
      <c r="C1327" s="22"/>
      <c r="D1327" s="22"/>
      <c r="E1327" s="22"/>
      <c r="F1327" s="22"/>
      <c r="G1327" s="130"/>
      <c r="H1327" s="22"/>
      <c r="I1327" s="22"/>
      <c r="J1327" s="22"/>
      <c r="K1327" s="22"/>
      <c r="L1327" s="22"/>
      <c r="M1327" s="22"/>
      <c r="N1327" s="22"/>
      <c r="O1327" s="22"/>
      <c r="P1327" s="22"/>
      <c r="Q1327" s="22"/>
      <c r="R1327" s="22"/>
      <c r="S1327" s="22"/>
      <c r="T1327" s="22"/>
      <c r="U1327" s="22"/>
      <c r="V1327" s="22"/>
      <c r="W1327" s="22"/>
      <c r="X1327" s="22"/>
      <c r="Y1327" s="22"/>
      <c r="Z1327" s="22"/>
      <c r="AA1327" s="22"/>
      <c r="AB1327" s="22"/>
      <c r="AC1327" s="22"/>
      <c r="AD1327" s="22"/>
      <c r="AE1327" s="22"/>
      <c r="AF1327" s="22"/>
      <c r="AG1327" s="22"/>
      <c r="AH1327" s="22"/>
      <c r="AI1327" s="22"/>
      <c r="AJ1327" s="22"/>
      <c r="AK1327" s="22"/>
      <c r="AL1327" s="22"/>
      <c r="AM1327" s="22"/>
      <c r="AN1327" s="22"/>
      <c r="AO1327" s="22"/>
    </row>
    <row r="1328" ht="15.75" customHeight="1">
      <c r="A1328" s="22"/>
      <c r="B1328" s="22"/>
      <c r="C1328" s="22"/>
      <c r="D1328" s="22"/>
      <c r="E1328" s="22"/>
      <c r="F1328" s="22"/>
      <c r="G1328" s="130"/>
      <c r="H1328" s="22"/>
      <c r="I1328" s="22"/>
      <c r="J1328" s="22"/>
      <c r="K1328" s="22"/>
      <c r="L1328" s="22"/>
      <c r="M1328" s="22"/>
      <c r="N1328" s="22"/>
      <c r="O1328" s="22"/>
      <c r="P1328" s="22"/>
      <c r="Q1328" s="22"/>
      <c r="R1328" s="22"/>
      <c r="S1328" s="22"/>
      <c r="T1328" s="22"/>
      <c r="U1328" s="22"/>
      <c r="V1328" s="22"/>
      <c r="W1328" s="22"/>
      <c r="X1328" s="22"/>
      <c r="Y1328" s="22"/>
      <c r="Z1328" s="22"/>
      <c r="AA1328" s="22"/>
      <c r="AB1328" s="22"/>
      <c r="AC1328" s="22"/>
      <c r="AD1328" s="22"/>
      <c r="AE1328" s="22"/>
      <c r="AF1328" s="22"/>
      <c r="AG1328" s="22"/>
      <c r="AH1328" s="22"/>
      <c r="AI1328" s="22"/>
      <c r="AJ1328" s="22"/>
      <c r="AK1328" s="22"/>
      <c r="AL1328" s="22"/>
      <c r="AM1328" s="22"/>
      <c r="AN1328" s="22"/>
      <c r="AO1328" s="22"/>
    </row>
    <row r="1329" ht="15.75" customHeight="1">
      <c r="A1329" s="22"/>
      <c r="B1329" s="22"/>
      <c r="C1329" s="22"/>
      <c r="D1329" s="22"/>
      <c r="E1329" s="22"/>
      <c r="F1329" s="22"/>
      <c r="G1329" s="130"/>
      <c r="H1329" s="22"/>
      <c r="I1329" s="22"/>
      <c r="J1329" s="22"/>
      <c r="K1329" s="22"/>
      <c r="L1329" s="22"/>
      <c r="M1329" s="22"/>
      <c r="N1329" s="22"/>
      <c r="O1329" s="22"/>
      <c r="P1329" s="22"/>
      <c r="Q1329" s="22"/>
      <c r="R1329" s="22"/>
      <c r="S1329" s="22"/>
      <c r="T1329" s="22"/>
      <c r="U1329" s="22"/>
      <c r="V1329" s="22"/>
      <c r="W1329" s="22"/>
      <c r="X1329" s="22"/>
      <c r="Y1329" s="22"/>
      <c r="Z1329" s="22"/>
      <c r="AA1329" s="22"/>
      <c r="AB1329" s="22"/>
      <c r="AC1329" s="22"/>
      <c r="AD1329" s="22"/>
      <c r="AE1329" s="22"/>
      <c r="AF1329" s="22"/>
      <c r="AG1329" s="22"/>
      <c r="AH1329" s="22"/>
      <c r="AI1329" s="22"/>
      <c r="AJ1329" s="22"/>
      <c r="AK1329" s="22"/>
      <c r="AL1329" s="22"/>
      <c r="AM1329" s="22"/>
      <c r="AN1329" s="22"/>
      <c r="AO1329" s="22"/>
    </row>
    <row r="1330" ht="15.75" customHeight="1">
      <c r="A1330" s="22"/>
      <c r="B1330" s="22"/>
      <c r="C1330" s="22"/>
      <c r="D1330" s="22"/>
      <c r="E1330" s="22"/>
      <c r="F1330" s="22"/>
      <c r="G1330" s="130"/>
      <c r="H1330" s="22"/>
      <c r="I1330" s="22"/>
      <c r="J1330" s="22"/>
      <c r="K1330" s="22"/>
      <c r="L1330" s="22"/>
      <c r="M1330" s="22"/>
      <c r="N1330" s="22"/>
      <c r="O1330" s="22"/>
      <c r="P1330" s="22"/>
      <c r="Q1330" s="22"/>
      <c r="R1330" s="22"/>
      <c r="S1330" s="22"/>
      <c r="T1330" s="22"/>
      <c r="U1330" s="22"/>
      <c r="V1330" s="22"/>
      <c r="W1330" s="22"/>
      <c r="X1330" s="22"/>
      <c r="Y1330" s="22"/>
      <c r="Z1330" s="22"/>
      <c r="AA1330" s="22"/>
      <c r="AB1330" s="22"/>
      <c r="AC1330" s="22"/>
      <c r="AD1330" s="22"/>
      <c r="AE1330" s="22"/>
      <c r="AF1330" s="22"/>
      <c r="AG1330" s="22"/>
      <c r="AH1330" s="22"/>
      <c r="AI1330" s="22"/>
      <c r="AJ1330" s="22"/>
      <c r="AK1330" s="22"/>
      <c r="AL1330" s="22"/>
      <c r="AM1330" s="22"/>
      <c r="AN1330" s="22"/>
      <c r="AO1330" s="22"/>
    </row>
    <row r="1331" ht="15.75" customHeight="1">
      <c r="A1331" s="22"/>
      <c r="B1331" s="22"/>
      <c r="C1331" s="22"/>
      <c r="D1331" s="22"/>
      <c r="E1331" s="22"/>
      <c r="F1331" s="22"/>
      <c r="G1331" s="130"/>
      <c r="H1331" s="22"/>
      <c r="I1331" s="22"/>
      <c r="J1331" s="22"/>
      <c r="K1331" s="22"/>
      <c r="L1331" s="22"/>
      <c r="M1331" s="22"/>
      <c r="N1331" s="22"/>
      <c r="O1331" s="22"/>
      <c r="P1331" s="22"/>
      <c r="Q1331" s="22"/>
      <c r="R1331" s="22"/>
      <c r="S1331" s="22"/>
      <c r="T1331" s="22"/>
      <c r="U1331" s="22"/>
      <c r="V1331" s="22"/>
      <c r="W1331" s="22"/>
      <c r="X1331" s="22"/>
      <c r="Y1331" s="22"/>
      <c r="Z1331" s="22"/>
      <c r="AA1331" s="22"/>
      <c r="AB1331" s="22"/>
      <c r="AC1331" s="22"/>
      <c r="AD1331" s="22"/>
      <c r="AE1331" s="22"/>
      <c r="AF1331" s="22"/>
      <c r="AG1331" s="22"/>
      <c r="AH1331" s="22"/>
      <c r="AI1331" s="22"/>
      <c r="AJ1331" s="22"/>
      <c r="AK1331" s="22"/>
      <c r="AL1331" s="22"/>
      <c r="AM1331" s="22"/>
      <c r="AN1331" s="22"/>
      <c r="AO1331" s="22"/>
    </row>
    <row r="1332" ht="15.75" customHeight="1">
      <c r="A1332" s="22"/>
      <c r="B1332" s="22"/>
      <c r="C1332" s="22"/>
      <c r="D1332" s="22"/>
      <c r="E1332" s="22"/>
      <c r="F1332" s="22"/>
      <c r="G1332" s="130"/>
      <c r="H1332" s="22"/>
      <c r="I1332" s="22"/>
      <c r="J1332" s="22"/>
      <c r="K1332" s="22"/>
      <c r="L1332" s="22"/>
      <c r="M1332" s="22"/>
      <c r="N1332" s="22"/>
      <c r="O1332" s="22"/>
      <c r="P1332" s="22"/>
      <c r="Q1332" s="22"/>
      <c r="R1332" s="22"/>
      <c r="S1332" s="22"/>
      <c r="T1332" s="22"/>
      <c r="U1332" s="22"/>
      <c r="V1332" s="22"/>
      <c r="W1332" s="22"/>
      <c r="X1332" s="22"/>
      <c r="Y1332" s="22"/>
      <c r="Z1332" s="22"/>
      <c r="AA1332" s="22"/>
      <c r="AB1332" s="22"/>
      <c r="AC1332" s="22"/>
      <c r="AD1332" s="22"/>
      <c r="AE1332" s="22"/>
      <c r="AF1332" s="22"/>
      <c r="AG1332" s="22"/>
      <c r="AH1332" s="22"/>
      <c r="AI1332" s="22"/>
      <c r="AJ1332" s="22"/>
      <c r="AK1332" s="22"/>
      <c r="AL1332" s="22"/>
      <c r="AM1332" s="22"/>
      <c r="AN1332" s="22"/>
      <c r="AO1332" s="22"/>
    </row>
    <row r="1333" ht="15.75" customHeight="1">
      <c r="A1333" s="22"/>
      <c r="B1333" s="22"/>
      <c r="C1333" s="22"/>
      <c r="D1333" s="22"/>
      <c r="E1333" s="22"/>
      <c r="F1333" s="22"/>
      <c r="G1333" s="130"/>
      <c r="H1333" s="22"/>
      <c r="I1333" s="22"/>
      <c r="J1333" s="22"/>
      <c r="K1333" s="22"/>
      <c r="L1333" s="22"/>
      <c r="M1333" s="22"/>
      <c r="N1333" s="22"/>
      <c r="O1333" s="22"/>
      <c r="P1333" s="22"/>
      <c r="Q1333" s="22"/>
      <c r="R1333" s="22"/>
      <c r="S1333" s="22"/>
      <c r="T1333" s="22"/>
      <c r="U1333" s="22"/>
      <c r="V1333" s="22"/>
      <c r="W1333" s="22"/>
      <c r="X1333" s="22"/>
      <c r="Y1333" s="22"/>
      <c r="Z1333" s="22"/>
      <c r="AA1333" s="22"/>
      <c r="AB1333" s="22"/>
      <c r="AC1333" s="22"/>
      <c r="AD1333" s="22"/>
      <c r="AE1333" s="22"/>
      <c r="AF1333" s="22"/>
      <c r="AG1333" s="22"/>
      <c r="AH1333" s="22"/>
      <c r="AI1333" s="22"/>
      <c r="AJ1333" s="22"/>
      <c r="AK1333" s="22"/>
      <c r="AL1333" s="22"/>
      <c r="AM1333" s="22"/>
      <c r="AN1333" s="22"/>
      <c r="AO1333" s="22"/>
    </row>
    <row r="1334" ht="15.75" customHeight="1">
      <c r="A1334" s="22"/>
      <c r="B1334" s="22"/>
      <c r="C1334" s="22"/>
      <c r="D1334" s="22"/>
      <c r="E1334" s="22"/>
      <c r="F1334" s="22"/>
      <c r="G1334" s="130"/>
      <c r="H1334" s="22"/>
      <c r="I1334" s="22"/>
      <c r="J1334" s="22"/>
      <c r="K1334" s="22"/>
      <c r="L1334" s="22"/>
      <c r="M1334" s="22"/>
      <c r="N1334" s="22"/>
      <c r="O1334" s="22"/>
      <c r="P1334" s="22"/>
      <c r="Q1334" s="22"/>
      <c r="R1334" s="22"/>
      <c r="S1334" s="22"/>
      <c r="T1334" s="22"/>
      <c r="U1334" s="22"/>
      <c r="V1334" s="22"/>
      <c r="W1334" s="22"/>
      <c r="X1334" s="22"/>
      <c r="Y1334" s="22"/>
      <c r="Z1334" s="22"/>
      <c r="AA1334" s="22"/>
      <c r="AB1334" s="22"/>
      <c r="AC1334" s="22"/>
      <c r="AD1334" s="22"/>
      <c r="AE1334" s="22"/>
      <c r="AF1334" s="22"/>
      <c r="AG1334" s="22"/>
      <c r="AH1334" s="22"/>
      <c r="AI1334" s="22"/>
      <c r="AJ1334" s="22"/>
      <c r="AK1334" s="22"/>
      <c r="AL1334" s="22"/>
      <c r="AM1334" s="22"/>
      <c r="AN1334" s="22"/>
      <c r="AO1334" s="22"/>
    </row>
    <row r="1335" ht="15.75" customHeight="1">
      <c r="A1335" s="22"/>
      <c r="B1335" s="22"/>
      <c r="C1335" s="22"/>
      <c r="D1335" s="22"/>
      <c r="E1335" s="22"/>
      <c r="F1335" s="22"/>
      <c r="G1335" s="130"/>
      <c r="H1335" s="22"/>
      <c r="I1335" s="22"/>
      <c r="J1335" s="22"/>
      <c r="K1335" s="22"/>
      <c r="L1335" s="22"/>
      <c r="M1335" s="22"/>
      <c r="N1335" s="22"/>
      <c r="O1335" s="22"/>
      <c r="P1335" s="22"/>
      <c r="Q1335" s="22"/>
      <c r="R1335" s="22"/>
      <c r="S1335" s="22"/>
      <c r="T1335" s="22"/>
      <c r="U1335" s="22"/>
      <c r="V1335" s="22"/>
      <c r="W1335" s="22"/>
      <c r="X1335" s="22"/>
      <c r="Y1335" s="22"/>
      <c r="Z1335" s="22"/>
      <c r="AA1335" s="22"/>
      <c r="AB1335" s="22"/>
      <c r="AC1335" s="22"/>
      <c r="AD1335" s="22"/>
      <c r="AE1335" s="22"/>
      <c r="AF1335" s="22"/>
      <c r="AG1335" s="22"/>
      <c r="AH1335" s="22"/>
      <c r="AI1335" s="22"/>
      <c r="AJ1335" s="22"/>
      <c r="AK1335" s="22"/>
      <c r="AL1335" s="22"/>
      <c r="AM1335" s="22"/>
      <c r="AN1335" s="22"/>
      <c r="AO1335" s="22"/>
    </row>
    <row r="1336" ht="15.75" customHeight="1">
      <c r="A1336" s="22"/>
      <c r="B1336" s="22"/>
      <c r="C1336" s="22"/>
      <c r="D1336" s="22"/>
      <c r="E1336" s="22"/>
      <c r="F1336" s="22"/>
      <c r="G1336" s="130"/>
      <c r="H1336" s="22"/>
      <c r="I1336" s="22"/>
      <c r="J1336" s="22"/>
      <c r="K1336" s="22"/>
      <c r="L1336" s="22"/>
      <c r="M1336" s="22"/>
      <c r="N1336" s="22"/>
      <c r="O1336" s="22"/>
      <c r="P1336" s="22"/>
      <c r="Q1336" s="22"/>
      <c r="R1336" s="22"/>
      <c r="S1336" s="22"/>
      <c r="T1336" s="22"/>
      <c r="U1336" s="22"/>
      <c r="V1336" s="22"/>
      <c r="W1336" s="22"/>
      <c r="X1336" s="22"/>
      <c r="Y1336" s="22"/>
      <c r="Z1336" s="22"/>
      <c r="AA1336" s="22"/>
      <c r="AB1336" s="22"/>
      <c r="AC1336" s="22"/>
      <c r="AD1336" s="22"/>
      <c r="AE1336" s="22"/>
      <c r="AF1336" s="22"/>
      <c r="AG1336" s="22"/>
      <c r="AH1336" s="22"/>
      <c r="AI1336" s="22"/>
      <c r="AJ1336" s="22"/>
      <c r="AK1336" s="22"/>
      <c r="AL1336" s="22"/>
      <c r="AM1336" s="22"/>
      <c r="AN1336" s="22"/>
      <c r="AO1336" s="22"/>
    </row>
    <row r="1337" ht="15.75" customHeight="1">
      <c r="A1337" s="22"/>
      <c r="B1337" s="22"/>
      <c r="C1337" s="22"/>
      <c r="D1337" s="22"/>
      <c r="E1337" s="22"/>
      <c r="F1337" s="22"/>
      <c r="G1337" s="130"/>
      <c r="H1337" s="22"/>
      <c r="I1337" s="22"/>
      <c r="J1337" s="22"/>
      <c r="K1337" s="22"/>
      <c r="L1337" s="22"/>
      <c r="M1337" s="22"/>
      <c r="N1337" s="22"/>
      <c r="O1337" s="22"/>
      <c r="P1337" s="22"/>
      <c r="Q1337" s="22"/>
      <c r="R1337" s="22"/>
      <c r="S1337" s="22"/>
      <c r="T1337" s="22"/>
      <c r="U1337" s="22"/>
      <c r="V1337" s="22"/>
      <c r="W1337" s="22"/>
      <c r="X1337" s="22"/>
      <c r="Y1337" s="22"/>
      <c r="Z1337" s="22"/>
      <c r="AA1337" s="22"/>
      <c r="AB1337" s="22"/>
      <c r="AC1337" s="22"/>
      <c r="AD1337" s="22"/>
      <c r="AE1337" s="22"/>
      <c r="AF1337" s="22"/>
      <c r="AG1337" s="22"/>
      <c r="AH1337" s="22"/>
      <c r="AI1337" s="22"/>
      <c r="AJ1337" s="22"/>
      <c r="AK1337" s="22"/>
      <c r="AL1337" s="22"/>
      <c r="AM1337" s="22"/>
      <c r="AN1337" s="22"/>
      <c r="AO1337" s="22"/>
    </row>
    <row r="1338" ht="15.75" customHeight="1">
      <c r="A1338" s="22"/>
      <c r="B1338" s="22"/>
      <c r="C1338" s="22"/>
      <c r="D1338" s="22"/>
      <c r="E1338" s="22"/>
      <c r="F1338" s="22"/>
      <c r="G1338" s="130"/>
      <c r="H1338" s="22"/>
      <c r="I1338" s="22"/>
      <c r="J1338" s="22"/>
      <c r="K1338" s="22"/>
      <c r="L1338" s="22"/>
      <c r="M1338" s="22"/>
      <c r="N1338" s="22"/>
      <c r="O1338" s="22"/>
      <c r="P1338" s="22"/>
      <c r="Q1338" s="22"/>
      <c r="R1338" s="22"/>
      <c r="S1338" s="22"/>
      <c r="T1338" s="22"/>
      <c r="U1338" s="22"/>
      <c r="V1338" s="22"/>
      <c r="W1338" s="22"/>
      <c r="X1338" s="22"/>
      <c r="Y1338" s="22"/>
      <c r="Z1338" s="22"/>
      <c r="AA1338" s="22"/>
      <c r="AB1338" s="22"/>
      <c r="AC1338" s="22"/>
      <c r="AD1338" s="22"/>
      <c r="AE1338" s="22"/>
      <c r="AF1338" s="22"/>
      <c r="AG1338" s="22"/>
      <c r="AH1338" s="22"/>
      <c r="AI1338" s="22"/>
      <c r="AJ1338" s="22"/>
      <c r="AK1338" s="22"/>
      <c r="AL1338" s="22"/>
      <c r="AM1338" s="22"/>
      <c r="AN1338" s="22"/>
      <c r="AO1338" s="22"/>
    </row>
    <row r="1339" ht="15.75" customHeight="1">
      <c r="A1339" s="22"/>
      <c r="B1339" s="22"/>
      <c r="C1339" s="22"/>
      <c r="D1339" s="22"/>
      <c r="E1339" s="22"/>
      <c r="F1339" s="22"/>
      <c r="G1339" s="130"/>
      <c r="H1339" s="22"/>
      <c r="I1339" s="22"/>
      <c r="J1339" s="22"/>
      <c r="K1339" s="22"/>
      <c r="L1339" s="22"/>
      <c r="M1339" s="22"/>
      <c r="N1339" s="22"/>
      <c r="O1339" s="22"/>
      <c r="P1339" s="22"/>
      <c r="Q1339" s="22"/>
      <c r="R1339" s="22"/>
      <c r="S1339" s="22"/>
      <c r="T1339" s="22"/>
      <c r="U1339" s="22"/>
      <c r="V1339" s="22"/>
      <c r="W1339" s="22"/>
      <c r="X1339" s="22"/>
      <c r="Y1339" s="22"/>
      <c r="Z1339" s="22"/>
      <c r="AA1339" s="22"/>
      <c r="AB1339" s="22"/>
      <c r="AC1339" s="22"/>
      <c r="AD1339" s="22"/>
      <c r="AE1339" s="22"/>
      <c r="AF1339" s="22"/>
      <c r="AG1339" s="22"/>
      <c r="AH1339" s="22"/>
      <c r="AI1339" s="22"/>
      <c r="AJ1339" s="22"/>
      <c r="AK1339" s="22"/>
      <c r="AL1339" s="22"/>
      <c r="AM1339" s="22"/>
      <c r="AN1339" s="22"/>
      <c r="AO1339" s="22"/>
    </row>
    <row r="1340" ht="15.75" customHeight="1">
      <c r="A1340" s="22"/>
      <c r="B1340" s="22"/>
      <c r="C1340" s="22"/>
      <c r="D1340" s="22"/>
      <c r="E1340" s="22"/>
      <c r="F1340" s="22"/>
      <c r="G1340" s="130"/>
      <c r="H1340" s="22"/>
      <c r="I1340" s="22"/>
      <c r="J1340" s="22"/>
      <c r="K1340" s="22"/>
      <c r="L1340" s="22"/>
      <c r="M1340" s="22"/>
      <c r="N1340" s="22"/>
      <c r="O1340" s="22"/>
      <c r="P1340" s="22"/>
      <c r="Q1340" s="22"/>
      <c r="R1340" s="22"/>
      <c r="S1340" s="22"/>
      <c r="T1340" s="22"/>
      <c r="U1340" s="22"/>
      <c r="V1340" s="22"/>
      <c r="W1340" s="22"/>
      <c r="X1340" s="22"/>
      <c r="Y1340" s="22"/>
      <c r="Z1340" s="22"/>
      <c r="AA1340" s="22"/>
      <c r="AB1340" s="22"/>
      <c r="AC1340" s="22"/>
      <c r="AD1340" s="22"/>
      <c r="AE1340" s="22"/>
      <c r="AF1340" s="22"/>
      <c r="AG1340" s="22"/>
      <c r="AH1340" s="22"/>
      <c r="AI1340" s="22"/>
      <c r="AJ1340" s="22"/>
      <c r="AK1340" s="22"/>
      <c r="AL1340" s="22"/>
      <c r="AM1340" s="22"/>
      <c r="AN1340" s="22"/>
      <c r="AO1340" s="22"/>
    </row>
    <row r="1341" ht="15.75" customHeight="1">
      <c r="A1341" s="22"/>
      <c r="B1341" s="22"/>
      <c r="C1341" s="22"/>
      <c r="D1341" s="22"/>
      <c r="E1341" s="22"/>
      <c r="F1341" s="22"/>
      <c r="G1341" s="130"/>
      <c r="H1341" s="22"/>
      <c r="I1341" s="22"/>
      <c r="J1341" s="22"/>
      <c r="K1341" s="22"/>
      <c r="L1341" s="22"/>
      <c r="M1341" s="22"/>
      <c r="N1341" s="22"/>
      <c r="O1341" s="22"/>
      <c r="P1341" s="22"/>
      <c r="Q1341" s="22"/>
      <c r="R1341" s="22"/>
      <c r="S1341" s="22"/>
      <c r="T1341" s="22"/>
      <c r="U1341" s="22"/>
      <c r="V1341" s="22"/>
      <c r="W1341" s="22"/>
      <c r="X1341" s="22"/>
      <c r="Y1341" s="22"/>
      <c r="Z1341" s="22"/>
      <c r="AA1341" s="22"/>
      <c r="AB1341" s="22"/>
      <c r="AC1341" s="22"/>
      <c r="AD1341" s="22"/>
      <c r="AE1341" s="22"/>
      <c r="AF1341" s="22"/>
      <c r="AG1341" s="22"/>
      <c r="AH1341" s="22"/>
      <c r="AI1341" s="22"/>
      <c r="AJ1341" s="22"/>
      <c r="AK1341" s="22"/>
      <c r="AL1341" s="22"/>
      <c r="AM1341" s="22"/>
      <c r="AN1341" s="22"/>
      <c r="AO1341" s="22"/>
    </row>
    <row r="1342" ht="15.75" customHeight="1">
      <c r="A1342" s="22"/>
      <c r="B1342" s="22"/>
      <c r="C1342" s="22"/>
      <c r="D1342" s="22"/>
      <c r="E1342" s="22"/>
      <c r="F1342" s="22"/>
      <c r="G1342" s="130"/>
      <c r="H1342" s="22"/>
      <c r="I1342" s="22"/>
      <c r="J1342" s="22"/>
      <c r="K1342" s="22"/>
      <c r="L1342" s="22"/>
      <c r="M1342" s="22"/>
      <c r="N1342" s="22"/>
      <c r="O1342" s="22"/>
      <c r="P1342" s="22"/>
      <c r="Q1342" s="22"/>
      <c r="R1342" s="22"/>
      <c r="S1342" s="22"/>
      <c r="T1342" s="22"/>
      <c r="U1342" s="22"/>
      <c r="V1342" s="22"/>
      <c r="W1342" s="22"/>
      <c r="X1342" s="22"/>
      <c r="Y1342" s="22"/>
      <c r="Z1342" s="22"/>
      <c r="AA1342" s="22"/>
      <c r="AB1342" s="22"/>
      <c r="AC1342" s="22"/>
      <c r="AD1342" s="22"/>
      <c r="AE1342" s="22"/>
      <c r="AF1342" s="22"/>
      <c r="AG1342" s="22"/>
      <c r="AH1342" s="22"/>
      <c r="AI1342" s="22"/>
      <c r="AJ1342" s="22"/>
      <c r="AK1342" s="22"/>
      <c r="AL1342" s="22"/>
      <c r="AM1342" s="22"/>
      <c r="AN1342" s="22"/>
      <c r="AO1342" s="22"/>
    </row>
    <row r="1343" ht="15.75" customHeight="1">
      <c r="A1343" s="22"/>
      <c r="B1343" s="22"/>
      <c r="C1343" s="22"/>
      <c r="D1343" s="22"/>
      <c r="E1343" s="22"/>
      <c r="F1343" s="22"/>
      <c r="G1343" s="130"/>
      <c r="H1343" s="22"/>
      <c r="I1343" s="22"/>
      <c r="J1343" s="22"/>
      <c r="K1343" s="22"/>
      <c r="L1343" s="22"/>
      <c r="M1343" s="22"/>
      <c r="N1343" s="22"/>
      <c r="O1343" s="22"/>
      <c r="P1343" s="22"/>
      <c r="Q1343" s="22"/>
      <c r="R1343" s="22"/>
      <c r="S1343" s="22"/>
      <c r="T1343" s="22"/>
      <c r="U1343" s="22"/>
      <c r="V1343" s="22"/>
      <c r="W1343" s="22"/>
      <c r="X1343" s="22"/>
      <c r="Y1343" s="22"/>
      <c r="Z1343" s="22"/>
      <c r="AA1343" s="22"/>
      <c r="AB1343" s="22"/>
      <c r="AC1343" s="22"/>
      <c r="AD1343" s="22"/>
      <c r="AE1343" s="22"/>
      <c r="AF1343" s="22"/>
      <c r="AG1343" s="22"/>
      <c r="AH1343" s="22"/>
      <c r="AI1343" s="22"/>
      <c r="AJ1343" s="22"/>
      <c r="AK1343" s="22"/>
      <c r="AL1343" s="22"/>
      <c r="AM1343" s="22"/>
      <c r="AN1343" s="22"/>
      <c r="AO1343" s="22"/>
    </row>
    <row r="1344" ht="15.75" customHeight="1">
      <c r="A1344" s="22"/>
      <c r="B1344" s="22"/>
      <c r="C1344" s="22"/>
      <c r="D1344" s="22"/>
      <c r="E1344" s="22"/>
      <c r="F1344" s="22"/>
      <c r="G1344" s="130"/>
      <c r="H1344" s="22"/>
      <c r="I1344" s="22"/>
      <c r="J1344" s="22"/>
      <c r="K1344" s="22"/>
      <c r="L1344" s="22"/>
      <c r="M1344" s="22"/>
      <c r="N1344" s="22"/>
      <c r="O1344" s="22"/>
      <c r="P1344" s="22"/>
      <c r="Q1344" s="22"/>
      <c r="R1344" s="22"/>
      <c r="S1344" s="22"/>
      <c r="T1344" s="22"/>
      <c r="U1344" s="22"/>
      <c r="V1344" s="22"/>
      <c r="W1344" s="22"/>
      <c r="X1344" s="22"/>
      <c r="Y1344" s="22"/>
      <c r="Z1344" s="22"/>
      <c r="AA1344" s="22"/>
      <c r="AB1344" s="22"/>
      <c r="AC1344" s="22"/>
      <c r="AD1344" s="22"/>
      <c r="AE1344" s="22"/>
      <c r="AF1344" s="22"/>
      <c r="AG1344" s="22"/>
      <c r="AH1344" s="22"/>
      <c r="AI1344" s="22"/>
      <c r="AJ1344" s="22"/>
      <c r="AK1344" s="22"/>
      <c r="AL1344" s="22"/>
      <c r="AM1344" s="22"/>
      <c r="AN1344" s="22"/>
      <c r="AO1344" s="22"/>
    </row>
    <row r="1345" ht="15.75" customHeight="1">
      <c r="A1345" s="22"/>
      <c r="B1345" s="22"/>
      <c r="C1345" s="22"/>
      <c r="D1345" s="22"/>
      <c r="E1345" s="22"/>
      <c r="F1345" s="22"/>
      <c r="G1345" s="130"/>
      <c r="H1345" s="22"/>
      <c r="I1345" s="22"/>
      <c r="J1345" s="22"/>
      <c r="K1345" s="22"/>
      <c r="L1345" s="22"/>
      <c r="M1345" s="22"/>
      <c r="N1345" s="22"/>
      <c r="O1345" s="22"/>
      <c r="P1345" s="22"/>
      <c r="Q1345" s="22"/>
      <c r="R1345" s="22"/>
      <c r="S1345" s="22"/>
      <c r="T1345" s="22"/>
      <c r="U1345" s="22"/>
      <c r="V1345" s="22"/>
      <c r="W1345" s="22"/>
      <c r="X1345" s="22"/>
      <c r="Y1345" s="22"/>
      <c r="Z1345" s="22"/>
      <c r="AA1345" s="22"/>
      <c r="AB1345" s="22"/>
      <c r="AC1345" s="22"/>
      <c r="AD1345" s="22"/>
      <c r="AE1345" s="22"/>
      <c r="AF1345" s="22"/>
      <c r="AG1345" s="22"/>
      <c r="AH1345" s="22"/>
      <c r="AI1345" s="22"/>
      <c r="AJ1345" s="22"/>
      <c r="AK1345" s="22"/>
      <c r="AL1345" s="22"/>
      <c r="AM1345" s="22"/>
      <c r="AN1345" s="22"/>
      <c r="AO1345" s="22"/>
    </row>
    <row r="1346" ht="15.75" customHeight="1">
      <c r="A1346" s="22"/>
      <c r="B1346" s="22"/>
      <c r="C1346" s="22"/>
      <c r="D1346" s="22"/>
      <c r="E1346" s="22"/>
      <c r="F1346" s="22"/>
      <c r="G1346" s="130"/>
      <c r="H1346" s="22"/>
      <c r="I1346" s="22"/>
      <c r="J1346" s="22"/>
      <c r="K1346" s="22"/>
      <c r="L1346" s="22"/>
      <c r="M1346" s="22"/>
      <c r="N1346" s="22"/>
      <c r="O1346" s="22"/>
      <c r="P1346" s="22"/>
      <c r="Q1346" s="22"/>
      <c r="R1346" s="22"/>
      <c r="S1346" s="22"/>
      <c r="T1346" s="22"/>
      <c r="U1346" s="22"/>
      <c r="V1346" s="22"/>
      <c r="W1346" s="22"/>
      <c r="X1346" s="22"/>
      <c r="Y1346" s="22"/>
      <c r="Z1346" s="22"/>
      <c r="AA1346" s="22"/>
      <c r="AB1346" s="22"/>
      <c r="AC1346" s="22"/>
      <c r="AD1346" s="22"/>
      <c r="AE1346" s="22"/>
      <c r="AF1346" s="22"/>
      <c r="AG1346" s="22"/>
      <c r="AH1346" s="22"/>
      <c r="AI1346" s="22"/>
      <c r="AJ1346" s="22"/>
      <c r="AK1346" s="22"/>
      <c r="AL1346" s="22"/>
      <c r="AM1346" s="22"/>
      <c r="AN1346" s="22"/>
      <c r="AO1346" s="22"/>
    </row>
    <row r="1347" ht="15.75" customHeight="1">
      <c r="A1347" s="22"/>
      <c r="B1347" s="22"/>
      <c r="C1347" s="22"/>
      <c r="D1347" s="22"/>
      <c r="E1347" s="22"/>
      <c r="F1347" s="22"/>
      <c r="G1347" s="130"/>
      <c r="H1347" s="22"/>
      <c r="I1347" s="22"/>
      <c r="J1347" s="22"/>
      <c r="K1347" s="22"/>
      <c r="L1347" s="22"/>
      <c r="M1347" s="22"/>
      <c r="N1347" s="22"/>
      <c r="O1347" s="22"/>
      <c r="P1347" s="22"/>
      <c r="Q1347" s="22"/>
      <c r="R1347" s="22"/>
      <c r="S1347" s="22"/>
      <c r="T1347" s="22"/>
      <c r="U1347" s="22"/>
      <c r="V1347" s="22"/>
      <c r="W1347" s="22"/>
      <c r="X1347" s="22"/>
      <c r="Y1347" s="22"/>
      <c r="Z1347" s="22"/>
      <c r="AA1347" s="22"/>
      <c r="AB1347" s="22"/>
      <c r="AC1347" s="22"/>
      <c r="AD1347" s="22"/>
      <c r="AE1347" s="22"/>
      <c r="AF1347" s="22"/>
      <c r="AG1347" s="22"/>
      <c r="AH1347" s="22"/>
      <c r="AI1347" s="22"/>
      <c r="AJ1347" s="22"/>
      <c r="AK1347" s="22"/>
      <c r="AL1347" s="22"/>
      <c r="AM1347" s="22"/>
      <c r="AN1347" s="22"/>
      <c r="AO1347" s="22"/>
    </row>
    <row r="1348" ht="15.75" customHeight="1">
      <c r="A1348" s="22"/>
      <c r="B1348" s="22"/>
      <c r="C1348" s="22"/>
      <c r="D1348" s="22"/>
      <c r="E1348" s="22"/>
      <c r="F1348" s="22"/>
      <c r="G1348" s="130"/>
      <c r="H1348" s="22"/>
      <c r="I1348" s="22"/>
      <c r="J1348" s="22"/>
      <c r="K1348" s="22"/>
      <c r="L1348" s="22"/>
      <c r="M1348" s="22"/>
      <c r="N1348" s="22"/>
      <c r="O1348" s="22"/>
      <c r="P1348" s="22"/>
      <c r="Q1348" s="22"/>
      <c r="R1348" s="22"/>
      <c r="S1348" s="22"/>
      <c r="T1348" s="22"/>
      <c r="U1348" s="22"/>
      <c r="V1348" s="22"/>
      <c r="W1348" s="22"/>
      <c r="X1348" s="22"/>
      <c r="Y1348" s="22"/>
      <c r="Z1348" s="22"/>
      <c r="AA1348" s="22"/>
      <c r="AB1348" s="22"/>
      <c r="AC1348" s="22"/>
      <c r="AD1348" s="22"/>
      <c r="AE1348" s="22"/>
      <c r="AF1348" s="22"/>
      <c r="AG1348" s="22"/>
      <c r="AH1348" s="22"/>
      <c r="AI1348" s="22"/>
      <c r="AJ1348" s="22"/>
      <c r="AK1348" s="22"/>
      <c r="AL1348" s="22"/>
      <c r="AM1348" s="22"/>
      <c r="AN1348" s="22"/>
      <c r="AO1348" s="22"/>
    </row>
    <row r="1349" ht="15.75" customHeight="1">
      <c r="A1349" s="22"/>
      <c r="B1349" s="22"/>
      <c r="C1349" s="22"/>
      <c r="D1349" s="22"/>
      <c r="E1349" s="22"/>
      <c r="F1349" s="22"/>
      <c r="G1349" s="130"/>
      <c r="H1349" s="22"/>
      <c r="I1349" s="22"/>
      <c r="J1349" s="22"/>
      <c r="K1349" s="22"/>
      <c r="L1349" s="22"/>
      <c r="M1349" s="22"/>
      <c r="N1349" s="22"/>
      <c r="O1349" s="22"/>
      <c r="P1349" s="22"/>
      <c r="Q1349" s="22"/>
      <c r="R1349" s="22"/>
      <c r="S1349" s="22"/>
      <c r="T1349" s="22"/>
      <c r="U1349" s="22"/>
      <c r="V1349" s="22"/>
      <c r="W1349" s="22"/>
      <c r="X1349" s="22"/>
      <c r="Y1349" s="22"/>
      <c r="Z1349" s="22"/>
      <c r="AA1349" s="22"/>
      <c r="AB1349" s="22"/>
      <c r="AC1349" s="22"/>
      <c r="AD1349" s="22"/>
      <c r="AE1349" s="22"/>
      <c r="AF1349" s="22"/>
      <c r="AG1349" s="22"/>
      <c r="AH1349" s="22"/>
      <c r="AI1349" s="22"/>
      <c r="AJ1349" s="22"/>
      <c r="AK1349" s="22"/>
      <c r="AL1349" s="22"/>
      <c r="AM1349" s="22"/>
      <c r="AN1349" s="22"/>
      <c r="AO1349" s="22"/>
    </row>
    <row r="1350" ht="15.75" customHeight="1">
      <c r="A1350" s="22"/>
      <c r="B1350" s="22"/>
      <c r="C1350" s="22"/>
      <c r="D1350" s="22"/>
      <c r="E1350" s="22"/>
      <c r="F1350" s="22"/>
      <c r="G1350" s="130"/>
      <c r="H1350" s="22"/>
      <c r="I1350" s="22"/>
      <c r="J1350" s="22"/>
      <c r="K1350" s="22"/>
      <c r="L1350" s="22"/>
      <c r="M1350" s="22"/>
      <c r="N1350" s="22"/>
      <c r="O1350" s="22"/>
      <c r="P1350" s="22"/>
      <c r="Q1350" s="22"/>
      <c r="R1350" s="22"/>
      <c r="S1350" s="22"/>
      <c r="T1350" s="22"/>
      <c r="U1350" s="22"/>
      <c r="V1350" s="22"/>
      <c r="W1350" s="22"/>
      <c r="X1350" s="22"/>
      <c r="Y1350" s="22"/>
      <c r="Z1350" s="22"/>
      <c r="AA1350" s="22"/>
      <c r="AB1350" s="22"/>
      <c r="AC1350" s="22"/>
      <c r="AD1350" s="22"/>
      <c r="AE1350" s="22"/>
      <c r="AF1350" s="22"/>
      <c r="AG1350" s="22"/>
      <c r="AH1350" s="22"/>
      <c r="AI1350" s="22"/>
      <c r="AJ1350" s="22"/>
      <c r="AK1350" s="22"/>
      <c r="AL1350" s="22"/>
      <c r="AM1350" s="22"/>
      <c r="AN1350" s="22"/>
      <c r="AO1350" s="22"/>
    </row>
    <row r="1351" ht="15.75" customHeight="1">
      <c r="A1351" s="22"/>
      <c r="B1351" s="22"/>
      <c r="C1351" s="22"/>
      <c r="D1351" s="22"/>
      <c r="E1351" s="22"/>
      <c r="F1351" s="22"/>
      <c r="G1351" s="130"/>
      <c r="H1351" s="22"/>
      <c r="I1351" s="22"/>
      <c r="J1351" s="22"/>
      <c r="K1351" s="22"/>
      <c r="L1351" s="22"/>
      <c r="M1351" s="22"/>
      <c r="N1351" s="22"/>
      <c r="O1351" s="22"/>
      <c r="P1351" s="22"/>
      <c r="Q1351" s="22"/>
      <c r="R1351" s="22"/>
      <c r="S1351" s="22"/>
      <c r="T1351" s="22"/>
      <c r="U1351" s="22"/>
      <c r="V1351" s="22"/>
      <c r="W1351" s="22"/>
      <c r="X1351" s="22"/>
      <c r="Y1351" s="22"/>
      <c r="Z1351" s="22"/>
      <c r="AA1351" s="22"/>
      <c r="AB1351" s="22"/>
      <c r="AC1351" s="22"/>
      <c r="AD1351" s="22"/>
      <c r="AE1351" s="22"/>
      <c r="AF1351" s="22"/>
      <c r="AG1351" s="22"/>
      <c r="AH1351" s="22"/>
      <c r="AI1351" s="22"/>
      <c r="AJ1351" s="22"/>
      <c r="AK1351" s="22"/>
      <c r="AL1351" s="22"/>
      <c r="AM1351" s="22"/>
      <c r="AN1351" s="22"/>
      <c r="AO1351" s="22"/>
    </row>
    <row r="1352" ht="15.75" customHeight="1">
      <c r="A1352" s="22"/>
      <c r="B1352" s="22"/>
      <c r="C1352" s="22"/>
      <c r="D1352" s="22"/>
      <c r="E1352" s="22"/>
      <c r="F1352" s="22"/>
      <c r="G1352" s="130"/>
      <c r="H1352" s="22"/>
      <c r="I1352" s="22"/>
      <c r="J1352" s="22"/>
      <c r="K1352" s="22"/>
      <c r="L1352" s="22"/>
      <c r="M1352" s="22"/>
      <c r="N1352" s="22"/>
      <c r="O1352" s="22"/>
      <c r="P1352" s="22"/>
      <c r="Q1352" s="22"/>
      <c r="R1352" s="22"/>
      <c r="S1352" s="22"/>
      <c r="T1352" s="22"/>
      <c r="U1352" s="22"/>
      <c r="V1352" s="22"/>
      <c r="W1352" s="22"/>
      <c r="X1352" s="22"/>
      <c r="Y1352" s="22"/>
      <c r="Z1352" s="22"/>
      <c r="AA1352" s="22"/>
      <c r="AB1352" s="22"/>
      <c r="AC1352" s="22"/>
      <c r="AD1352" s="22"/>
      <c r="AE1352" s="22"/>
      <c r="AF1352" s="22"/>
      <c r="AG1352" s="22"/>
      <c r="AH1352" s="22"/>
      <c r="AI1352" s="22"/>
      <c r="AJ1352" s="22"/>
      <c r="AK1352" s="22"/>
      <c r="AL1352" s="22"/>
      <c r="AM1352" s="22"/>
      <c r="AN1352" s="22"/>
      <c r="AO1352" s="22"/>
    </row>
    <row r="1353" ht="15.75" customHeight="1">
      <c r="A1353" s="22"/>
      <c r="B1353" s="22"/>
      <c r="C1353" s="22"/>
      <c r="D1353" s="22"/>
      <c r="E1353" s="22"/>
      <c r="F1353" s="22"/>
      <c r="G1353" s="130"/>
      <c r="H1353" s="22"/>
      <c r="I1353" s="22"/>
      <c r="J1353" s="22"/>
      <c r="K1353" s="22"/>
      <c r="L1353" s="22"/>
      <c r="M1353" s="22"/>
      <c r="N1353" s="22"/>
      <c r="O1353" s="22"/>
      <c r="P1353" s="22"/>
      <c r="Q1353" s="22"/>
      <c r="R1353" s="22"/>
      <c r="S1353" s="22"/>
      <c r="T1353" s="22"/>
      <c r="U1353" s="22"/>
      <c r="V1353" s="22"/>
      <c r="W1353" s="22"/>
      <c r="X1353" s="22"/>
      <c r="Y1353" s="22"/>
      <c r="Z1353" s="22"/>
      <c r="AA1353" s="22"/>
      <c r="AB1353" s="22"/>
      <c r="AC1353" s="22"/>
      <c r="AD1353" s="22"/>
      <c r="AE1353" s="22"/>
      <c r="AF1353" s="22"/>
      <c r="AG1353" s="22"/>
      <c r="AH1353" s="22"/>
      <c r="AI1353" s="22"/>
      <c r="AJ1353" s="22"/>
      <c r="AK1353" s="22"/>
      <c r="AL1353" s="22"/>
      <c r="AM1353" s="22"/>
      <c r="AN1353" s="22"/>
      <c r="AO1353" s="22"/>
    </row>
    <row r="1354" ht="15.75" customHeight="1">
      <c r="A1354" s="22"/>
      <c r="B1354" s="22"/>
      <c r="C1354" s="22"/>
      <c r="D1354" s="22"/>
      <c r="E1354" s="22"/>
      <c r="F1354" s="22"/>
      <c r="G1354" s="130"/>
      <c r="H1354" s="22"/>
      <c r="I1354" s="22"/>
      <c r="J1354" s="22"/>
      <c r="K1354" s="22"/>
      <c r="L1354" s="22"/>
      <c r="M1354" s="22"/>
      <c r="N1354" s="22"/>
      <c r="O1354" s="22"/>
      <c r="P1354" s="22"/>
      <c r="Q1354" s="22"/>
      <c r="R1354" s="22"/>
      <c r="S1354" s="22"/>
      <c r="T1354" s="22"/>
      <c r="U1354" s="22"/>
      <c r="V1354" s="22"/>
      <c r="W1354" s="22"/>
      <c r="X1354" s="22"/>
      <c r="Y1354" s="22"/>
      <c r="Z1354" s="22"/>
      <c r="AA1354" s="22"/>
      <c r="AB1354" s="22"/>
      <c r="AC1354" s="22"/>
      <c r="AD1354" s="22"/>
      <c r="AE1354" s="22"/>
      <c r="AF1354" s="22"/>
      <c r="AG1354" s="22"/>
      <c r="AH1354" s="22"/>
      <c r="AI1354" s="22"/>
      <c r="AJ1354" s="22"/>
      <c r="AK1354" s="22"/>
      <c r="AL1354" s="22"/>
      <c r="AM1354" s="22"/>
      <c r="AN1354" s="22"/>
      <c r="AO1354" s="22"/>
    </row>
    <row r="1355" ht="15.75" customHeight="1">
      <c r="A1355" s="22"/>
      <c r="B1355" s="22"/>
      <c r="C1355" s="22"/>
      <c r="D1355" s="22"/>
      <c r="E1355" s="22"/>
      <c r="F1355" s="22"/>
      <c r="G1355" s="130"/>
      <c r="H1355" s="22"/>
      <c r="I1355" s="22"/>
      <c r="J1355" s="22"/>
      <c r="K1355" s="22"/>
      <c r="L1355" s="22"/>
      <c r="M1355" s="22"/>
      <c r="N1355" s="22"/>
      <c r="O1355" s="22"/>
      <c r="P1355" s="22"/>
      <c r="Q1355" s="22"/>
      <c r="R1355" s="22"/>
      <c r="S1355" s="22"/>
      <c r="T1355" s="22"/>
      <c r="U1355" s="22"/>
      <c r="V1355" s="22"/>
      <c r="W1355" s="22"/>
      <c r="X1355" s="22"/>
      <c r="Y1355" s="22"/>
      <c r="Z1355" s="22"/>
      <c r="AA1355" s="22"/>
      <c r="AB1355" s="22"/>
      <c r="AC1355" s="22"/>
      <c r="AD1355" s="22"/>
      <c r="AE1355" s="22"/>
      <c r="AF1355" s="22"/>
      <c r="AG1355" s="22"/>
      <c r="AH1355" s="22"/>
      <c r="AI1355" s="22"/>
      <c r="AJ1355" s="22"/>
      <c r="AK1355" s="22"/>
      <c r="AL1355" s="22"/>
      <c r="AM1355" s="22"/>
      <c r="AN1355" s="22"/>
      <c r="AO1355" s="22"/>
    </row>
    <row r="1356" ht="15.75" customHeight="1">
      <c r="A1356" s="22"/>
      <c r="B1356" s="22"/>
      <c r="C1356" s="22"/>
      <c r="D1356" s="22"/>
      <c r="E1356" s="22"/>
      <c r="F1356" s="22"/>
      <c r="G1356" s="130"/>
      <c r="H1356" s="22"/>
      <c r="I1356" s="22"/>
      <c r="J1356" s="22"/>
      <c r="K1356" s="22"/>
      <c r="L1356" s="22"/>
      <c r="M1356" s="22"/>
      <c r="N1356" s="22"/>
      <c r="O1356" s="22"/>
      <c r="P1356" s="22"/>
      <c r="Q1356" s="22"/>
      <c r="R1356" s="22"/>
      <c r="S1356" s="22"/>
      <c r="T1356" s="22"/>
      <c r="U1356" s="22"/>
      <c r="V1356" s="22"/>
      <c r="W1356" s="22"/>
      <c r="X1356" s="22"/>
      <c r="Y1356" s="22"/>
      <c r="Z1356" s="22"/>
      <c r="AA1356" s="22"/>
      <c r="AB1356" s="22"/>
      <c r="AC1356" s="22"/>
      <c r="AD1356" s="22"/>
      <c r="AE1356" s="22"/>
      <c r="AF1356" s="22"/>
      <c r="AG1356" s="22"/>
      <c r="AH1356" s="22"/>
      <c r="AI1356" s="22"/>
      <c r="AJ1356" s="22"/>
      <c r="AK1356" s="22"/>
      <c r="AL1356" s="22"/>
      <c r="AM1356" s="22"/>
      <c r="AN1356" s="22"/>
      <c r="AO1356" s="22"/>
    </row>
    <row r="1357" ht="15.75" customHeight="1">
      <c r="A1357" s="22"/>
      <c r="B1357" s="22"/>
      <c r="C1357" s="22"/>
      <c r="D1357" s="22"/>
      <c r="E1357" s="22"/>
      <c r="F1357" s="22"/>
      <c r="G1357" s="130"/>
      <c r="H1357" s="22"/>
      <c r="I1357" s="22"/>
      <c r="J1357" s="22"/>
      <c r="K1357" s="22"/>
      <c r="L1357" s="22"/>
      <c r="M1357" s="22"/>
      <c r="N1357" s="22"/>
      <c r="O1357" s="22"/>
      <c r="P1357" s="22"/>
      <c r="Q1357" s="22"/>
      <c r="R1357" s="22"/>
      <c r="S1357" s="22"/>
      <c r="T1357" s="22"/>
      <c r="U1357" s="22"/>
      <c r="V1357" s="22"/>
      <c r="W1357" s="22"/>
      <c r="X1357" s="22"/>
      <c r="Y1357" s="22"/>
      <c r="Z1357" s="22"/>
      <c r="AA1357" s="22"/>
      <c r="AB1357" s="22"/>
      <c r="AC1357" s="22"/>
      <c r="AD1357" s="22"/>
      <c r="AE1357" s="22"/>
      <c r="AF1357" s="22"/>
      <c r="AG1357" s="22"/>
      <c r="AH1357" s="22"/>
      <c r="AI1357" s="22"/>
      <c r="AJ1357" s="22"/>
      <c r="AK1357" s="22"/>
      <c r="AL1357" s="22"/>
      <c r="AM1357" s="22"/>
      <c r="AN1357" s="22"/>
      <c r="AO1357" s="22"/>
    </row>
    <row r="1358" ht="15.75" customHeight="1">
      <c r="A1358" s="22"/>
      <c r="B1358" s="22"/>
      <c r="C1358" s="22"/>
      <c r="D1358" s="22"/>
      <c r="E1358" s="22"/>
      <c r="F1358" s="22"/>
      <c r="G1358" s="130"/>
      <c r="H1358" s="22"/>
      <c r="I1358" s="22"/>
      <c r="J1358" s="22"/>
      <c r="K1358" s="22"/>
      <c r="L1358" s="22"/>
      <c r="M1358" s="22"/>
      <c r="N1358" s="22"/>
      <c r="O1358" s="22"/>
      <c r="P1358" s="22"/>
      <c r="Q1358" s="22"/>
      <c r="R1358" s="22"/>
      <c r="S1358" s="22"/>
      <c r="T1358" s="22"/>
      <c r="U1358" s="22"/>
      <c r="V1358" s="22"/>
      <c r="W1358" s="22"/>
      <c r="X1358" s="22"/>
      <c r="Y1358" s="22"/>
      <c r="Z1358" s="22"/>
      <c r="AA1358" s="22"/>
      <c r="AB1358" s="22"/>
      <c r="AC1358" s="22"/>
      <c r="AD1358" s="22"/>
      <c r="AE1358" s="22"/>
      <c r="AF1358" s="22"/>
      <c r="AG1358" s="22"/>
      <c r="AH1358" s="22"/>
      <c r="AI1358" s="22"/>
      <c r="AJ1358" s="22"/>
      <c r="AK1358" s="22"/>
      <c r="AL1358" s="22"/>
      <c r="AM1358" s="22"/>
      <c r="AN1358" s="22"/>
      <c r="AO1358" s="22"/>
    </row>
    <row r="1359" ht="15.75" customHeight="1">
      <c r="A1359" s="22"/>
      <c r="B1359" s="22"/>
      <c r="C1359" s="22"/>
      <c r="D1359" s="22"/>
      <c r="E1359" s="22"/>
      <c r="F1359" s="22"/>
      <c r="G1359" s="130"/>
      <c r="H1359" s="22"/>
      <c r="I1359" s="22"/>
      <c r="J1359" s="22"/>
      <c r="K1359" s="22"/>
      <c r="L1359" s="22"/>
      <c r="M1359" s="22"/>
      <c r="N1359" s="22"/>
      <c r="O1359" s="22"/>
      <c r="P1359" s="22"/>
      <c r="Q1359" s="22"/>
      <c r="R1359" s="22"/>
      <c r="S1359" s="22"/>
      <c r="T1359" s="22"/>
      <c r="U1359" s="22"/>
      <c r="V1359" s="22"/>
      <c r="W1359" s="22"/>
      <c r="X1359" s="22"/>
      <c r="Y1359" s="22"/>
      <c r="Z1359" s="22"/>
      <c r="AA1359" s="22"/>
      <c r="AB1359" s="22"/>
      <c r="AC1359" s="22"/>
      <c r="AD1359" s="22"/>
      <c r="AE1359" s="22"/>
      <c r="AF1359" s="22"/>
      <c r="AG1359" s="22"/>
      <c r="AH1359" s="22"/>
      <c r="AI1359" s="22"/>
      <c r="AJ1359" s="22"/>
      <c r="AK1359" s="22"/>
      <c r="AL1359" s="22"/>
      <c r="AM1359" s="22"/>
      <c r="AN1359" s="22"/>
      <c r="AO1359" s="22"/>
    </row>
    <row r="1360" ht="15.75" customHeight="1">
      <c r="A1360" s="22"/>
      <c r="B1360" s="22"/>
      <c r="C1360" s="22"/>
      <c r="D1360" s="22"/>
      <c r="E1360" s="22"/>
      <c r="F1360" s="22"/>
      <c r="G1360" s="130"/>
      <c r="H1360" s="22"/>
      <c r="I1360" s="22"/>
      <c r="J1360" s="22"/>
      <c r="K1360" s="22"/>
      <c r="L1360" s="22"/>
      <c r="M1360" s="22"/>
      <c r="N1360" s="22"/>
      <c r="O1360" s="22"/>
      <c r="P1360" s="22"/>
      <c r="Q1360" s="22"/>
      <c r="R1360" s="22"/>
      <c r="S1360" s="22"/>
      <c r="T1360" s="22"/>
      <c r="U1360" s="22"/>
      <c r="V1360" s="22"/>
      <c r="W1360" s="22"/>
      <c r="X1360" s="22"/>
      <c r="Y1360" s="22"/>
      <c r="Z1360" s="22"/>
      <c r="AA1360" s="22"/>
      <c r="AB1360" s="22"/>
      <c r="AC1360" s="22"/>
      <c r="AD1360" s="22"/>
      <c r="AE1360" s="22"/>
      <c r="AF1360" s="22"/>
      <c r="AG1360" s="22"/>
      <c r="AH1360" s="22"/>
      <c r="AI1360" s="22"/>
      <c r="AJ1360" s="22"/>
      <c r="AK1360" s="22"/>
      <c r="AL1360" s="22"/>
      <c r="AM1360" s="22"/>
      <c r="AN1360" s="22"/>
      <c r="AO1360" s="22"/>
    </row>
    <row r="1361" ht="15.75" customHeight="1">
      <c r="A1361" s="22"/>
      <c r="B1361" s="22"/>
      <c r="C1361" s="22"/>
      <c r="D1361" s="22"/>
      <c r="E1361" s="22"/>
      <c r="F1361" s="22"/>
      <c r="G1361" s="130"/>
      <c r="H1361" s="22"/>
      <c r="I1361" s="22"/>
      <c r="J1361" s="22"/>
      <c r="K1361" s="22"/>
      <c r="L1361" s="22"/>
      <c r="M1361" s="22"/>
      <c r="N1361" s="22"/>
      <c r="O1361" s="22"/>
      <c r="P1361" s="22"/>
      <c r="Q1361" s="22"/>
      <c r="R1361" s="22"/>
      <c r="S1361" s="22"/>
      <c r="T1361" s="22"/>
      <c r="U1361" s="22"/>
      <c r="V1361" s="22"/>
      <c r="W1361" s="22"/>
      <c r="X1361" s="22"/>
      <c r="Y1361" s="22"/>
      <c r="Z1361" s="22"/>
      <c r="AA1361" s="22"/>
      <c r="AB1361" s="22"/>
      <c r="AC1361" s="22"/>
      <c r="AD1361" s="22"/>
      <c r="AE1361" s="22"/>
      <c r="AF1361" s="22"/>
      <c r="AG1361" s="22"/>
      <c r="AH1361" s="22"/>
      <c r="AI1361" s="22"/>
      <c r="AJ1361" s="22"/>
      <c r="AK1361" s="22"/>
      <c r="AL1361" s="22"/>
      <c r="AM1361" s="22"/>
      <c r="AN1361" s="22"/>
      <c r="AO1361" s="22"/>
    </row>
    <row r="1362" ht="15.75" customHeight="1">
      <c r="A1362" s="22"/>
      <c r="B1362" s="22"/>
      <c r="C1362" s="22"/>
      <c r="D1362" s="22"/>
      <c r="E1362" s="22"/>
      <c r="F1362" s="22"/>
      <c r="G1362" s="130"/>
      <c r="H1362" s="22"/>
      <c r="I1362" s="22"/>
      <c r="J1362" s="22"/>
      <c r="K1362" s="22"/>
      <c r="L1362" s="22"/>
      <c r="M1362" s="22"/>
      <c r="N1362" s="22"/>
      <c r="O1362" s="22"/>
      <c r="P1362" s="22"/>
      <c r="Q1362" s="22"/>
      <c r="R1362" s="22"/>
      <c r="S1362" s="22"/>
      <c r="T1362" s="22"/>
      <c r="U1362" s="22"/>
      <c r="V1362" s="22"/>
      <c r="W1362" s="22"/>
      <c r="X1362" s="22"/>
      <c r="Y1362" s="22"/>
      <c r="Z1362" s="22"/>
      <c r="AA1362" s="22"/>
      <c r="AB1362" s="22"/>
      <c r="AC1362" s="22"/>
      <c r="AD1362" s="22"/>
      <c r="AE1362" s="22"/>
      <c r="AF1362" s="22"/>
      <c r="AG1362" s="22"/>
      <c r="AH1362" s="22"/>
      <c r="AI1362" s="22"/>
      <c r="AJ1362" s="22"/>
      <c r="AK1362" s="22"/>
      <c r="AL1362" s="22"/>
      <c r="AM1362" s="22"/>
      <c r="AN1362" s="22"/>
      <c r="AO1362" s="22"/>
    </row>
    <row r="1363" ht="15.75" customHeight="1">
      <c r="A1363" s="22"/>
      <c r="B1363" s="22"/>
      <c r="C1363" s="22"/>
      <c r="D1363" s="22"/>
      <c r="E1363" s="22"/>
      <c r="F1363" s="22"/>
      <c r="G1363" s="130"/>
      <c r="H1363" s="22"/>
      <c r="I1363" s="22"/>
      <c r="J1363" s="22"/>
      <c r="K1363" s="22"/>
      <c r="L1363" s="22"/>
      <c r="M1363" s="22"/>
      <c r="N1363" s="22"/>
      <c r="O1363" s="22"/>
      <c r="P1363" s="22"/>
      <c r="Q1363" s="22"/>
      <c r="R1363" s="22"/>
      <c r="S1363" s="22"/>
      <c r="T1363" s="22"/>
      <c r="U1363" s="22"/>
      <c r="V1363" s="22"/>
      <c r="W1363" s="22"/>
      <c r="X1363" s="22"/>
      <c r="Y1363" s="22"/>
      <c r="Z1363" s="22"/>
      <c r="AA1363" s="22"/>
      <c r="AB1363" s="22"/>
      <c r="AC1363" s="22"/>
      <c r="AD1363" s="22"/>
      <c r="AE1363" s="22"/>
      <c r="AF1363" s="22"/>
      <c r="AG1363" s="22"/>
      <c r="AH1363" s="22"/>
      <c r="AI1363" s="22"/>
      <c r="AJ1363" s="22"/>
      <c r="AK1363" s="22"/>
      <c r="AL1363" s="22"/>
      <c r="AM1363" s="22"/>
      <c r="AN1363" s="22"/>
      <c r="AO1363" s="22"/>
    </row>
    <row r="1364" ht="15.75" customHeight="1">
      <c r="A1364" s="22"/>
      <c r="B1364" s="22"/>
      <c r="C1364" s="22"/>
      <c r="D1364" s="22"/>
      <c r="E1364" s="22"/>
      <c r="F1364" s="22"/>
      <c r="G1364" s="130"/>
      <c r="H1364" s="22"/>
      <c r="I1364" s="22"/>
      <c r="J1364" s="22"/>
      <c r="K1364" s="22"/>
      <c r="L1364" s="22"/>
      <c r="M1364" s="22"/>
      <c r="N1364" s="22"/>
      <c r="O1364" s="22"/>
      <c r="P1364" s="22"/>
      <c r="Q1364" s="22"/>
      <c r="R1364" s="22"/>
      <c r="S1364" s="22"/>
      <c r="T1364" s="22"/>
      <c r="U1364" s="22"/>
      <c r="V1364" s="22"/>
      <c r="W1364" s="22"/>
      <c r="X1364" s="22"/>
      <c r="Y1364" s="22"/>
      <c r="Z1364" s="22"/>
      <c r="AA1364" s="22"/>
      <c r="AB1364" s="22"/>
      <c r="AC1364" s="22"/>
      <c r="AD1364" s="22"/>
      <c r="AE1364" s="22"/>
      <c r="AF1364" s="22"/>
      <c r="AG1364" s="22"/>
      <c r="AH1364" s="22"/>
      <c r="AI1364" s="22"/>
      <c r="AJ1364" s="22"/>
      <c r="AK1364" s="22"/>
      <c r="AL1364" s="22"/>
      <c r="AM1364" s="22"/>
      <c r="AN1364" s="22"/>
      <c r="AO1364" s="22"/>
    </row>
    <row r="1365" ht="15.75" customHeight="1">
      <c r="A1365" s="22"/>
      <c r="B1365" s="22"/>
      <c r="C1365" s="22"/>
      <c r="D1365" s="22"/>
      <c r="E1365" s="22"/>
      <c r="F1365" s="22"/>
      <c r="G1365" s="130"/>
      <c r="H1365" s="22"/>
      <c r="I1365" s="22"/>
      <c r="J1365" s="22"/>
      <c r="K1365" s="22"/>
      <c r="L1365" s="22"/>
      <c r="M1365" s="22"/>
      <c r="N1365" s="22"/>
      <c r="O1365" s="22"/>
      <c r="P1365" s="22"/>
      <c r="Q1365" s="22"/>
      <c r="R1365" s="22"/>
      <c r="S1365" s="22"/>
      <c r="T1365" s="22"/>
      <c r="U1365" s="22"/>
      <c r="V1365" s="22"/>
      <c r="W1365" s="22"/>
      <c r="X1365" s="22"/>
      <c r="Y1365" s="22"/>
      <c r="Z1365" s="22"/>
      <c r="AA1365" s="22"/>
      <c r="AB1365" s="22"/>
      <c r="AC1365" s="22"/>
      <c r="AD1365" s="22"/>
      <c r="AE1365" s="22"/>
      <c r="AF1365" s="22"/>
      <c r="AG1365" s="22"/>
      <c r="AH1365" s="22"/>
      <c r="AI1365" s="22"/>
      <c r="AJ1365" s="22"/>
      <c r="AK1365" s="22"/>
      <c r="AL1365" s="22"/>
      <c r="AM1365" s="22"/>
      <c r="AN1365" s="22"/>
      <c r="AO1365" s="22"/>
    </row>
    <row r="1366" ht="15.75" customHeight="1">
      <c r="A1366" s="22"/>
      <c r="B1366" s="22"/>
      <c r="C1366" s="22"/>
      <c r="D1366" s="22"/>
      <c r="E1366" s="22"/>
      <c r="F1366" s="22"/>
      <c r="G1366" s="130"/>
      <c r="H1366" s="22"/>
      <c r="I1366" s="22"/>
      <c r="J1366" s="22"/>
      <c r="K1366" s="22"/>
      <c r="L1366" s="22"/>
      <c r="M1366" s="22"/>
      <c r="N1366" s="22"/>
      <c r="O1366" s="22"/>
      <c r="P1366" s="22"/>
      <c r="Q1366" s="22"/>
      <c r="R1366" s="22"/>
      <c r="S1366" s="22"/>
      <c r="T1366" s="22"/>
      <c r="U1366" s="22"/>
      <c r="V1366" s="22"/>
      <c r="W1366" s="22"/>
      <c r="X1366" s="22"/>
      <c r="Y1366" s="22"/>
      <c r="Z1366" s="22"/>
      <c r="AA1366" s="22"/>
      <c r="AB1366" s="22"/>
      <c r="AC1366" s="22"/>
      <c r="AD1366" s="22"/>
      <c r="AE1366" s="22"/>
      <c r="AF1366" s="22"/>
      <c r="AG1366" s="22"/>
      <c r="AH1366" s="22"/>
      <c r="AI1366" s="22"/>
      <c r="AJ1366" s="22"/>
      <c r="AK1366" s="22"/>
      <c r="AL1366" s="22"/>
      <c r="AM1366" s="22"/>
      <c r="AN1366" s="22"/>
      <c r="AO1366" s="22"/>
    </row>
    <row r="1367" ht="15.75" customHeight="1">
      <c r="A1367" s="22"/>
      <c r="B1367" s="22"/>
      <c r="C1367" s="22"/>
      <c r="D1367" s="22"/>
      <c r="E1367" s="22"/>
      <c r="F1367" s="22"/>
      <c r="G1367" s="130"/>
      <c r="H1367" s="22"/>
      <c r="I1367" s="22"/>
      <c r="J1367" s="22"/>
      <c r="K1367" s="22"/>
      <c r="L1367" s="22"/>
      <c r="M1367" s="22"/>
      <c r="N1367" s="22"/>
      <c r="O1367" s="22"/>
      <c r="P1367" s="22"/>
      <c r="Q1367" s="22"/>
      <c r="R1367" s="22"/>
      <c r="S1367" s="22"/>
      <c r="T1367" s="22"/>
      <c r="U1367" s="22"/>
      <c r="V1367" s="22"/>
      <c r="W1367" s="22"/>
      <c r="X1367" s="22"/>
      <c r="Y1367" s="22"/>
      <c r="Z1367" s="22"/>
      <c r="AA1367" s="22"/>
      <c r="AB1367" s="22"/>
      <c r="AC1367" s="22"/>
      <c r="AD1367" s="22"/>
      <c r="AE1367" s="22"/>
      <c r="AF1367" s="22"/>
      <c r="AG1367" s="22"/>
      <c r="AH1367" s="22"/>
      <c r="AI1367" s="22"/>
      <c r="AJ1367" s="22"/>
      <c r="AK1367" s="22"/>
      <c r="AL1367" s="22"/>
      <c r="AM1367" s="22"/>
      <c r="AN1367" s="22"/>
      <c r="AO1367" s="22"/>
    </row>
    <row r="1368" ht="15.75" customHeight="1">
      <c r="A1368" s="22"/>
      <c r="B1368" s="22"/>
      <c r="C1368" s="22"/>
      <c r="D1368" s="22"/>
      <c r="E1368" s="22"/>
      <c r="F1368" s="22"/>
      <c r="G1368" s="130"/>
      <c r="H1368" s="22"/>
      <c r="I1368" s="22"/>
      <c r="J1368" s="22"/>
      <c r="K1368" s="22"/>
      <c r="L1368" s="22"/>
      <c r="M1368" s="22"/>
      <c r="N1368" s="22"/>
      <c r="O1368" s="22"/>
      <c r="P1368" s="22"/>
      <c r="Q1368" s="22"/>
      <c r="R1368" s="22"/>
      <c r="S1368" s="22"/>
      <c r="T1368" s="22"/>
      <c r="U1368" s="22"/>
      <c r="V1368" s="22"/>
      <c r="W1368" s="22"/>
      <c r="X1368" s="22"/>
      <c r="Y1368" s="22"/>
      <c r="Z1368" s="22"/>
      <c r="AA1368" s="22"/>
      <c r="AB1368" s="22"/>
      <c r="AC1368" s="22"/>
      <c r="AD1368" s="22"/>
      <c r="AE1368" s="22"/>
      <c r="AF1368" s="22"/>
      <c r="AG1368" s="22"/>
      <c r="AH1368" s="22"/>
      <c r="AI1368" s="22"/>
      <c r="AJ1368" s="22"/>
      <c r="AK1368" s="22"/>
      <c r="AL1368" s="22"/>
      <c r="AM1368" s="22"/>
      <c r="AN1368" s="22"/>
      <c r="AO1368" s="22"/>
    </row>
    <row r="1369" ht="15.75" customHeight="1">
      <c r="A1369" s="22"/>
      <c r="B1369" s="22"/>
      <c r="C1369" s="22"/>
      <c r="D1369" s="22"/>
      <c r="E1369" s="22"/>
      <c r="F1369" s="22"/>
      <c r="G1369" s="130"/>
      <c r="H1369" s="22"/>
      <c r="I1369" s="22"/>
      <c r="J1369" s="22"/>
      <c r="K1369" s="22"/>
      <c r="L1369" s="22"/>
      <c r="M1369" s="22"/>
      <c r="N1369" s="22"/>
      <c r="O1369" s="22"/>
      <c r="P1369" s="22"/>
      <c r="Q1369" s="22"/>
      <c r="R1369" s="22"/>
      <c r="S1369" s="22"/>
      <c r="T1369" s="22"/>
      <c r="U1369" s="22"/>
      <c r="V1369" s="22"/>
      <c r="W1369" s="22"/>
      <c r="X1369" s="22"/>
      <c r="Y1369" s="22"/>
      <c r="Z1369" s="22"/>
      <c r="AA1369" s="22"/>
      <c r="AB1369" s="22"/>
      <c r="AC1369" s="22"/>
      <c r="AD1369" s="22"/>
      <c r="AE1369" s="22"/>
      <c r="AF1369" s="22"/>
      <c r="AG1369" s="22"/>
      <c r="AH1369" s="22"/>
      <c r="AI1369" s="22"/>
      <c r="AJ1369" s="22"/>
      <c r="AK1369" s="22"/>
      <c r="AL1369" s="22"/>
      <c r="AM1369" s="22"/>
      <c r="AN1369" s="22"/>
      <c r="AO1369" s="22"/>
    </row>
    <row r="1370" ht="15.75" customHeight="1">
      <c r="A1370" s="22"/>
      <c r="B1370" s="22"/>
      <c r="C1370" s="22"/>
      <c r="D1370" s="22"/>
      <c r="E1370" s="22"/>
      <c r="F1370" s="22"/>
      <c r="G1370" s="130"/>
      <c r="H1370" s="22"/>
      <c r="I1370" s="22"/>
      <c r="J1370" s="22"/>
      <c r="K1370" s="22"/>
      <c r="L1370" s="22"/>
      <c r="M1370" s="22"/>
      <c r="N1370" s="22"/>
      <c r="O1370" s="22"/>
      <c r="P1370" s="22"/>
      <c r="Q1370" s="22"/>
      <c r="R1370" s="22"/>
      <c r="S1370" s="22"/>
      <c r="T1370" s="22"/>
      <c r="U1370" s="22"/>
      <c r="V1370" s="22"/>
      <c r="W1370" s="22"/>
      <c r="X1370" s="22"/>
      <c r="Y1370" s="22"/>
      <c r="Z1370" s="22"/>
      <c r="AA1370" s="22"/>
      <c r="AB1370" s="22"/>
      <c r="AC1370" s="22"/>
      <c r="AD1370" s="22"/>
      <c r="AE1370" s="22"/>
      <c r="AF1370" s="22"/>
      <c r="AG1370" s="22"/>
      <c r="AH1370" s="22"/>
      <c r="AI1370" s="22"/>
      <c r="AJ1370" s="22"/>
      <c r="AK1370" s="22"/>
      <c r="AL1370" s="22"/>
      <c r="AM1370" s="22"/>
      <c r="AN1370" s="22"/>
      <c r="AO1370" s="22"/>
    </row>
    <row r="1371" ht="15.75" customHeight="1">
      <c r="A1371" s="22"/>
      <c r="B1371" s="22"/>
      <c r="C1371" s="22"/>
      <c r="D1371" s="22"/>
      <c r="E1371" s="22"/>
      <c r="F1371" s="22"/>
      <c r="G1371" s="130"/>
      <c r="H1371" s="22"/>
      <c r="I1371" s="22"/>
      <c r="J1371" s="22"/>
      <c r="K1371" s="22"/>
      <c r="L1371" s="22"/>
      <c r="M1371" s="22"/>
      <c r="N1371" s="22"/>
      <c r="O1371" s="22"/>
      <c r="P1371" s="22"/>
      <c r="Q1371" s="22"/>
      <c r="R1371" s="22"/>
      <c r="S1371" s="22"/>
      <c r="T1371" s="22"/>
      <c r="U1371" s="22"/>
      <c r="V1371" s="22"/>
      <c r="W1371" s="22"/>
      <c r="X1371" s="22"/>
      <c r="Y1371" s="22"/>
      <c r="Z1371" s="22"/>
      <c r="AA1371" s="22"/>
      <c r="AB1371" s="22"/>
      <c r="AC1371" s="22"/>
      <c r="AD1371" s="22"/>
      <c r="AE1371" s="22"/>
      <c r="AF1371" s="22"/>
      <c r="AG1371" s="22"/>
      <c r="AH1371" s="22"/>
      <c r="AI1371" s="22"/>
      <c r="AJ1371" s="22"/>
      <c r="AK1371" s="22"/>
      <c r="AL1371" s="22"/>
      <c r="AM1371" s="22"/>
      <c r="AN1371" s="22"/>
      <c r="AO1371" s="22"/>
    </row>
    <row r="1372" ht="15.75" customHeight="1">
      <c r="A1372" s="22"/>
      <c r="B1372" s="22"/>
      <c r="C1372" s="22"/>
      <c r="D1372" s="22"/>
      <c r="E1372" s="22"/>
      <c r="F1372" s="22"/>
      <c r="G1372" s="130"/>
      <c r="H1372" s="22"/>
      <c r="I1372" s="22"/>
      <c r="J1372" s="22"/>
      <c r="K1372" s="22"/>
      <c r="L1372" s="22"/>
      <c r="M1372" s="22"/>
      <c r="N1372" s="22"/>
      <c r="O1372" s="22"/>
      <c r="P1372" s="22"/>
      <c r="Q1372" s="22"/>
      <c r="R1372" s="22"/>
      <c r="S1372" s="22"/>
      <c r="T1372" s="22"/>
      <c r="U1372" s="22"/>
      <c r="V1372" s="22"/>
      <c r="W1372" s="22"/>
      <c r="X1372" s="22"/>
      <c r="Y1372" s="22"/>
      <c r="Z1372" s="22"/>
      <c r="AA1372" s="22"/>
      <c r="AB1372" s="22"/>
      <c r="AC1372" s="22"/>
      <c r="AD1372" s="22"/>
      <c r="AE1372" s="22"/>
      <c r="AF1372" s="22"/>
      <c r="AG1372" s="22"/>
      <c r="AH1372" s="22"/>
      <c r="AI1372" s="22"/>
      <c r="AJ1372" s="22"/>
      <c r="AK1372" s="22"/>
      <c r="AL1372" s="22"/>
      <c r="AM1372" s="22"/>
      <c r="AN1372" s="22"/>
      <c r="AO1372" s="22"/>
    </row>
    <row r="1373" ht="15.75" customHeight="1">
      <c r="A1373" s="22"/>
      <c r="B1373" s="22"/>
      <c r="C1373" s="22"/>
      <c r="D1373" s="22"/>
      <c r="E1373" s="22"/>
      <c r="F1373" s="22"/>
      <c r="G1373" s="130"/>
      <c r="H1373" s="22"/>
      <c r="I1373" s="22"/>
      <c r="J1373" s="22"/>
      <c r="K1373" s="22"/>
      <c r="L1373" s="22"/>
      <c r="M1373" s="22"/>
      <c r="N1373" s="22"/>
      <c r="O1373" s="22"/>
      <c r="P1373" s="22"/>
      <c r="Q1373" s="22"/>
      <c r="R1373" s="22"/>
      <c r="S1373" s="22"/>
      <c r="T1373" s="22"/>
      <c r="U1373" s="22"/>
      <c r="V1373" s="22"/>
      <c r="W1373" s="22"/>
      <c r="X1373" s="22"/>
      <c r="Y1373" s="22"/>
      <c r="Z1373" s="22"/>
      <c r="AA1373" s="22"/>
      <c r="AB1373" s="22"/>
      <c r="AC1373" s="22"/>
      <c r="AD1373" s="22"/>
      <c r="AE1373" s="22"/>
      <c r="AF1373" s="22"/>
      <c r="AG1373" s="22"/>
      <c r="AH1373" s="22"/>
      <c r="AI1373" s="22"/>
      <c r="AJ1373" s="22"/>
      <c r="AK1373" s="22"/>
      <c r="AL1373" s="22"/>
      <c r="AM1373" s="22"/>
      <c r="AN1373" s="22"/>
      <c r="AO1373" s="22"/>
    </row>
    <row r="1374" ht="15.75" customHeight="1">
      <c r="A1374" s="22"/>
      <c r="B1374" s="22"/>
      <c r="C1374" s="22"/>
      <c r="D1374" s="22"/>
      <c r="E1374" s="22"/>
      <c r="F1374" s="22"/>
      <c r="G1374" s="130"/>
      <c r="H1374" s="22"/>
      <c r="I1374" s="22"/>
      <c r="J1374" s="22"/>
      <c r="K1374" s="22"/>
      <c r="L1374" s="22"/>
      <c r="M1374" s="22"/>
      <c r="N1374" s="22"/>
      <c r="O1374" s="22"/>
      <c r="P1374" s="22"/>
      <c r="Q1374" s="22"/>
      <c r="R1374" s="22"/>
      <c r="S1374" s="22"/>
      <c r="T1374" s="22"/>
      <c r="U1374" s="22"/>
      <c r="V1374" s="22"/>
      <c r="W1374" s="22"/>
      <c r="X1374" s="22"/>
      <c r="Y1374" s="22"/>
      <c r="Z1374" s="22"/>
      <c r="AA1374" s="22"/>
      <c r="AB1374" s="22"/>
      <c r="AC1374" s="22"/>
      <c r="AD1374" s="22"/>
      <c r="AE1374" s="22"/>
      <c r="AF1374" s="22"/>
      <c r="AG1374" s="22"/>
      <c r="AH1374" s="22"/>
      <c r="AI1374" s="22"/>
      <c r="AJ1374" s="22"/>
      <c r="AK1374" s="22"/>
      <c r="AL1374" s="22"/>
      <c r="AM1374" s="22"/>
      <c r="AN1374" s="22"/>
      <c r="AO1374" s="22"/>
    </row>
    <row r="1375" ht="15.75" customHeight="1">
      <c r="A1375" s="22"/>
      <c r="B1375" s="22"/>
      <c r="C1375" s="22"/>
      <c r="D1375" s="22"/>
      <c r="E1375" s="22"/>
      <c r="F1375" s="22"/>
      <c r="G1375" s="130"/>
      <c r="H1375" s="22"/>
      <c r="I1375" s="22"/>
      <c r="J1375" s="22"/>
      <c r="K1375" s="22"/>
      <c r="L1375" s="22"/>
      <c r="M1375" s="22"/>
      <c r="N1375" s="22"/>
      <c r="O1375" s="22"/>
      <c r="P1375" s="22"/>
      <c r="Q1375" s="22"/>
      <c r="R1375" s="22"/>
      <c r="S1375" s="22"/>
      <c r="T1375" s="22"/>
      <c r="U1375" s="22"/>
      <c r="V1375" s="22"/>
      <c r="W1375" s="22"/>
      <c r="X1375" s="22"/>
      <c r="Y1375" s="22"/>
      <c r="Z1375" s="22"/>
      <c r="AA1375" s="22"/>
      <c r="AB1375" s="22"/>
      <c r="AC1375" s="22"/>
      <c r="AD1375" s="22"/>
      <c r="AE1375" s="22"/>
      <c r="AF1375" s="22"/>
      <c r="AG1375" s="22"/>
      <c r="AH1375" s="22"/>
      <c r="AI1375" s="22"/>
      <c r="AJ1375" s="22"/>
      <c r="AK1375" s="22"/>
      <c r="AL1375" s="22"/>
      <c r="AM1375" s="22"/>
      <c r="AN1375" s="22"/>
      <c r="AO1375" s="22"/>
    </row>
    <row r="1376" ht="15.75" customHeight="1">
      <c r="A1376" s="22"/>
      <c r="B1376" s="22"/>
      <c r="C1376" s="22"/>
      <c r="D1376" s="22"/>
      <c r="E1376" s="22"/>
      <c r="F1376" s="22"/>
      <c r="G1376" s="130"/>
      <c r="H1376" s="22"/>
      <c r="I1376" s="22"/>
      <c r="J1376" s="22"/>
      <c r="K1376" s="22"/>
      <c r="L1376" s="22"/>
      <c r="M1376" s="22"/>
      <c r="N1376" s="22"/>
      <c r="O1376" s="22"/>
      <c r="P1376" s="22"/>
      <c r="Q1376" s="22"/>
      <c r="R1376" s="22"/>
      <c r="S1376" s="22"/>
      <c r="T1376" s="22"/>
      <c r="U1376" s="22"/>
      <c r="V1376" s="22"/>
      <c r="W1376" s="22"/>
      <c r="X1376" s="22"/>
      <c r="Y1376" s="22"/>
      <c r="Z1376" s="22"/>
      <c r="AA1376" s="22"/>
      <c r="AB1376" s="22"/>
      <c r="AC1376" s="22"/>
      <c r="AD1376" s="22"/>
      <c r="AE1376" s="22"/>
      <c r="AF1376" s="22"/>
      <c r="AG1376" s="22"/>
      <c r="AH1376" s="22"/>
      <c r="AI1376" s="22"/>
      <c r="AJ1376" s="22"/>
      <c r="AK1376" s="22"/>
      <c r="AL1376" s="22"/>
      <c r="AM1376" s="22"/>
      <c r="AN1376" s="22"/>
      <c r="AO1376" s="22"/>
    </row>
    <row r="1377" ht="15.75" customHeight="1">
      <c r="A1377" s="22"/>
      <c r="B1377" s="22"/>
      <c r="C1377" s="22"/>
      <c r="D1377" s="22"/>
      <c r="E1377" s="22"/>
      <c r="F1377" s="22"/>
      <c r="G1377" s="130"/>
      <c r="H1377" s="22"/>
      <c r="I1377" s="22"/>
      <c r="J1377" s="22"/>
      <c r="K1377" s="22"/>
      <c r="L1377" s="22"/>
      <c r="M1377" s="22"/>
      <c r="N1377" s="22"/>
      <c r="O1377" s="22"/>
      <c r="P1377" s="22"/>
      <c r="Q1377" s="22"/>
      <c r="R1377" s="22"/>
      <c r="S1377" s="22"/>
      <c r="T1377" s="22"/>
      <c r="U1377" s="22"/>
      <c r="V1377" s="22"/>
      <c r="W1377" s="22"/>
      <c r="X1377" s="22"/>
      <c r="Y1377" s="22"/>
      <c r="Z1377" s="22"/>
      <c r="AA1377" s="22"/>
      <c r="AB1377" s="22"/>
      <c r="AC1377" s="22"/>
      <c r="AD1377" s="22"/>
      <c r="AE1377" s="22"/>
      <c r="AF1377" s="22"/>
      <c r="AG1377" s="22"/>
      <c r="AH1377" s="22"/>
      <c r="AI1377" s="22"/>
      <c r="AJ1377" s="22"/>
      <c r="AK1377" s="22"/>
      <c r="AL1377" s="22"/>
      <c r="AM1377" s="22"/>
      <c r="AN1377" s="22"/>
      <c r="AO1377" s="22"/>
    </row>
    <row r="1378" ht="15.75" customHeight="1">
      <c r="A1378" s="22"/>
      <c r="B1378" s="22"/>
      <c r="C1378" s="22"/>
      <c r="D1378" s="22"/>
      <c r="E1378" s="22"/>
      <c r="F1378" s="22"/>
      <c r="G1378" s="130"/>
      <c r="H1378" s="22"/>
      <c r="I1378" s="22"/>
      <c r="J1378" s="22"/>
      <c r="K1378" s="22"/>
      <c r="L1378" s="22"/>
      <c r="M1378" s="22"/>
      <c r="N1378" s="22"/>
      <c r="O1378" s="22"/>
      <c r="P1378" s="22"/>
      <c r="Q1378" s="22"/>
      <c r="R1378" s="22"/>
      <c r="S1378" s="22"/>
      <c r="T1378" s="22"/>
      <c r="U1378" s="22"/>
      <c r="V1378" s="22"/>
      <c r="W1378" s="22"/>
      <c r="X1378" s="22"/>
      <c r="Y1378" s="22"/>
      <c r="Z1378" s="22"/>
      <c r="AA1378" s="22"/>
      <c r="AB1378" s="22"/>
      <c r="AC1378" s="22"/>
      <c r="AD1378" s="22"/>
      <c r="AE1378" s="22"/>
      <c r="AF1378" s="22"/>
      <c r="AG1378" s="22"/>
      <c r="AH1378" s="22"/>
      <c r="AI1378" s="22"/>
      <c r="AJ1378" s="22"/>
      <c r="AK1378" s="22"/>
      <c r="AL1378" s="22"/>
      <c r="AM1378" s="22"/>
      <c r="AN1378" s="22"/>
      <c r="AO1378" s="22"/>
    </row>
    <row r="1379" ht="15.75" customHeight="1">
      <c r="A1379" s="22"/>
      <c r="B1379" s="22"/>
      <c r="C1379" s="22"/>
      <c r="D1379" s="22"/>
      <c r="E1379" s="22"/>
      <c r="F1379" s="22"/>
      <c r="G1379" s="130"/>
      <c r="H1379" s="22"/>
      <c r="I1379" s="22"/>
      <c r="J1379" s="22"/>
      <c r="K1379" s="22"/>
      <c r="L1379" s="22"/>
      <c r="M1379" s="22"/>
      <c r="N1379" s="22"/>
      <c r="O1379" s="22"/>
      <c r="P1379" s="22"/>
      <c r="Q1379" s="22"/>
      <c r="R1379" s="22"/>
      <c r="S1379" s="22"/>
      <c r="T1379" s="22"/>
      <c r="U1379" s="22"/>
      <c r="V1379" s="22"/>
      <c r="W1379" s="22"/>
      <c r="X1379" s="22"/>
      <c r="Y1379" s="22"/>
      <c r="Z1379" s="22"/>
      <c r="AA1379" s="22"/>
      <c r="AB1379" s="22"/>
      <c r="AC1379" s="22"/>
      <c r="AD1379" s="22"/>
      <c r="AE1379" s="22"/>
      <c r="AF1379" s="22"/>
      <c r="AG1379" s="22"/>
      <c r="AH1379" s="22"/>
      <c r="AI1379" s="22"/>
      <c r="AJ1379" s="22"/>
      <c r="AK1379" s="22"/>
      <c r="AL1379" s="22"/>
      <c r="AM1379" s="22"/>
      <c r="AN1379" s="22"/>
      <c r="AO1379" s="22"/>
    </row>
    <row r="1380" ht="15.75" customHeight="1">
      <c r="A1380" s="22"/>
      <c r="B1380" s="22"/>
      <c r="C1380" s="22"/>
      <c r="D1380" s="22"/>
      <c r="E1380" s="22"/>
      <c r="F1380" s="22"/>
      <c r="G1380" s="130"/>
      <c r="H1380" s="22"/>
      <c r="I1380" s="22"/>
      <c r="J1380" s="22"/>
      <c r="K1380" s="22"/>
      <c r="L1380" s="22"/>
      <c r="M1380" s="22"/>
      <c r="N1380" s="22"/>
      <c r="O1380" s="22"/>
      <c r="P1380" s="22"/>
      <c r="Q1380" s="22"/>
      <c r="R1380" s="22"/>
      <c r="S1380" s="22"/>
      <c r="T1380" s="22"/>
      <c r="U1380" s="22"/>
      <c r="V1380" s="22"/>
      <c r="W1380" s="22"/>
      <c r="X1380" s="22"/>
      <c r="Y1380" s="22"/>
      <c r="Z1380" s="22"/>
      <c r="AA1380" s="22"/>
      <c r="AB1380" s="22"/>
      <c r="AC1380" s="22"/>
      <c r="AD1380" s="22"/>
      <c r="AE1380" s="22"/>
      <c r="AF1380" s="22"/>
      <c r="AG1380" s="22"/>
      <c r="AH1380" s="22"/>
      <c r="AI1380" s="22"/>
      <c r="AJ1380" s="22"/>
      <c r="AK1380" s="22"/>
      <c r="AL1380" s="22"/>
      <c r="AM1380" s="22"/>
      <c r="AN1380" s="22"/>
      <c r="AO1380" s="22"/>
    </row>
    <row r="1381" ht="15.75" customHeight="1">
      <c r="A1381" s="22"/>
      <c r="B1381" s="22"/>
      <c r="C1381" s="22"/>
      <c r="D1381" s="22"/>
      <c r="E1381" s="22"/>
      <c r="F1381" s="22"/>
      <c r="G1381" s="130"/>
      <c r="H1381" s="22"/>
      <c r="I1381" s="22"/>
      <c r="J1381" s="22"/>
      <c r="K1381" s="22"/>
      <c r="L1381" s="22"/>
      <c r="M1381" s="22"/>
      <c r="N1381" s="22"/>
      <c r="O1381" s="22"/>
      <c r="P1381" s="22"/>
      <c r="Q1381" s="22"/>
      <c r="R1381" s="22"/>
      <c r="S1381" s="22"/>
      <c r="T1381" s="22"/>
      <c r="U1381" s="22"/>
      <c r="V1381" s="22"/>
      <c r="W1381" s="22"/>
      <c r="X1381" s="22"/>
      <c r="Y1381" s="22"/>
      <c r="Z1381" s="22"/>
      <c r="AA1381" s="22"/>
      <c r="AB1381" s="22"/>
      <c r="AC1381" s="22"/>
      <c r="AD1381" s="22"/>
      <c r="AE1381" s="22"/>
      <c r="AF1381" s="22"/>
      <c r="AG1381" s="22"/>
      <c r="AH1381" s="22"/>
      <c r="AI1381" s="22"/>
      <c r="AJ1381" s="22"/>
      <c r="AK1381" s="22"/>
      <c r="AL1381" s="22"/>
      <c r="AM1381" s="22"/>
      <c r="AN1381" s="22"/>
      <c r="AO1381" s="22"/>
    </row>
    <row r="1382" ht="15.75" customHeight="1">
      <c r="A1382" s="22"/>
      <c r="B1382" s="22"/>
      <c r="C1382" s="22"/>
      <c r="D1382" s="22"/>
      <c r="E1382" s="22"/>
      <c r="F1382" s="22"/>
      <c r="G1382" s="130"/>
      <c r="H1382" s="22"/>
      <c r="I1382" s="22"/>
      <c r="J1382" s="22"/>
      <c r="K1382" s="22"/>
      <c r="L1382" s="22"/>
      <c r="M1382" s="22"/>
      <c r="N1382" s="22"/>
      <c r="O1382" s="22"/>
      <c r="P1382" s="22"/>
      <c r="Q1382" s="22"/>
      <c r="R1382" s="22"/>
      <c r="S1382" s="22"/>
      <c r="T1382" s="22"/>
      <c r="U1382" s="22"/>
      <c r="V1382" s="22"/>
      <c r="W1382" s="22"/>
      <c r="X1382" s="22"/>
      <c r="Y1382" s="22"/>
      <c r="Z1382" s="22"/>
      <c r="AA1382" s="22"/>
      <c r="AB1382" s="22"/>
      <c r="AC1382" s="22"/>
      <c r="AD1382" s="22"/>
      <c r="AE1382" s="22"/>
      <c r="AF1382" s="22"/>
      <c r="AG1382" s="22"/>
      <c r="AH1382" s="22"/>
      <c r="AI1382" s="22"/>
      <c r="AJ1382" s="22"/>
      <c r="AK1382" s="22"/>
      <c r="AL1382" s="22"/>
      <c r="AM1382" s="22"/>
      <c r="AN1382" s="22"/>
      <c r="AO1382" s="22"/>
    </row>
    <row r="1383" ht="15.75" customHeight="1">
      <c r="A1383" s="22"/>
      <c r="B1383" s="22"/>
      <c r="C1383" s="22"/>
      <c r="D1383" s="22"/>
      <c r="E1383" s="22"/>
      <c r="F1383" s="22"/>
      <c r="G1383" s="130"/>
      <c r="H1383" s="22"/>
      <c r="I1383" s="22"/>
      <c r="J1383" s="22"/>
      <c r="K1383" s="22"/>
      <c r="L1383" s="22"/>
      <c r="M1383" s="22"/>
      <c r="N1383" s="22"/>
      <c r="O1383" s="22"/>
      <c r="P1383" s="22"/>
      <c r="Q1383" s="22"/>
      <c r="R1383" s="22"/>
      <c r="S1383" s="22"/>
      <c r="T1383" s="22"/>
      <c r="U1383" s="22"/>
      <c r="V1383" s="22"/>
      <c r="W1383" s="22"/>
      <c r="X1383" s="22"/>
      <c r="Y1383" s="22"/>
      <c r="Z1383" s="22"/>
      <c r="AA1383" s="22"/>
      <c r="AB1383" s="22"/>
      <c r="AC1383" s="22"/>
      <c r="AD1383" s="22"/>
      <c r="AE1383" s="22"/>
      <c r="AF1383" s="22"/>
      <c r="AG1383" s="22"/>
      <c r="AH1383" s="22"/>
      <c r="AI1383" s="22"/>
      <c r="AJ1383" s="22"/>
      <c r="AK1383" s="22"/>
      <c r="AL1383" s="22"/>
      <c r="AM1383" s="22"/>
      <c r="AN1383" s="22"/>
      <c r="AO1383" s="22"/>
    </row>
    <row r="1384" ht="15.75" customHeight="1">
      <c r="A1384" s="22"/>
      <c r="B1384" s="22"/>
      <c r="C1384" s="22"/>
      <c r="D1384" s="22"/>
      <c r="E1384" s="22"/>
      <c r="F1384" s="22"/>
      <c r="G1384" s="130"/>
      <c r="H1384" s="22"/>
      <c r="I1384" s="22"/>
      <c r="J1384" s="22"/>
      <c r="K1384" s="22"/>
      <c r="L1384" s="22"/>
      <c r="M1384" s="22"/>
      <c r="N1384" s="22"/>
      <c r="O1384" s="22"/>
      <c r="P1384" s="22"/>
      <c r="Q1384" s="22"/>
      <c r="R1384" s="22"/>
      <c r="S1384" s="22"/>
      <c r="T1384" s="22"/>
      <c r="U1384" s="22"/>
      <c r="V1384" s="22"/>
      <c r="W1384" s="22"/>
      <c r="X1384" s="22"/>
      <c r="Y1384" s="22"/>
      <c r="Z1384" s="22"/>
      <c r="AA1384" s="22"/>
      <c r="AB1384" s="22"/>
      <c r="AC1384" s="22"/>
      <c r="AD1384" s="22"/>
      <c r="AE1384" s="22"/>
      <c r="AF1384" s="22"/>
      <c r="AG1384" s="22"/>
      <c r="AH1384" s="22"/>
      <c r="AI1384" s="22"/>
      <c r="AJ1384" s="22"/>
      <c r="AK1384" s="22"/>
      <c r="AL1384" s="22"/>
      <c r="AM1384" s="22"/>
      <c r="AN1384" s="22"/>
      <c r="AO1384" s="22"/>
    </row>
    <row r="1385" ht="15.75" customHeight="1">
      <c r="A1385" s="22"/>
      <c r="B1385" s="22"/>
      <c r="C1385" s="22"/>
      <c r="D1385" s="22"/>
      <c r="E1385" s="22"/>
      <c r="F1385" s="22"/>
      <c r="G1385" s="130"/>
      <c r="H1385" s="22"/>
      <c r="I1385" s="22"/>
      <c r="J1385" s="22"/>
      <c r="K1385" s="22"/>
      <c r="L1385" s="22"/>
      <c r="M1385" s="22"/>
      <c r="N1385" s="22"/>
      <c r="O1385" s="22"/>
      <c r="P1385" s="22"/>
      <c r="Q1385" s="22"/>
      <c r="R1385" s="22"/>
      <c r="S1385" s="22"/>
      <c r="T1385" s="22"/>
      <c r="U1385" s="22"/>
      <c r="V1385" s="22"/>
      <c r="W1385" s="22"/>
      <c r="X1385" s="22"/>
      <c r="Y1385" s="22"/>
      <c r="Z1385" s="22"/>
      <c r="AA1385" s="22"/>
      <c r="AB1385" s="22"/>
      <c r="AC1385" s="22"/>
      <c r="AD1385" s="22"/>
      <c r="AE1385" s="22"/>
      <c r="AF1385" s="22"/>
      <c r="AG1385" s="22"/>
      <c r="AH1385" s="22"/>
      <c r="AI1385" s="22"/>
      <c r="AJ1385" s="22"/>
      <c r="AK1385" s="22"/>
      <c r="AL1385" s="22"/>
      <c r="AM1385" s="22"/>
      <c r="AN1385" s="22"/>
      <c r="AO1385" s="22"/>
    </row>
    <row r="1386" ht="15.75" customHeight="1">
      <c r="A1386" s="22"/>
      <c r="B1386" s="22"/>
      <c r="C1386" s="22"/>
      <c r="D1386" s="22"/>
      <c r="E1386" s="22"/>
      <c r="F1386" s="22"/>
      <c r="G1386" s="130"/>
      <c r="H1386" s="22"/>
      <c r="I1386" s="22"/>
      <c r="J1386" s="22"/>
      <c r="K1386" s="22"/>
      <c r="L1386" s="22"/>
      <c r="M1386" s="22"/>
      <c r="N1386" s="22"/>
      <c r="O1386" s="22"/>
      <c r="P1386" s="22"/>
      <c r="Q1386" s="22"/>
      <c r="R1386" s="22"/>
      <c r="S1386" s="22"/>
      <c r="T1386" s="22"/>
      <c r="U1386" s="22"/>
      <c r="V1386" s="22"/>
      <c r="W1386" s="22"/>
      <c r="X1386" s="22"/>
      <c r="Y1386" s="22"/>
      <c r="Z1386" s="22"/>
      <c r="AA1386" s="22"/>
      <c r="AB1386" s="22"/>
      <c r="AC1386" s="22"/>
      <c r="AD1386" s="22"/>
      <c r="AE1386" s="22"/>
      <c r="AF1386" s="22"/>
      <c r="AG1386" s="22"/>
      <c r="AH1386" s="22"/>
      <c r="AI1386" s="22"/>
      <c r="AJ1386" s="22"/>
      <c r="AK1386" s="22"/>
      <c r="AL1386" s="22"/>
      <c r="AM1386" s="22"/>
      <c r="AN1386" s="22"/>
      <c r="AO1386" s="22"/>
    </row>
    <row r="1387" ht="15.75" customHeight="1">
      <c r="A1387" s="22"/>
      <c r="B1387" s="22"/>
      <c r="C1387" s="22"/>
      <c r="D1387" s="22"/>
      <c r="E1387" s="22"/>
      <c r="F1387" s="22"/>
      <c r="G1387" s="130"/>
      <c r="H1387" s="22"/>
      <c r="I1387" s="22"/>
      <c r="J1387" s="22"/>
      <c r="K1387" s="22"/>
      <c r="L1387" s="22"/>
      <c r="M1387" s="22"/>
      <c r="N1387" s="22"/>
      <c r="O1387" s="22"/>
      <c r="P1387" s="22"/>
      <c r="Q1387" s="22"/>
      <c r="R1387" s="22"/>
      <c r="S1387" s="22"/>
      <c r="T1387" s="22"/>
      <c r="U1387" s="22"/>
      <c r="V1387" s="22"/>
      <c r="W1387" s="22"/>
      <c r="X1387" s="22"/>
      <c r="Y1387" s="22"/>
      <c r="Z1387" s="22"/>
      <c r="AA1387" s="22"/>
      <c r="AB1387" s="22"/>
      <c r="AC1387" s="22"/>
      <c r="AD1387" s="22"/>
      <c r="AE1387" s="22"/>
      <c r="AF1387" s="22"/>
      <c r="AG1387" s="22"/>
      <c r="AH1387" s="22"/>
      <c r="AI1387" s="22"/>
      <c r="AJ1387" s="22"/>
      <c r="AK1387" s="22"/>
      <c r="AL1387" s="22"/>
      <c r="AM1387" s="22"/>
      <c r="AN1387" s="22"/>
      <c r="AO1387" s="22"/>
    </row>
    <row r="1388" ht="15.75" customHeight="1">
      <c r="A1388" s="22"/>
      <c r="B1388" s="22"/>
      <c r="C1388" s="22"/>
      <c r="D1388" s="22"/>
      <c r="E1388" s="22"/>
      <c r="F1388" s="22"/>
      <c r="G1388" s="130"/>
      <c r="H1388" s="22"/>
      <c r="I1388" s="22"/>
      <c r="J1388" s="22"/>
      <c r="K1388" s="22"/>
      <c r="L1388" s="22"/>
      <c r="M1388" s="22"/>
      <c r="N1388" s="22"/>
      <c r="O1388" s="22"/>
      <c r="P1388" s="22"/>
      <c r="Q1388" s="22"/>
      <c r="R1388" s="22"/>
      <c r="S1388" s="22"/>
      <c r="T1388" s="22"/>
      <c r="U1388" s="22"/>
      <c r="V1388" s="22"/>
      <c r="W1388" s="22"/>
      <c r="X1388" s="22"/>
      <c r="Y1388" s="22"/>
      <c r="Z1388" s="22"/>
      <c r="AA1388" s="22"/>
      <c r="AB1388" s="22"/>
      <c r="AC1388" s="22"/>
      <c r="AD1388" s="22"/>
      <c r="AE1388" s="22"/>
      <c r="AF1388" s="22"/>
      <c r="AG1388" s="22"/>
      <c r="AH1388" s="22"/>
      <c r="AI1388" s="22"/>
      <c r="AJ1388" s="22"/>
      <c r="AK1388" s="22"/>
      <c r="AL1388" s="22"/>
      <c r="AM1388" s="22"/>
      <c r="AN1388" s="22"/>
      <c r="AO1388" s="22"/>
    </row>
    <row r="1389" ht="15.75" customHeight="1">
      <c r="A1389" s="22"/>
      <c r="B1389" s="22"/>
      <c r="C1389" s="22"/>
      <c r="D1389" s="22"/>
      <c r="E1389" s="22"/>
      <c r="F1389" s="22"/>
      <c r="G1389" s="130"/>
      <c r="H1389" s="22"/>
      <c r="I1389" s="22"/>
      <c r="J1389" s="22"/>
      <c r="K1389" s="22"/>
      <c r="L1389" s="22"/>
      <c r="M1389" s="22"/>
      <c r="N1389" s="22"/>
      <c r="O1389" s="22"/>
      <c r="P1389" s="22"/>
      <c r="Q1389" s="22"/>
      <c r="R1389" s="22"/>
      <c r="S1389" s="22"/>
      <c r="T1389" s="22"/>
      <c r="U1389" s="22"/>
      <c r="V1389" s="22"/>
      <c r="W1389" s="22"/>
      <c r="X1389" s="22"/>
      <c r="Y1389" s="22"/>
      <c r="Z1389" s="22"/>
      <c r="AA1389" s="22"/>
      <c r="AB1389" s="22"/>
      <c r="AC1389" s="22"/>
      <c r="AD1389" s="22"/>
      <c r="AE1389" s="22"/>
      <c r="AF1389" s="22"/>
      <c r="AG1389" s="22"/>
      <c r="AH1389" s="22"/>
      <c r="AI1389" s="22"/>
      <c r="AJ1389" s="22"/>
      <c r="AK1389" s="22"/>
      <c r="AL1389" s="22"/>
      <c r="AM1389" s="22"/>
      <c r="AN1389" s="22"/>
      <c r="AO1389" s="22"/>
    </row>
    <row r="1390" ht="15.75" customHeight="1">
      <c r="A1390" s="22"/>
      <c r="B1390" s="22"/>
      <c r="C1390" s="22"/>
      <c r="D1390" s="22"/>
      <c r="E1390" s="22"/>
      <c r="F1390" s="22"/>
      <c r="G1390" s="130"/>
      <c r="H1390" s="22"/>
      <c r="I1390" s="22"/>
      <c r="J1390" s="22"/>
      <c r="K1390" s="22"/>
      <c r="L1390" s="22"/>
      <c r="M1390" s="22"/>
      <c r="N1390" s="22"/>
      <c r="O1390" s="22"/>
      <c r="P1390" s="22"/>
      <c r="Q1390" s="22"/>
      <c r="R1390" s="22"/>
      <c r="S1390" s="22"/>
      <c r="T1390" s="22"/>
      <c r="U1390" s="22"/>
      <c r="V1390" s="22"/>
      <c r="W1390" s="22"/>
      <c r="X1390" s="22"/>
      <c r="Y1390" s="22"/>
      <c r="Z1390" s="22"/>
      <c r="AA1390" s="22"/>
      <c r="AB1390" s="22"/>
      <c r="AC1390" s="22"/>
      <c r="AD1390" s="22"/>
      <c r="AE1390" s="22"/>
      <c r="AF1390" s="22"/>
      <c r="AG1390" s="22"/>
      <c r="AH1390" s="22"/>
      <c r="AI1390" s="22"/>
      <c r="AJ1390" s="22"/>
      <c r="AK1390" s="22"/>
      <c r="AL1390" s="22"/>
      <c r="AM1390" s="22"/>
      <c r="AN1390" s="22"/>
      <c r="AO1390" s="22"/>
    </row>
    <row r="1391" ht="15.75" customHeight="1">
      <c r="A1391" s="22"/>
      <c r="B1391" s="22"/>
      <c r="C1391" s="22"/>
      <c r="D1391" s="22"/>
      <c r="E1391" s="22"/>
      <c r="F1391" s="22"/>
      <c r="G1391" s="130"/>
      <c r="H1391" s="22"/>
      <c r="I1391" s="22"/>
      <c r="J1391" s="22"/>
      <c r="K1391" s="22"/>
      <c r="L1391" s="22"/>
      <c r="M1391" s="22"/>
      <c r="N1391" s="22"/>
      <c r="O1391" s="22"/>
      <c r="P1391" s="22"/>
      <c r="Q1391" s="22"/>
      <c r="R1391" s="22"/>
      <c r="S1391" s="22"/>
      <c r="T1391" s="22"/>
      <c r="U1391" s="22"/>
      <c r="V1391" s="22"/>
      <c r="W1391" s="22"/>
      <c r="X1391" s="22"/>
      <c r="Y1391" s="22"/>
      <c r="Z1391" s="22"/>
      <c r="AA1391" s="22"/>
      <c r="AB1391" s="22"/>
      <c r="AC1391" s="22"/>
      <c r="AD1391" s="22"/>
      <c r="AE1391" s="22"/>
      <c r="AF1391" s="22"/>
      <c r="AG1391" s="22"/>
      <c r="AH1391" s="22"/>
      <c r="AI1391" s="22"/>
      <c r="AJ1391" s="22"/>
      <c r="AK1391" s="22"/>
      <c r="AL1391" s="22"/>
      <c r="AM1391" s="22"/>
      <c r="AN1391" s="22"/>
      <c r="AO1391" s="22"/>
    </row>
    <row r="1392" ht="15.75" customHeight="1">
      <c r="A1392" s="22"/>
      <c r="B1392" s="22"/>
      <c r="C1392" s="22"/>
      <c r="D1392" s="22"/>
      <c r="E1392" s="22"/>
      <c r="F1392" s="22"/>
      <c r="G1392" s="130"/>
      <c r="H1392" s="22"/>
      <c r="I1392" s="22"/>
      <c r="J1392" s="22"/>
      <c r="K1392" s="22"/>
      <c r="L1392" s="22"/>
      <c r="M1392" s="22"/>
      <c r="N1392" s="22"/>
      <c r="O1392" s="22"/>
      <c r="P1392" s="22"/>
      <c r="Q1392" s="22"/>
      <c r="R1392" s="22"/>
      <c r="S1392" s="22"/>
      <c r="T1392" s="22"/>
      <c r="U1392" s="22"/>
      <c r="V1392" s="22"/>
      <c r="W1392" s="22"/>
      <c r="X1392" s="22"/>
      <c r="Y1392" s="22"/>
      <c r="Z1392" s="22"/>
      <c r="AA1392" s="22"/>
      <c r="AB1392" s="22"/>
      <c r="AC1392" s="22"/>
      <c r="AD1392" s="22"/>
      <c r="AE1392" s="22"/>
      <c r="AF1392" s="22"/>
      <c r="AG1392" s="22"/>
      <c r="AH1392" s="22"/>
      <c r="AI1392" s="22"/>
      <c r="AJ1392" s="22"/>
      <c r="AK1392" s="22"/>
      <c r="AL1392" s="22"/>
      <c r="AM1392" s="22"/>
      <c r="AN1392" s="22"/>
      <c r="AO1392" s="22"/>
    </row>
    <row r="1393" ht="15.75" customHeight="1">
      <c r="A1393" s="22"/>
      <c r="B1393" s="22"/>
      <c r="C1393" s="22"/>
      <c r="D1393" s="22"/>
      <c r="E1393" s="22"/>
      <c r="F1393" s="22"/>
      <c r="G1393" s="130"/>
      <c r="H1393" s="22"/>
      <c r="I1393" s="22"/>
      <c r="J1393" s="22"/>
      <c r="K1393" s="22"/>
      <c r="L1393" s="22"/>
      <c r="M1393" s="22"/>
      <c r="N1393" s="22"/>
      <c r="O1393" s="22"/>
      <c r="P1393" s="22"/>
      <c r="Q1393" s="22"/>
      <c r="R1393" s="22"/>
      <c r="S1393" s="22"/>
      <c r="T1393" s="22"/>
      <c r="U1393" s="22"/>
      <c r="V1393" s="22"/>
      <c r="W1393" s="22"/>
      <c r="X1393" s="22"/>
      <c r="Y1393" s="22"/>
      <c r="Z1393" s="22"/>
      <c r="AA1393" s="22"/>
      <c r="AB1393" s="22"/>
      <c r="AC1393" s="22"/>
      <c r="AD1393" s="22"/>
      <c r="AE1393" s="22"/>
      <c r="AF1393" s="22"/>
      <c r="AG1393" s="22"/>
      <c r="AH1393" s="22"/>
      <c r="AI1393" s="22"/>
      <c r="AJ1393" s="22"/>
      <c r="AK1393" s="22"/>
      <c r="AL1393" s="22"/>
      <c r="AM1393" s="22"/>
      <c r="AN1393" s="22"/>
      <c r="AO1393" s="22"/>
    </row>
    <row r="1394" ht="15.75" customHeight="1">
      <c r="A1394" s="22"/>
      <c r="B1394" s="22"/>
      <c r="C1394" s="22"/>
      <c r="D1394" s="22"/>
      <c r="E1394" s="22"/>
      <c r="F1394" s="22"/>
      <c r="G1394" s="130"/>
      <c r="H1394" s="22"/>
      <c r="I1394" s="22"/>
      <c r="J1394" s="22"/>
      <c r="K1394" s="22"/>
      <c r="L1394" s="22"/>
      <c r="M1394" s="22"/>
      <c r="N1394" s="22"/>
      <c r="O1394" s="22"/>
      <c r="P1394" s="22"/>
      <c r="Q1394" s="22"/>
      <c r="R1394" s="22"/>
      <c r="S1394" s="22"/>
      <c r="T1394" s="22"/>
      <c r="U1394" s="22"/>
      <c r="V1394" s="22"/>
      <c r="W1394" s="22"/>
      <c r="X1394" s="22"/>
      <c r="Y1394" s="22"/>
      <c r="Z1394" s="22"/>
      <c r="AA1394" s="22"/>
      <c r="AB1394" s="22"/>
      <c r="AC1394" s="22"/>
      <c r="AD1394" s="22"/>
      <c r="AE1394" s="22"/>
      <c r="AF1394" s="22"/>
      <c r="AG1394" s="22"/>
      <c r="AH1394" s="22"/>
      <c r="AI1394" s="22"/>
      <c r="AJ1394" s="22"/>
      <c r="AK1394" s="22"/>
      <c r="AL1394" s="22"/>
      <c r="AM1394" s="22"/>
      <c r="AN1394" s="22"/>
      <c r="AO1394" s="22"/>
    </row>
    <row r="1395" ht="15.75" customHeight="1">
      <c r="A1395" s="22"/>
      <c r="B1395" s="22"/>
      <c r="C1395" s="22"/>
      <c r="D1395" s="22"/>
      <c r="E1395" s="22"/>
      <c r="F1395" s="22"/>
      <c r="G1395" s="130"/>
      <c r="H1395" s="22"/>
      <c r="I1395" s="22"/>
      <c r="J1395" s="22"/>
      <c r="K1395" s="22"/>
      <c r="L1395" s="22"/>
      <c r="M1395" s="22"/>
      <c r="N1395" s="22"/>
      <c r="O1395" s="22"/>
      <c r="P1395" s="22"/>
      <c r="Q1395" s="22"/>
      <c r="R1395" s="22"/>
      <c r="S1395" s="22"/>
      <c r="T1395" s="22"/>
      <c r="U1395" s="22"/>
      <c r="V1395" s="22"/>
      <c r="W1395" s="22"/>
      <c r="X1395" s="22"/>
      <c r="Y1395" s="22"/>
      <c r="Z1395" s="22"/>
      <c r="AA1395" s="22"/>
      <c r="AB1395" s="22"/>
      <c r="AC1395" s="22"/>
      <c r="AD1395" s="22"/>
      <c r="AE1395" s="22"/>
      <c r="AF1395" s="22"/>
      <c r="AG1395" s="22"/>
      <c r="AH1395" s="22"/>
      <c r="AI1395" s="22"/>
      <c r="AJ1395" s="22"/>
      <c r="AK1395" s="22"/>
      <c r="AL1395" s="22"/>
      <c r="AM1395" s="22"/>
      <c r="AN1395" s="22"/>
      <c r="AO1395" s="22"/>
    </row>
    <row r="1396" ht="15.75" customHeight="1">
      <c r="A1396" s="22"/>
      <c r="B1396" s="22"/>
      <c r="C1396" s="22"/>
      <c r="D1396" s="22"/>
      <c r="E1396" s="22"/>
      <c r="F1396" s="22"/>
      <c r="G1396" s="130"/>
      <c r="H1396" s="22"/>
      <c r="I1396" s="22"/>
      <c r="J1396" s="22"/>
      <c r="K1396" s="22"/>
      <c r="L1396" s="22"/>
      <c r="M1396" s="22"/>
      <c r="N1396" s="22"/>
      <c r="O1396" s="22"/>
      <c r="P1396" s="22"/>
      <c r="Q1396" s="22"/>
      <c r="R1396" s="22"/>
      <c r="S1396" s="22"/>
      <c r="T1396" s="22"/>
      <c r="U1396" s="22"/>
      <c r="V1396" s="22"/>
      <c r="W1396" s="22"/>
      <c r="X1396" s="22"/>
      <c r="Y1396" s="22"/>
      <c r="Z1396" s="22"/>
      <c r="AA1396" s="22"/>
      <c r="AB1396" s="22"/>
      <c r="AC1396" s="22"/>
      <c r="AD1396" s="22"/>
      <c r="AE1396" s="22"/>
      <c r="AF1396" s="22"/>
      <c r="AG1396" s="22"/>
      <c r="AH1396" s="22"/>
      <c r="AI1396" s="22"/>
      <c r="AJ1396" s="22"/>
      <c r="AK1396" s="22"/>
      <c r="AL1396" s="22"/>
      <c r="AM1396" s="22"/>
      <c r="AN1396" s="22"/>
      <c r="AO1396" s="22"/>
    </row>
    <row r="1397" ht="15.75" customHeight="1">
      <c r="A1397" s="22"/>
      <c r="B1397" s="22"/>
      <c r="C1397" s="22"/>
      <c r="D1397" s="22"/>
      <c r="E1397" s="22"/>
      <c r="F1397" s="22"/>
      <c r="G1397" s="130"/>
      <c r="H1397" s="22"/>
      <c r="I1397" s="22"/>
      <c r="J1397" s="22"/>
      <c r="K1397" s="22"/>
      <c r="L1397" s="22"/>
      <c r="M1397" s="22"/>
      <c r="N1397" s="22"/>
      <c r="O1397" s="22"/>
      <c r="P1397" s="22"/>
      <c r="Q1397" s="22"/>
      <c r="R1397" s="22"/>
      <c r="S1397" s="22"/>
      <c r="T1397" s="22"/>
      <c r="U1397" s="22"/>
      <c r="V1397" s="22"/>
      <c r="W1397" s="22"/>
      <c r="X1397" s="22"/>
      <c r="Y1397" s="22"/>
      <c r="Z1397" s="22"/>
      <c r="AA1397" s="22"/>
      <c r="AB1397" s="22"/>
      <c r="AC1397" s="22"/>
      <c r="AD1397" s="22"/>
      <c r="AE1397" s="22"/>
      <c r="AF1397" s="22"/>
      <c r="AG1397" s="22"/>
      <c r="AH1397" s="22"/>
      <c r="AI1397" s="22"/>
      <c r="AJ1397" s="22"/>
      <c r="AK1397" s="22"/>
      <c r="AL1397" s="22"/>
      <c r="AM1397" s="22"/>
      <c r="AN1397" s="22"/>
      <c r="AO1397" s="22"/>
    </row>
    <row r="1398" ht="15.75" customHeight="1">
      <c r="A1398" s="22"/>
      <c r="B1398" s="22"/>
      <c r="C1398" s="22"/>
      <c r="D1398" s="22"/>
      <c r="E1398" s="22"/>
      <c r="F1398" s="22"/>
      <c r="G1398" s="130"/>
      <c r="H1398" s="22"/>
      <c r="I1398" s="22"/>
      <c r="J1398" s="22"/>
      <c r="K1398" s="22"/>
      <c r="L1398" s="22"/>
      <c r="M1398" s="22"/>
      <c r="N1398" s="22"/>
      <c r="O1398" s="22"/>
      <c r="P1398" s="22"/>
      <c r="Q1398" s="22"/>
      <c r="R1398" s="22"/>
      <c r="S1398" s="22"/>
      <c r="T1398" s="22"/>
      <c r="U1398" s="22"/>
      <c r="V1398" s="22"/>
      <c r="W1398" s="22"/>
      <c r="X1398" s="22"/>
      <c r="Y1398" s="22"/>
      <c r="Z1398" s="22"/>
      <c r="AA1398" s="22"/>
      <c r="AB1398" s="22"/>
      <c r="AC1398" s="22"/>
      <c r="AD1398" s="22"/>
      <c r="AE1398" s="22"/>
      <c r="AF1398" s="22"/>
      <c r="AG1398" s="22"/>
      <c r="AH1398" s="22"/>
      <c r="AI1398" s="22"/>
      <c r="AJ1398" s="22"/>
      <c r="AK1398" s="22"/>
      <c r="AL1398" s="22"/>
      <c r="AM1398" s="22"/>
      <c r="AN1398" s="22"/>
      <c r="AO1398" s="22"/>
    </row>
    <row r="1399" ht="15.75" customHeight="1">
      <c r="A1399" s="22"/>
      <c r="B1399" s="22"/>
      <c r="C1399" s="22"/>
      <c r="D1399" s="22"/>
      <c r="E1399" s="22"/>
      <c r="F1399" s="22"/>
      <c r="G1399" s="130"/>
      <c r="H1399" s="22"/>
      <c r="I1399" s="22"/>
      <c r="J1399" s="22"/>
      <c r="K1399" s="22"/>
      <c r="L1399" s="22"/>
      <c r="M1399" s="22"/>
      <c r="N1399" s="22"/>
      <c r="O1399" s="22"/>
      <c r="P1399" s="22"/>
      <c r="Q1399" s="22"/>
      <c r="R1399" s="22"/>
      <c r="S1399" s="22"/>
      <c r="T1399" s="22"/>
      <c r="U1399" s="22"/>
      <c r="V1399" s="22"/>
      <c r="W1399" s="22"/>
      <c r="X1399" s="22"/>
      <c r="Y1399" s="22"/>
      <c r="Z1399" s="22"/>
      <c r="AA1399" s="22"/>
      <c r="AB1399" s="22"/>
      <c r="AC1399" s="22"/>
      <c r="AD1399" s="22"/>
      <c r="AE1399" s="22"/>
      <c r="AF1399" s="22"/>
      <c r="AG1399" s="22"/>
      <c r="AH1399" s="22"/>
      <c r="AI1399" s="22"/>
      <c r="AJ1399" s="22"/>
      <c r="AK1399" s="22"/>
      <c r="AL1399" s="22"/>
      <c r="AM1399" s="22"/>
      <c r="AN1399" s="22"/>
      <c r="AO1399" s="22"/>
    </row>
    <row r="1400" ht="15.75" customHeight="1">
      <c r="A1400" s="22"/>
      <c r="B1400" s="22"/>
      <c r="C1400" s="22"/>
      <c r="D1400" s="22"/>
      <c r="E1400" s="22"/>
      <c r="F1400" s="22"/>
      <c r="G1400" s="130"/>
      <c r="H1400" s="22"/>
      <c r="I1400" s="22"/>
      <c r="J1400" s="22"/>
      <c r="K1400" s="22"/>
      <c r="L1400" s="22"/>
      <c r="M1400" s="22"/>
      <c r="N1400" s="22"/>
      <c r="O1400" s="22"/>
      <c r="P1400" s="22"/>
      <c r="Q1400" s="22"/>
      <c r="R1400" s="22"/>
      <c r="S1400" s="22"/>
      <c r="T1400" s="22"/>
      <c r="U1400" s="22"/>
      <c r="V1400" s="22"/>
      <c r="W1400" s="22"/>
      <c r="X1400" s="22"/>
      <c r="Y1400" s="22"/>
      <c r="Z1400" s="22"/>
      <c r="AA1400" s="22"/>
      <c r="AB1400" s="22"/>
      <c r="AC1400" s="22"/>
      <c r="AD1400" s="22"/>
      <c r="AE1400" s="22"/>
      <c r="AF1400" s="22"/>
      <c r="AG1400" s="22"/>
      <c r="AH1400" s="22"/>
      <c r="AI1400" s="22"/>
      <c r="AJ1400" s="22"/>
      <c r="AK1400" s="22"/>
      <c r="AL1400" s="22"/>
      <c r="AM1400" s="22"/>
      <c r="AN1400" s="22"/>
      <c r="AO1400" s="22"/>
    </row>
    <row r="1401" ht="15.75" customHeight="1">
      <c r="A1401" s="22"/>
      <c r="B1401" s="22"/>
      <c r="C1401" s="22"/>
      <c r="D1401" s="22"/>
      <c r="E1401" s="22"/>
      <c r="F1401" s="22"/>
      <c r="G1401" s="130"/>
      <c r="H1401" s="22"/>
      <c r="I1401" s="22"/>
      <c r="J1401" s="22"/>
      <c r="K1401" s="22"/>
      <c r="L1401" s="22"/>
      <c r="M1401" s="22"/>
      <c r="N1401" s="22"/>
      <c r="O1401" s="22"/>
      <c r="P1401" s="22"/>
      <c r="Q1401" s="22"/>
      <c r="R1401" s="22"/>
      <c r="S1401" s="22"/>
      <c r="T1401" s="22"/>
      <c r="U1401" s="22"/>
      <c r="V1401" s="22"/>
      <c r="W1401" s="22"/>
      <c r="X1401" s="22"/>
      <c r="Y1401" s="22"/>
      <c r="Z1401" s="22"/>
      <c r="AA1401" s="22"/>
      <c r="AB1401" s="22"/>
      <c r="AC1401" s="22"/>
      <c r="AD1401" s="22"/>
      <c r="AE1401" s="22"/>
      <c r="AF1401" s="22"/>
      <c r="AG1401" s="22"/>
      <c r="AH1401" s="22"/>
      <c r="AI1401" s="22"/>
      <c r="AJ1401" s="22"/>
      <c r="AK1401" s="22"/>
      <c r="AL1401" s="22"/>
      <c r="AM1401" s="22"/>
      <c r="AN1401" s="22"/>
      <c r="AO1401" s="22"/>
    </row>
    <row r="1402" ht="15.75" customHeight="1">
      <c r="A1402" s="22"/>
      <c r="B1402" s="22"/>
      <c r="C1402" s="22"/>
      <c r="D1402" s="22"/>
      <c r="E1402" s="22"/>
      <c r="F1402" s="22"/>
      <c r="G1402" s="130"/>
      <c r="H1402" s="22"/>
      <c r="I1402" s="22"/>
      <c r="J1402" s="22"/>
      <c r="K1402" s="22"/>
      <c r="L1402" s="22"/>
      <c r="M1402" s="22"/>
      <c r="N1402" s="22"/>
      <c r="O1402" s="22"/>
      <c r="P1402" s="22"/>
      <c r="Q1402" s="22"/>
      <c r="R1402" s="22"/>
      <c r="S1402" s="22"/>
      <c r="T1402" s="22"/>
      <c r="U1402" s="22"/>
      <c r="V1402" s="22"/>
      <c r="W1402" s="22"/>
      <c r="X1402" s="22"/>
      <c r="Y1402" s="22"/>
      <c r="Z1402" s="22"/>
      <c r="AA1402" s="22"/>
      <c r="AB1402" s="22"/>
      <c r="AC1402" s="22"/>
      <c r="AD1402" s="22"/>
      <c r="AE1402" s="22"/>
      <c r="AF1402" s="22"/>
      <c r="AG1402" s="22"/>
      <c r="AH1402" s="22"/>
      <c r="AI1402" s="22"/>
      <c r="AJ1402" s="22"/>
      <c r="AK1402" s="22"/>
      <c r="AL1402" s="22"/>
      <c r="AM1402" s="22"/>
      <c r="AN1402" s="22"/>
      <c r="AO1402" s="22"/>
    </row>
    <row r="1403" ht="15.75" customHeight="1">
      <c r="A1403" s="22"/>
      <c r="B1403" s="22"/>
      <c r="C1403" s="22"/>
      <c r="D1403" s="22"/>
      <c r="E1403" s="22"/>
      <c r="F1403" s="22"/>
      <c r="G1403" s="130"/>
      <c r="H1403" s="22"/>
      <c r="I1403" s="22"/>
      <c r="J1403" s="22"/>
      <c r="K1403" s="22"/>
      <c r="L1403" s="22"/>
      <c r="M1403" s="22"/>
      <c r="N1403" s="22"/>
      <c r="O1403" s="22"/>
      <c r="P1403" s="22"/>
      <c r="Q1403" s="22"/>
      <c r="R1403" s="22"/>
      <c r="S1403" s="22"/>
      <c r="T1403" s="22"/>
      <c r="U1403" s="22"/>
      <c r="V1403" s="22"/>
      <c r="W1403" s="22"/>
      <c r="X1403" s="22"/>
      <c r="Y1403" s="22"/>
      <c r="Z1403" s="22"/>
      <c r="AA1403" s="22"/>
      <c r="AB1403" s="22"/>
      <c r="AC1403" s="22"/>
      <c r="AD1403" s="22"/>
      <c r="AE1403" s="22"/>
      <c r="AF1403" s="22"/>
      <c r="AG1403" s="22"/>
      <c r="AH1403" s="22"/>
      <c r="AI1403" s="22"/>
      <c r="AJ1403" s="22"/>
      <c r="AK1403" s="22"/>
      <c r="AL1403" s="22"/>
      <c r="AM1403" s="22"/>
      <c r="AN1403" s="22"/>
      <c r="AO1403" s="22"/>
    </row>
    <row r="1404" ht="15.75" customHeight="1">
      <c r="A1404" s="22"/>
      <c r="B1404" s="22"/>
      <c r="C1404" s="22"/>
      <c r="D1404" s="22"/>
      <c r="E1404" s="22"/>
      <c r="F1404" s="22"/>
      <c r="G1404" s="130"/>
      <c r="H1404" s="22"/>
      <c r="I1404" s="22"/>
      <c r="J1404" s="22"/>
      <c r="K1404" s="22"/>
      <c r="L1404" s="22"/>
      <c r="M1404" s="22"/>
      <c r="N1404" s="22"/>
      <c r="O1404" s="22"/>
      <c r="P1404" s="22"/>
      <c r="Q1404" s="22"/>
      <c r="R1404" s="22"/>
      <c r="S1404" s="22"/>
      <c r="T1404" s="22"/>
      <c r="U1404" s="22"/>
      <c r="V1404" s="22"/>
      <c r="W1404" s="22"/>
      <c r="X1404" s="22"/>
      <c r="Y1404" s="22"/>
      <c r="Z1404" s="22"/>
      <c r="AA1404" s="22"/>
      <c r="AB1404" s="22"/>
      <c r="AC1404" s="22"/>
      <c r="AD1404" s="22"/>
      <c r="AE1404" s="22"/>
      <c r="AF1404" s="22"/>
      <c r="AG1404" s="22"/>
      <c r="AH1404" s="22"/>
      <c r="AI1404" s="22"/>
      <c r="AJ1404" s="22"/>
      <c r="AK1404" s="22"/>
      <c r="AL1404" s="22"/>
      <c r="AM1404" s="22"/>
      <c r="AN1404" s="22"/>
      <c r="AO1404" s="22"/>
    </row>
    <row r="1405" ht="15.75" customHeight="1">
      <c r="A1405" s="22"/>
      <c r="B1405" s="22"/>
      <c r="C1405" s="22"/>
      <c r="D1405" s="22"/>
      <c r="E1405" s="22"/>
      <c r="F1405" s="22"/>
      <c r="G1405" s="130"/>
      <c r="H1405" s="22"/>
      <c r="I1405" s="22"/>
      <c r="J1405" s="22"/>
      <c r="K1405" s="22"/>
      <c r="L1405" s="22"/>
      <c r="M1405" s="22"/>
      <c r="N1405" s="22"/>
      <c r="O1405" s="22"/>
      <c r="P1405" s="22"/>
      <c r="Q1405" s="22"/>
      <c r="R1405" s="22"/>
      <c r="S1405" s="22"/>
      <c r="T1405" s="22"/>
      <c r="U1405" s="22"/>
      <c r="V1405" s="22"/>
      <c r="W1405" s="22"/>
      <c r="X1405" s="22"/>
      <c r="Y1405" s="22"/>
      <c r="Z1405" s="22"/>
      <c r="AA1405" s="22"/>
      <c r="AB1405" s="22"/>
      <c r="AC1405" s="22"/>
      <c r="AD1405" s="22"/>
      <c r="AE1405" s="22"/>
      <c r="AF1405" s="22"/>
      <c r="AG1405" s="22"/>
      <c r="AH1405" s="22"/>
      <c r="AI1405" s="22"/>
      <c r="AJ1405" s="22"/>
      <c r="AK1405" s="22"/>
      <c r="AL1405" s="22"/>
      <c r="AM1405" s="22"/>
      <c r="AN1405" s="22"/>
      <c r="AO1405" s="22"/>
    </row>
    <row r="1406" ht="15.75" customHeight="1">
      <c r="A1406" s="22"/>
      <c r="B1406" s="22"/>
      <c r="C1406" s="22"/>
      <c r="D1406" s="22"/>
      <c r="E1406" s="22"/>
      <c r="F1406" s="22"/>
      <c r="G1406" s="130"/>
      <c r="H1406" s="22"/>
      <c r="I1406" s="22"/>
      <c r="J1406" s="22"/>
      <c r="K1406" s="22"/>
      <c r="L1406" s="22"/>
      <c r="M1406" s="22"/>
      <c r="N1406" s="22"/>
      <c r="O1406" s="22"/>
      <c r="P1406" s="22"/>
      <c r="Q1406" s="22"/>
      <c r="R1406" s="22"/>
      <c r="S1406" s="22"/>
      <c r="T1406" s="22"/>
      <c r="U1406" s="22"/>
      <c r="V1406" s="22"/>
      <c r="W1406" s="22"/>
      <c r="X1406" s="22"/>
      <c r="Y1406" s="22"/>
      <c r="Z1406" s="22"/>
      <c r="AA1406" s="22"/>
      <c r="AB1406" s="22"/>
      <c r="AC1406" s="22"/>
      <c r="AD1406" s="22"/>
      <c r="AE1406" s="22"/>
      <c r="AF1406" s="22"/>
      <c r="AG1406" s="22"/>
      <c r="AH1406" s="22"/>
      <c r="AI1406" s="22"/>
      <c r="AJ1406" s="22"/>
      <c r="AK1406" s="22"/>
      <c r="AL1406" s="22"/>
      <c r="AM1406" s="22"/>
      <c r="AN1406" s="22"/>
      <c r="AO1406" s="22"/>
    </row>
    <row r="1407" ht="15.75" customHeight="1">
      <c r="A1407" s="22"/>
      <c r="B1407" s="22"/>
      <c r="C1407" s="22"/>
      <c r="D1407" s="22"/>
      <c r="E1407" s="22"/>
      <c r="F1407" s="22"/>
      <c r="G1407" s="130"/>
      <c r="H1407" s="22"/>
      <c r="I1407" s="22"/>
      <c r="J1407" s="22"/>
      <c r="K1407" s="22"/>
      <c r="L1407" s="22"/>
      <c r="M1407" s="22"/>
      <c r="N1407" s="22"/>
      <c r="O1407" s="22"/>
      <c r="P1407" s="22"/>
      <c r="Q1407" s="22"/>
      <c r="R1407" s="22"/>
      <c r="S1407" s="22"/>
      <c r="T1407" s="22"/>
      <c r="U1407" s="22"/>
      <c r="V1407" s="22"/>
      <c r="W1407" s="22"/>
      <c r="X1407" s="22"/>
      <c r="Y1407" s="22"/>
      <c r="Z1407" s="22"/>
      <c r="AA1407" s="22"/>
      <c r="AB1407" s="22"/>
      <c r="AC1407" s="22"/>
      <c r="AD1407" s="22"/>
      <c r="AE1407" s="22"/>
      <c r="AF1407" s="22"/>
      <c r="AG1407" s="22"/>
      <c r="AH1407" s="22"/>
      <c r="AI1407" s="22"/>
      <c r="AJ1407" s="22"/>
      <c r="AK1407" s="22"/>
      <c r="AL1407" s="22"/>
      <c r="AM1407" s="22"/>
      <c r="AN1407" s="22"/>
      <c r="AO1407" s="22"/>
    </row>
    <row r="1408" ht="15.75" customHeight="1">
      <c r="A1408" s="22"/>
      <c r="B1408" s="22"/>
      <c r="C1408" s="22"/>
      <c r="D1408" s="22"/>
      <c r="E1408" s="22"/>
      <c r="F1408" s="22"/>
      <c r="G1408" s="130"/>
      <c r="H1408" s="22"/>
      <c r="I1408" s="22"/>
      <c r="J1408" s="22"/>
      <c r="K1408" s="22"/>
      <c r="L1408" s="22"/>
      <c r="M1408" s="22"/>
      <c r="N1408" s="22"/>
      <c r="O1408" s="22"/>
      <c r="P1408" s="22"/>
      <c r="Q1408" s="22"/>
      <c r="R1408" s="22"/>
      <c r="S1408" s="22"/>
      <c r="T1408" s="22"/>
      <c r="U1408" s="22"/>
      <c r="V1408" s="22"/>
      <c r="W1408" s="22"/>
      <c r="X1408" s="22"/>
      <c r="Y1408" s="22"/>
      <c r="Z1408" s="22"/>
      <c r="AA1408" s="22"/>
      <c r="AB1408" s="22"/>
      <c r="AC1408" s="22"/>
      <c r="AD1408" s="22"/>
      <c r="AE1408" s="22"/>
      <c r="AF1408" s="22"/>
      <c r="AG1408" s="22"/>
      <c r="AH1408" s="22"/>
      <c r="AI1408" s="22"/>
      <c r="AJ1408" s="22"/>
      <c r="AK1408" s="22"/>
      <c r="AL1408" s="22"/>
      <c r="AM1408" s="22"/>
      <c r="AN1408" s="22"/>
      <c r="AO1408" s="22"/>
    </row>
    <row r="1409" ht="15.75" customHeight="1">
      <c r="A1409" s="22"/>
      <c r="B1409" s="22"/>
      <c r="C1409" s="22"/>
      <c r="D1409" s="22"/>
      <c r="E1409" s="22"/>
      <c r="F1409" s="22"/>
      <c r="G1409" s="130"/>
      <c r="H1409" s="22"/>
      <c r="I1409" s="22"/>
      <c r="J1409" s="22"/>
      <c r="K1409" s="22"/>
      <c r="L1409" s="22"/>
      <c r="M1409" s="22"/>
      <c r="N1409" s="22"/>
      <c r="O1409" s="22"/>
      <c r="P1409" s="22"/>
      <c r="Q1409" s="22"/>
      <c r="R1409" s="22"/>
      <c r="S1409" s="22"/>
      <c r="T1409" s="22"/>
      <c r="U1409" s="22"/>
      <c r="V1409" s="22"/>
      <c r="W1409" s="22"/>
      <c r="X1409" s="22"/>
      <c r="Y1409" s="22"/>
      <c r="Z1409" s="22"/>
      <c r="AA1409" s="22"/>
      <c r="AB1409" s="22"/>
      <c r="AC1409" s="22"/>
      <c r="AD1409" s="22"/>
      <c r="AE1409" s="22"/>
      <c r="AF1409" s="22"/>
      <c r="AG1409" s="22"/>
      <c r="AH1409" s="22"/>
      <c r="AI1409" s="22"/>
      <c r="AJ1409" s="22"/>
      <c r="AK1409" s="22"/>
      <c r="AL1409" s="22"/>
      <c r="AM1409" s="22"/>
      <c r="AN1409" s="22"/>
      <c r="AO1409" s="22"/>
    </row>
    <row r="1410" ht="15.75" customHeight="1">
      <c r="A1410" s="22"/>
      <c r="B1410" s="22"/>
      <c r="C1410" s="22"/>
      <c r="D1410" s="22"/>
      <c r="E1410" s="22"/>
      <c r="F1410" s="22"/>
      <c r="G1410" s="130"/>
      <c r="H1410" s="22"/>
      <c r="I1410" s="22"/>
      <c r="J1410" s="22"/>
      <c r="K1410" s="22"/>
      <c r="L1410" s="22"/>
      <c r="M1410" s="22"/>
      <c r="N1410" s="22"/>
      <c r="O1410" s="22"/>
      <c r="P1410" s="22"/>
      <c r="Q1410" s="22"/>
      <c r="R1410" s="22"/>
      <c r="S1410" s="22"/>
      <c r="T1410" s="22"/>
      <c r="U1410" s="22"/>
      <c r="V1410" s="22"/>
      <c r="W1410" s="22"/>
      <c r="X1410" s="22"/>
      <c r="Y1410" s="22"/>
      <c r="Z1410" s="22"/>
      <c r="AA1410" s="22"/>
      <c r="AB1410" s="22"/>
      <c r="AC1410" s="22"/>
      <c r="AD1410" s="22"/>
      <c r="AE1410" s="22"/>
      <c r="AF1410" s="22"/>
      <c r="AG1410" s="22"/>
      <c r="AH1410" s="22"/>
      <c r="AI1410" s="22"/>
      <c r="AJ1410" s="22"/>
      <c r="AK1410" s="22"/>
      <c r="AL1410" s="22"/>
      <c r="AM1410" s="22"/>
      <c r="AN1410" s="22"/>
      <c r="AO1410" s="22"/>
    </row>
    <row r="1411" ht="15.75" customHeight="1">
      <c r="A1411" s="22"/>
      <c r="B1411" s="22"/>
      <c r="C1411" s="22"/>
      <c r="D1411" s="22"/>
      <c r="E1411" s="22"/>
      <c r="F1411" s="22"/>
      <c r="G1411" s="130"/>
      <c r="H1411" s="22"/>
      <c r="I1411" s="22"/>
      <c r="J1411" s="22"/>
      <c r="K1411" s="22"/>
      <c r="L1411" s="22"/>
      <c r="M1411" s="22"/>
      <c r="N1411" s="22"/>
      <c r="O1411" s="22"/>
      <c r="P1411" s="22"/>
      <c r="Q1411" s="22"/>
      <c r="R1411" s="22"/>
      <c r="S1411" s="22"/>
      <c r="T1411" s="22"/>
      <c r="U1411" s="22"/>
      <c r="V1411" s="22"/>
      <c r="W1411" s="22"/>
      <c r="X1411" s="22"/>
      <c r="Y1411" s="22"/>
      <c r="Z1411" s="22"/>
      <c r="AA1411" s="22"/>
      <c r="AB1411" s="22"/>
      <c r="AC1411" s="22"/>
      <c r="AD1411" s="22"/>
      <c r="AE1411" s="22"/>
      <c r="AF1411" s="22"/>
      <c r="AG1411" s="22"/>
      <c r="AH1411" s="22"/>
      <c r="AI1411" s="22"/>
      <c r="AJ1411" s="22"/>
      <c r="AK1411" s="22"/>
      <c r="AL1411" s="22"/>
      <c r="AM1411" s="22"/>
      <c r="AN1411" s="22"/>
      <c r="AO1411" s="22"/>
    </row>
    <row r="1412" ht="15.75" customHeight="1">
      <c r="A1412" s="22"/>
      <c r="B1412" s="22"/>
      <c r="C1412" s="22"/>
      <c r="D1412" s="22"/>
      <c r="E1412" s="22"/>
      <c r="F1412" s="22"/>
      <c r="G1412" s="130"/>
      <c r="H1412" s="22"/>
      <c r="I1412" s="22"/>
      <c r="J1412" s="22"/>
      <c r="K1412" s="22"/>
      <c r="L1412" s="22"/>
      <c r="M1412" s="22"/>
      <c r="N1412" s="22"/>
      <c r="O1412" s="22"/>
      <c r="P1412" s="22"/>
      <c r="Q1412" s="22"/>
      <c r="R1412" s="22"/>
      <c r="S1412" s="22"/>
      <c r="T1412" s="22"/>
      <c r="U1412" s="22"/>
      <c r="V1412" s="22"/>
      <c r="W1412" s="22"/>
      <c r="X1412" s="22"/>
      <c r="Y1412" s="22"/>
      <c r="Z1412" s="22"/>
      <c r="AA1412" s="22"/>
      <c r="AB1412" s="22"/>
      <c r="AC1412" s="22"/>
      <c r="AD1412" s="22"/>
      <c r="AE1412" s="22"/>
      <c r="AF1412" s="22"/>
      <c r="AG1412" s="22"/>
      <c r="AH1412" s="22"/>
      <c r="AI1412" s="22"/>
      <c r="AJ1412" s="22"/>
      <c r="AK1412" s="22"/>
      <c r="AL1412" s="22"/>
      <c r="AM1412" s="22"/>
      <c r="AN1412" s="22"/>
      <c r="AO1412" s="22"/>
    </row>
    <row r="1413" ht="15.75" customHeight="1">
      <c r="A1413" s="22"/>
      <c r="B1413" s="22"/>
      <c r="C1413" s="22"/>
      <c r="D1413" s="22"/>
      <c r="E1413" s="22"/>
      <c r="F1413" s="22"/>
      <c r="G1413" s="130"/>
      <c r="H1413" s="22"/>
      <c r="I1413" s="22"/>
      <c r="J1413" s="22"/>
      <c r="K1413" s="22"/>
      <c r="L1413" s="22"/>
      <c r="M1413" s="22"/>
      <c r="N1413" s="22"/>
      <c r="O1413" s="22"/>
      <c r="P1413" s="22"/>
      <c r="Q1413" s="22"/>
      <c r="R1413" s="22"/>
      <c r="S1413" s="22"/>
      <c r="T1413" s="22"/>
      <c r="U1413" s="22"/>
      <c r="V1413" s="22"/>
      <c r="W1413" s="22"/>
      <c r="X1413" s="22"/>
      <c r="Y1413" s="22"/>
      <c r="Z1413" s="22"/>
      <c r="AA1413" s="22"/>
      <c r="AB1413" s="22"/>
      <c r="AC1413" s="22"/>
      <c r="AD1413" s="22"/>
      <c r="AE1413" s="22"/>
      <c r="AF1413" s="22"/>
      <c r="AG1413" s="22"/>
      <c r="AH1413" s="22"/>
      <c r="AI1413" s="22"/>
      <c r="AJ1413" s="22"/>
      <c r="AK1413" s="22"/>
      <c r="AL1413" s="22"/>
      <c r="AM1413" s="22"/>
      <c r="AN1413" s="22"/>
      <c r="AO1413" s="22"/>
    </row>
    <row r="1414" ht="15.75" customHeight="1">
      <c r="A1414" s="22"/>
      <c r="B1414" s="22"/>
      <c r="C1414" s="22"/>
      <c r="D1414" s="22"/>
      <c r="E1414" s="22"/>
      <c r="F1414" s="22"/>
      <c r="G1414" s="130"/>
      <c r="H1414" s="22"/>
      <c r="I1414" s="22"/>
      <c r="J1414" s="22"/>
      <c r="K1414" s="22"/>
      <c r="L1414" s="22"/>
      <c r="M1414" s="22"/>
      <c r="N1414" s="22"/>
      <c r="O1414" s="22"/>
      <c r="P1414" s="22"/>
      <c r="Q1414" s="22"/>
      <c r="R1414" s="22"/>
      <c r="S1414" s="22"/>
      <c r="T1414" s="22"/>
      <c r="U1414" s="22"/>
      <c r="V1414" s="22"/>
      <c r="W1414" s="22"/>
      <c r="X1414" s="22"/>
      <c r="Y1414" s="22"/>
      <c r="Z1414" s="22"/>
      <c r="AA1414" s="22"/>
      <c r="AB1414" s="22"/>
      <c r="AC1414" s="22"/>
      <c r="AD1414" s="22"/>
      <c r="AE1414" s="22"/>
      <c r="AF1414" s="22"/>
      <c r="AG1414" s="22"/>
      <c r="AH1414" s="22"/>
      <c r="AI1414" s="22"/>
      <c r="AJ1414" s="22"/>
      <c r="AK1414" s="22"/>
      <c r="AL1414" s="22"/>
      <c r="AM1414" s="22"/>
      <c r="AN1414" s="22"/>
      <c r="AO1414" s="22"/>
    </row>
    <row r="1415" ht="15.75" customHeight="1">
      <c r="A1415" s="22"/>
      <c r="B1415" s="22"/>
      <c r="C1415" s="22"/>
      <c r="D1415" s="22"/>
      <c r="E1415" s="22"/>
      <c r="F1415" s="22"/>
      <c r="G1415" s="130"/>
      <c r="H1415" s="22"/>
      <c r="I1415" s="22"/>
      <c r="J1415" s="22"/>
      <c r="K1415" s="22"/>
      <c r="L1415" s="22"/>
      <c r="M1415" s="22"/>
      <c r="N1415" s="22"/>
      <c r="O1415" s="22"/>
      <c r="P1415" s="22"/>
      <c r="Q1415" s="22"/>
      <c r="R1415" s="22"/>
      <c r="S1415" s="22"/>
      <c r="T1415" s="22"/>
      <c r="U1415" s="22"/>
      <c r="V1415" s="22"/>
      <c r="W1415" s="22"/>
      <c r="X1415" s="22"/>
      <c r="Y1415" s="22"/>
      <c r="Z1415" s="22"/>
      <c r="AA1415" s="22"/>
      <c r="AB1415" s="22"/>
      <c r="AC1415" s="22"/>
      <c r="AD1415" s="22"/>
      <c r="AE1415" s="22"/>
      <c r="AF1415" s="22"/>
      <c r="AG1415" s="22"/>
      <c r="AH1415" s="22"/>
      <c r="AI1415" s="22"/>
      <c r="AJ1415" s="22"/>
      <c r="AK1415" s="22"/>
      <c r="AL1415" s="22"/>
      <c r="AM1415" s="22"/>
      <c r="AN1415" s="22"/>
      <c r="AO1415" s="22"/>
    </row>
    <row r="1416" ht="15.75" customHeight="1">
      <c r="A1416" s="22"/>
      <c r="B1416" s="22"/>
      <c r="C1416" s="22"/>
      <c r="D1416" s="22"/>
      <c r="E1416" s="22"/>
      <c r="F1416" s="22"/>
      <c r="G1416" s="130"/>
      <c r="H1416" s="22"/>
      <c r="I1416" s="22"/>
      <c r="J1416" s="22"/>
      <c r="K1416" s="22"/>
      <c r="L1416" s="22"/>
      <c r="M1416" s="22"/>
      <c r="N1416" s="22"/>
      <c r="O1416" s="22"/>
      <c r="P1416" s="22"/>
      <c r="Q1416" s="22"/>
      <c r="R1416" s="22"/>
      <c r="S1416" s="22"/>
      <c r="T1416" s="22"/>
      <c r="U1416" s="22"/>
      <c r="V1416" s="22"/>
      <c r="W1416" s="22"/>
      <c r="X1416" s="22"/>
      <c r="Y1416" s="22"/>
      <c r="Z1416" s="22"/>
      <c r="AA1416" s="22"/>
      <c r="AB1416" s="22"/>
      <c r="AC1416" s="22"/>
      <c r="AD1416" s="22"/>
      <c r="AE1416" s="22"/>
      <c r="AF1416" s="22"/>
      <c r="AG1416" s="22"/>
      <c r="AH1416" s="22"/>
      <c r="AI1416" s="22"/>
      <c r="AJ1416" s="22"/>
      <c r="AK1416" s="22"/>
      <c r="AL1416" s="22"/>
      <c r="AM1416" s="22"/>
      <c r="AN1416" s="22"/>
      <c r="AO1416" s="22"/>
    </row>
    <row r="1417" ht="15.75" customHeight="1">
      <c r="A1417" s="22"/>
      <c r="B1417" s="22"/>
      <c r="C1417" s="22"/>
      <c r="D1417" s="22"/>
      <c r="E1417" s="22"/>
      <c r="F1417" s="22"/>
      <c r="G1417" s="130"/>
      <c r="H1417" s="22"/>
      <c r="I1417" s="22"/>
      <c r="J1417" s="22"/>
      <c r="K1417" s="22"/>
      <c r="L1417" s="22"/>
      <c r="M1417" s="22"/>
      <c r="N1417" s="22"/>
      <c r="O1417" s="22"/>
      <c r="P1417" s="22"/>
      <c r="Q1417" s="22"/>
      <c r="R1417" s="22"/>
      <c r="S1417" s="22"/>
      <c r="T1417" s="22"/>
      <c r="U1417" s="22"/>
      <c r="V1417" s="22"/>
      <c r="W1417" s="22"/>
      <c r="X1417" s="22"/>
      <c r="Y1417" s="22"/>
      <c r="Z1417" s="22"/>
      <c r="AA1417" s="22"/>
      <c r="AB1417" s="22"/>
      <c r="AC1417" s="22"/>
      <c r="AD1417" s="22"/>
      <c r="AE1417" s="22"/>
      <c r="AF1417" s="22"/>
      <c r="AG1417" s="22"/>
      <c r="AH1417" s="22"/>
      <c r="AI1417" s="22"/>
      <c r="AJ1417" s="22"/>
      <c r="AK1417" s="22"/>
      <c r="AL1417" s="22"/>
      <c r="AM1417" s="22"/>
      <c r="AN1417" s="22"/>
      <c r="AO1417" s="22"/>
    </row>
    <row r="1418" ht="15.75" customHeight="1">
      <c r="A1418" s="22"/>
      <c r="B1418" s="22"/>
      <c r="C1418" s="22"/>
      <c r="D1418" s="22"/>
      <c r="E1418" s="22"/>
      <c r="F1418" s="22"/>
      <c r="G1418" s="130"/>
      <c r="H1418" s="22"/>
      <c r="I1418" s="22"/>
      <c r="J1418" s="22"/>
      <c r="K1418" s="22"/>
      <c r="L1418" s="22"/>
      <c r="M1418" s="22"/>
      <c r="N1418" s="22"/>
      <c r="O1418" s="22"/>
      <c r="P1418" s="22"/>
      <c r="Q1418" s="22"/>
      <c r="R1418" s="22"/>
      <c r="S1418" s="22"/>
      <c r="T1418" s="22"/>
      <c r="U1418" s="22"/>
      <c r="V1418" s="22"/>
      <c r="W1418" s="22"/>
      <c r="X1418" s="22"/>
      <c r="Y1418" s="22"/>
      <c r="Z1418" s="22"/>
      <c r="AA1418" s="22"/>
      <c r="AB1418" s="22"/>
      <c r="AC1418" s="22"/>
      <c r="AD1418" s="22"/>
      <c r="AE1418" s="22"/>
      <c r="AF1418" s="22"/>
      <c r="AG1418" s="22"/>
      <c r="AH1418" s="22"/>
      <c r="AI1418" s="22"/>
      <c r="AJ1418" s="22"/>
      <c r="AK1418" s="22"/>
      <c r="AL1418" s="22"/>
      <c r="AM1418" s="22"/>
      <c r="AN1418" s="22"/>
      <c r="AO1418" s="22"/>
    </row>
    <row r="1419" ht="15.75" customHeight="1">
      <c r="A1419" s="22"/>
      <c r="B1419" s="22"/>
      <c r="C1419" s="22"/>
      <c r="D1419" s="22"/>
      <c r="E1419" s="22"/>
      <c r="F1419" s="22"/>
      <c r="G1419" s="130"/>
      <c r="H1419" s="22"/>
      <c r="I1419" s="22"/>
      <c r="J1419" s="22"/>
      <c r="K1419" s="22"/>
      <c r="L1419" s="22"/>
      <c r="M1419" s="22"/>
      <c r="N1419" s="22"/>
      <c r="O1419" s="22"/>
      <c r="P1419" s="22"/>
      <c r="Q1419" s="22"/>
      <c r="R1419" s="22"/>
      <c r="S1419" s="22"/>
      <c r="T1419" s="22"/>
      <c r="U1419" s="22"/>
      <c r="V1419" s="22"/>
      <c r="W1419" s="22"/>
      <c r="X1419" s="22"/>
      <c r="Y1419" s="22"/>
      <c r="Z1419" s="22"/>
      <c r="AA1419" s="22"/>
      <c r="AB1419" s="22"/>
      <c r="AC1419" s="22"/>
      <c r="AD1419" s="22"/>
      <c r="AE1419" s="22"/>
      <c r="AF1419" s="22"/>
      <c r="AG1419" s="22"/>
      <c r="AH1419" s="22"/>
      <c r="AI1419" s="22"/>
      <c r="AJ1419" s="22"/>
      <c r="AK1419" s="22"/>
      <c r="AL1419" s="22"/>
      <c r="AM1419" s="22"/>
      <c r="AN1419" s="22"/>
      <c r="AO1419" s="22"/>
    </row>
    <row r="1420" ht="15.75" customHeight="1">
      <c r="A1420" s="22"/>
      <c r="B1420" s="22"/>
      <c r="C1420" s="22"/>
      <c r="D1420" s="22"/>
      <c r="E1420" s="22"/>
      <c r="F1420" s="22"/>
      <c r="G1420" s="130"/>
      <c r="H1420" s="22"/>
      <c r="I1420" s="22"/>
      <c r="J1420" s="22"/>
      <c r="K1420" s="22"/>
      <c r="L1420" s="22"/>
      <c r="M1420" s="22"/>
      <c r="N1420" s="22"/>
      <c r="O1420" s="22"/>
      <c r="P1420" s="22"/>
      <c r="Q1420" s="22"/>
      <c r="R1420" s="22"/>
      <c r="S1420" s="22"/>
      <c r="T1420" s="22"/>
      <c r="U1420" s="22"/>
      <c r="V1420" s="22"/>
      <c r="W1420" s="22"/>
      <c r="X1420" s="22"/>
      <c r="Y1420" s="22"/>
      <c r="Z1420" s="22"/>
      <c r="AA1420" s="22"/>
      <c r="AB1420" s="22"/>
      <c r="AC1420" s="22"/>
      <c r="AD1420" s="22"/>
      <c r="AE1420" s="22"/>
      <c r="AF1420" s="22"/>
      <c r="AG1420" s="22"/>
      <c r="AH1420" s="22"/>
      <c r="AI1420" s="22"/>
      <c r="AJ1420" s="22"/>
      <c r="AK1420" s="22"/>
      <c r="AL1420" s="22"/>
      <c r="AM1420" s="22"/>
      <c r="AN1420" s="22"/>
      <c r="AO1420" s="22"/>
    </row>
    <row r="1421" ht="15.75" customHeight="1">
      <c r="A1421" s="22"/>
      <c r="B1421" s="22"/>
      <c r="C1421" s="22"/>
      <c r="D1421" s="22"/>
      <c r="E1421" s="22"/>
      <c r="F1421" s="22"/>
      <c r="G1421" s="130"/>
      <c r="H1421" s="22"/>
      <c r="I1421" s="22"/>
      <c r="J1421" s="22"/>
      <c r="K1421" s="22"/>
      <c r="L1421" s="22"/>
      <c r="M1421" s="22"/>
      <c r="N1421" s="22"/>
      <c r="O1421" s="22"/>
      <c r="P1421" s="22"/>
      <c r="Q1421" s="22"/>
      <c r="R1421" s="22"/>
      <c r="S1421" s="22"/>
      <c r="T1421" s="22"/>
      <c r="U1421" s="22"/>
      <c r="V1421" s="22"/>
      <c r="W1421" s="22"/>
      <c r="X1421" s="22"/>
      <c r="Y1421" s="22"/>
      <c r="Z1421" s="22"/>
      <c r="AA1421" s="22"/>
      <c r="AB1421" s="22"/>
      <c r="AC1421" s="22"/>
      <c r="AD1421" s="22"/>
      <c r="AE1421" s="22"/>
      <c r="AF1421" s="22"/>
      <c r="AG1421" s="22"/>
      <c r="AH1421" s="22"/>
      <c r="AI1421" s="22"/>
      <c r="AJ1421" s="22"/>
      <c r="AK1421" s="22"/>
      <c r="AL1421" s="22"/>
      <c r="AM1421" s="22"/>
      <c r="AN1421" s="22"/>
      <c r="AO1421" s="22"/>
    </row>
    <row r="1422" ht="15.75" customHeight="1">
      <c r="A1422" s="22"/>
      <c r="B1422" s="22"/>
      <c r="C1422" s="22"/>
      <c r="D1422" s="22"/>
      <c r="E1422" s="22"/>
      <c r="F1422" s="22"/>
      <c r="G1422" s="130"/>
      <c r="H1422" s="22"/>
      <c r="I1422" s="22"/>
      <c r="J1422" s="22"/>
      <c r="K1422" s="22"/>
      <c r="L1422" s="22"/>
      <c r="M1422" s="22"/>
      <c r="N1422" s="22"/>
      <c r="O1422" s="22"/>
      <c r="P1422" s="22"/>
      <c r="Q1422" s="22"/>
      <c r="R1422" s="22"/>
      <c r="S1422" s="22"/>
      <c r="T1422" s="22"/>
      <c r="U1422" s="22"/>
      <c r="V1422" s="22"/>
      <c r="W1422" s="22"/>
      <c r="X1422" s="22"/>
      <c r="Y1422" s="22"/>
      <c r="Z1422" s="22"/>
      <c r="AA1422" s="22"/>
      <c r="AB1422" s="22"/>
      <c r="AC1422" s="22"/>
      <c r="AD1422" s="22"/>
      <c r="AE1422" s="22"/>
      <c r="AF1422" s="22"/>
      <c r="AG1422" s="22"/>
      <c r="AH1422" s="22"/>
      <c r="AI1422" s="22"/>
      <c r="AJ1422" s="22"/>
      <c r="AK1422" s="22"/>
      <c r="AL1422" s="22"/>
      <c r="AM1422" s="22"/>
      <c r="AN1422" s="22"/>
      <c r="AO1422" s="22"/>
    </row>
    <row r="1423" ht="15.75" customHeight="1">
      <c r="A1423" s="22"/>
      <c r="B1423" s="22"/>
      <c r="C1423" s="22"/>
      <c r="D1423" s="22"/>
      <c r="E1423" s="22"/>
      <c r="F1423" s="22"/>
      <c r="G1423" s="130"/>
      <c r="H1423" s="22"/>
      <c r="I1423" s="22"/>
      <c r="J1423" s="22"/>
      <c r="K1423" s="22"/>
      <c r="L1423" s="22"/>
      <c r="M1423" s="22"/>
      <c r="N1423" s="22"/>
      <c r="O1423" s="22"/>
      <c r="P1423" s="22"/>
      <c r="Q1423" s="22"/>
      <c r="R1423" s="22"/>
      <c r="S1423" s="22"/>
      <c r="T1423" s="22"/>
      <c r="U1423" s="22"/>
      <c r="V1423" s="22"/>
      <c r="W1423" s="22"/>
      <c r="X1423" s="22"/>
      <c r="Y1423" s="22"/>
      <c r="Z1423" s="22"/>
      <c r="AA1423" s="22"/>
      <c r="AB1423" s="22"/>
      <c r="AC1423" s="22"/>
      <c r="AD1423" s="22"/>
      <c r="AE1423" s="22"/>
      <c r="AF1423" s="22"/>
      <c r="AG1423" s="22"/>
      <c r="AH1423" s="22"/>
      <c r="AI1423" s="22"/>
      <c r="AJ1423" s="22"/>
      <c r="AK1423" s="22"/>
      <c r="AL1423" s="22"/>
      <c r="AM1423" s="22"/>
      <c r="AN1423" s="22"/>
      <c r="AO1423" s="22"/>
    </row>
    <row r="1424" ht="15.75" customHeight="1">
      <c r="A1424" s="22"/>
      <c r="B1424" s="22"/>
      <c r="C1424" s="22"/>
      <c r="D1424" s="22"/>
      <c r="E1424" s="22"/>
      <c r="F1424" s="22"/>
      <c r="G1424" s="130"/>
      <c r="H1424" s="22"/>
      <c r="I1424" s="22"/>
      <c r="J1424" s="22"/>
      <c r="K1424" s="22"/>
      <c r="L1424" s="22"/>
      <c r="M1424" s="22"/>
      <c r="N1424" s="22"/>
      <c r="O1424" s="22"/>
      <c r="P1424" s="22"/>
      <c r="Q1424" s="22"/>
      <c r="R1424" s="22"/>
      <c r="S1424" s="22"/>
      <c r="T1424" s="22"/>
      <c r="U1424" s="22"/>
      <c r="V1424" s="22"/>
      <c r="W1424" s="22"/>
      <c r="X1424" s="22"/>
      <c r="Y1424" s="22"/>
      <c r="Z1424" s="22"/>
      <c r="AA1424" s="22"/>
      <c r="AB1424" s="22"/>
      <c r="AC1424" s="22"/>
      <c r="AD1424" s="22"/>
      <c r="AE1424" s="22"/>
      <c r="AF1424" s="22"/>
      <c r="AG1424" s="22"/>
      <c r="AH1424" s="22"/>
      <c r="AI1424" s="22"/>
      <c r="AJ1424" s="22"/>
      <c r="AK1424" s="22"/>
      <c r="AL1424" s="22"/>
      <c r="AM1424" s="22"/>
      <c r="AN1424" s="22"/>
      <c r="AO1424" s="22"/>
    </row>
    <row r="1425" ht="15.75" customHeight="1">
      <c r="A1425" s="22"/>
      <c r="B1425" s="22"/>
      <c r="C1425" s="22"/>
      <c r="D1425" s="22"/>
      <c r="E1425" s="22"/>
      <c r="F1425" s="22"/>
      <c r="G1425" s="130"/>
      <c r="H1425" s="22"/>
      <c r="I1425" s="22"/>
      <c r="J1425" s="22"/>
      <c r="K1425" s="22"/>
      <c r="L1425" s="22"/>
      <c r="M1425" s="22"/>
      <c r="N1425" s="22"/>
      <c r="O1425" s="22"/>
      <c r="P1425" s="22"/>
      <c r="Q1425" s="22"/>
      <c r="R1425" s="22"/>
      <c r="S1425" s="22"/>
      <c r="T1425" s="22"/>
      <c r="U1425" s="22"/>
      <c r="V1425" s="22"/>
      <c r="W1425" s="22"/>
      <c r="X1425" s="22"/>
      <c r="Y1425" s="22"/>
      <c r="Z1425" s="22"/>
      <c r="AA1425" s="22"/>
      <c r="AB1425" s="22"/>
      <c r="AC1425" s="22"/>
      <c r="AD1425" s="22"/>
      <c r="AE1425" s="22"/>
      <c r="AF1425" s="22"/>
      <c r="AG1425" s="22"/>
      <c r="AH1425" s="22"/>
      <c r="AI1425" s="22"/>
      <c r="AJ1425" s="22"/>
      <c r="AK1425" s="22"/>
      <c r="AL1425" s="22"/>
      <c r="AM1425" s="22"/>
      <c r="AN1425" s="22"/>
      <c r="AO1425" s="22"/>
    </row>
    <row r="1426" ht="15.75" customHeight="1">
      <c r="A1426" s="22"/>
      <c r="B1426" s="22"/>
      <c r="C1426" s="22"/>
      <c r="D1426" s="22"/>
      <c r="E1426" s="22"/>
      <c r="F1426" s="22"/>
      <c r="G1426" s="130"/>
      <c r="H1426" s="22"/>
      <c r="I1426" s="22"/>
      <c r="J1426" s="22"/>
      <c r="K1426" s="22"/>
      <c r="L1426" s="22"/>
      <c r="M1426" s="22"/>
      <c r="N1426" s="22"/>
      <c r="O1426" s="22"/>
      <c r="P1426" s="22"/>
      <c r="Q1426" s="22"/>
      <c r="R1426" s="22"/>
      <c r="S1426" s="22"/>
      <c r="T1426" s="22"/>
      <c r="U1426" s="22"/>
      <c r="V1426" s="22"/>
      <c r="W1426" s="22"/>
      <c r="X1426" s="22"/>
      <c r="Y1426" s="22"/>
      <c r="Z1426" s="22"/>
      <c r="AA1426" s="22"/>
      <c r="AB1426" s="22"/>
      <c r="AC1426" s="22"/>
      <c r="AD1426" s="22"/>
      <c r="AE1426" s="22"/>
      <c r="AF1426" s="22"/>
      <c r="AG1426" s="22"/>
      <c r="AH1426" s="22"/>
      <c r="AI1426" s="22"/>
      <c r="AJ1426" s="22"/>
      <c r="AK1426" s="22"/>
      <c r="AL1426" s="22"/>
      <c r="AM1426" s="22"/>
      <c r="AN1426" s="22"/>
      <c r="AO1426" s="22"/>
    </row>
    <row r="1427" ht="15.75" customHeight="1">
      <c r="A1427" s="22"/>
      <c r="B1427" s="22"/>
      <c r="C1427" s="22"/>
      <c r="D1427" s="22"/>
      <c r="E1427" s="22"/>
      <c r="F1427" s="22"/>
      <c r="G1427" s="130"/>
      <c r="H1427" s="22"/>
      <c r="I1427" s="22"/>
      <c r="J1427" s="22"/>
      <c r="K1427" s="22"/>
      <c r="L1427" s="22"/>
      <c r="M1427" s="22"/>
      <c r="N1427" s="22"/>
      <c r="O1427" s="22"/>
      <c r="P1427" s="22"/>
      <c r="Q1427" s="22"/>
      <c r="R1427" s="22"/>
      <c r="S1427" s="22"/>
      <c r="T1427" s="22"/>
      <c r="U1427" s="22"/>
      <c r="V1427" s="22"/>
      <c r="W1427" s="22"/>
      <c r="X1427" s="22"/>
      <c r="Y1427" s="22"/>
      <c r="Z1427" s="22"/>
      <c r="AA1427" s="22"/>
      <c r="AB1427" s="22"/>
      <c r="AC1427" s="22"/>
      <c r="AD1427" s="22"/>
      <c r="AE1427" s="22"/>
      <c r="AF1427" s="22"/>
      <c r="AG1427" s="22"/>
      <c r="AH1427" s="22"/>
      <c r="AI1427" s="22"/>
      <c r="AJ1427" s="22"/>
      <c r="AK1427" s="22"/>
      <c r="AL1427" s="22"/>
      <c r="AM1427" s="22"/>
      <c r="AN1427" s="22"/>
      <c r="AO1427" s="22"/>
    </row>
    <row r="1428" ht="15.75" customHeight="1">
      <c r="A1428" s="22"/>
      <c r="B1428" s="22"/>
      <c r="C1428" s="22"/>
      <c r="D1428" s="22"/>
      <c r="E1428" s="22"/>
      <c r="F1428" s="22"/>
      <c r="G1428" s="130"/>
      <c r="H1428" s="22"/>
      <c r="I1428" s="22"/>
      <c r="J1428" s="22"/>
      <c r="K1428" s="22"/>
      <c r="L1428" s="22"/>
      <c r="M1428" s="22"/>
      <c r="N1428" s="22"/>
      <c r="O1428" s="22"/>
      <c r="P1428" s="22"/>
      <c r="Q1428" s="22"/>
      <c r="R1428" s="22"/>
      <c r="S1428" s="22"/>
      <c r="T1428" s="22"/>
      <c r="U1428" s="22"/>
      <c r="V1428" s="22"/>
      <c r="W1428" s="22"/>
      <c r="X1428" s="22"/>
      <c r="Y1428" s="22"/>
      <c r="Z1428" s="22"/>
      <c r="AA1428" s="22"/>
      <c r="AB1428" s="22"/>
      <c r="AC1428" s="22"/>
      <c r="AD1428" s="22"/>
      <c r="AE1428" s="22"/>
      <c r="AF1428" s="22"/>
      <c r="AG1428" s="22"/>
      <c r="AH1428" s="22"/>
      <c r="AI1428" s="22"/>
      <c r="AJ1428" s="22"/>
      <c r="AK1428" s="22"/>
      <c r="AL1428" s="22"/>
      <c r="AM1428" s="22"/>
      <c r="AN1428" s="22"/>
      <c r="AO1428" s="22"/>
    </row>
    <row r="1429" ht="15.75" customHeight="1">
      <c r="A1429" s="22"/>
      <c r="B1429" s="22"/>
      <c r="C1429" s="22"/>
      <c r="D1429" s="22"/>
      <c r="E1429" s="22"/>
      <c r="F1429" s="22"/>
      <c r="G1429" s="130"/>
      <c r="H1429" s="22"/>
      <c r="I1429" s="22"/>
      <c r="J1429" s="22"/>
      <c r="K1429" s="22"/>
      <c r="L1429" s="22"/>
      <c r="M1429" s="22"/>
      <c r="N1429" s="22"/>
      <c r="O1429" s="22"/>
      <c r="P1429" s="22"/>
      <c r="Q1429" s="22"/>
      <c r="R1429" s="22"/>
      <c r="S1429" s="22"/>
      <c r="T1429" s="22"/>
      <c r="U1429" s="22"/>
      <c r="V1429" s="22"/>
      <c r="W1429" s="22"/>
      <c r="X1429" s="22"/>
      <c r="Y1429" s="22"/>
      <c r="Z1429" s="22"/>
      <c r="AA1429" s="22"/>
      <c r="AB1429" s="22"/>
      <c r="AC1429" s="22"/>
      <c r="AD1429" s="22"/>
      <c r="AE1429" s="22"/>
      <c r="AF1429" s="22"/>
      <c r="AG1429" s="22"/>
      <c r="AH1429" s="22"/>
      <c r="AI1429" s="22"/>
      <c r="AJ1429" s="22"/>
      <c r="AK1429" s="22"/>
      <c r="AL1429" s="22"/>
      <c r="AM1429" s="22"/>
      <c r="AN1429" s="22"/>
      <c r="AO1429" s="22"/>
    </row>
    <row r="1430" ht="15.75" customHeight="1">
      <c r="A1430" s="22"/>
      <c r="B1430" s="22"/>
      <c r="C1430" s="22"/>
      <c r="D1430" s="22"/>
      <c r="E1430" s="22"/>
      <c r="F1430" s="22"/>
      <c r="G1430" s="130"/>
      <c r="H1430" s="22"/>
      <c r="I1430" s="22"/>
      <c r="J1430" s="22"/>
      <c r="K1430" s="22"/>
      <c r="L1430" s="22"/>
      <c r="M1430" s="22"/>
      <c r="N1430" s="22"/>
      <c r="O1430" s="22"/>
      <c r="P1430" s="22"/>
      <c r="Q1430" s="22"/>
      <c r="R1430" s="22"/>
      <c r="S1430" s="22"/>
      <c r="T1430" s="22"/>
      <c r="U1430" s="22"/>
      <c r="V1430" s="22"/>
      <c r="W1430" s="22"/>
      <c r="X1430" s="22"/>
      <c r="Y1430" s="22"/>
      <c r="Z1430" s="22"/>
      <c r="AA1430" s="22"/>
      <c r="AB1430" s="22"/>
      <c r="AC1430" s="22"/>
      <c r="AD1430" s="22"/>
      <c r="AE1430" s="22"/>
      <c r="AF1430" s="22"/>
      <c r="AG1430" s="22"/>
      <c r="AH1430" s="22"/>
      <c r="AI1430" s="22"/>
      <c r="AJ1430" s="22"/>
      <c r="AK1430" s="22"/>
      <c r="AL1430" s="22"/>
      <c r="AM1430" s="22"/>
      <c r="AN1430" s="22"/>
      <c r="AO1430" s="22"/>
    </row>
    <row r="1431" ht="15.75" customHeight="1">
      <c r="A1431" s="22"/>
      <c r="B1431" s="22"/>
      <c r="C1431" s="22"/>
      <c r="D1431" s="22"/>
      <c r="E1431" s="22"/>
      <c r="F1431" s="22"/>
      <c r="G1431" s="130"/>
      <c r="H1431" s="22"/>
      <c r="I1431" s="22"/>
      <c r="J1431" s="22"/>
      <c r="K1431" s="22"/>
      <c r="L1431" s="22"/>
      <c r="M1431" s="22"/>
      <c r="N1431" s="22"/>
      <c r="O1431" s="22"/>
      <c r="P1431" s="22"/>
      <c r="Q1431" s="22"/>
      <c r="R1431" s="22"/>
      <c r="S1431" s="22"/>
      <c r="T1431" s="22"/>
      <c r="U1431" s="22"/>
      <c r="V1431" s="22"/>
      <c r="W1431" s="22"/>
      <c r="X1431" s="22"/>
      <c r="Y1431" s="22"/>
      <c r="Z1431" s="22"/>
      <c r="AA1431" s="22"/>
      <c r="AB1431" s="22"/>
      <c r="AC1431" s="22"/>
      <c r="AD1431" s="22"/>
      <c r="AE1431" s="22"/>
      <c r="AF1431" s="22"/>
      <c r="AG1431" s="22"/>
      <c r="AH1431" s="22"/>
      <c r="AI1431" s="22"/>
      <c r="AJ1431" s="22"/>
      <c r="AK1431" s="22"/>
      <c r="AL1431" s="22"/>
      <c r="AM1431" s="22"/>
      <c r="AN1431" s="22"/>
      <c r="AO1431" s="22"/>
    </row>
    <row r="1432" ht="15.75" customHeight="1">
      <c r="A1432" s="22"/>
      <c r="B1432" s="22"/>
      <c r="C1432" s="22"/>
      <c r="D1432" s="22"/>
      <c r="E1432" s="22"/>
      <c r="F1432" s="22"/>
      <c r="G1432" s="130"/>
      <c r="H1432" s="22"/>
      <c r="I1432" s="22"/>
      <c r="J1432" s="22"/>
      <c r="K1432" s="22"/>
      <c r="L1432" s="22"/>
      <c r="M1432" s="22"/>
      <c r="N1432" s="22"/>
      <c r="O1432" s="22"/>
      <c r="P1432" s="22"/>
      <c r="Q1432" s="22"/>
      <c r="R1432" s="22"/>
      <c r="S1432" s="22"/>
      <c r="T1432" s="22"/>
      <c r="U1432" s="22"/>
      <c r="V1432" s="22"/>
      <c r="W1432" s="22"/>
      <c r="X1432" s="22"/>
      <c r="Y1432" s="22"/>
      <c r="Z1432" s="22"/>
      <c r="AA1432" s="22"/>
      <c r="AB1432" s="22"/>
      <c r="AC1432" s="22"/>
      <c r="AD1432" s="22"/>
      <c r="AE1432" s="22"/>
      <c r="AF1432" s="22"/>
      <c r="AG1432" s="22"/>
      <c r="AH1432" s="22"/>
      <c r="AI1432" s="22"/>
      <c r="AJ1432" s="22"/>
      <c r="AK1432" s="22"/>
      <c r="AL1432" s="22"/>
      <c r="AM1432" s="22"/>
      <c r="AN1432" s="22"/>
      <c r="AO1432" s="22"/>
    </row>
    <row r="1433" ht="15.75" customHeight="1">
      <c r="A1433" s="22"/>
      <c r="B1433" s="22"/>
      <c r="C1433" s="22"/>
      <c r="D1433" s="22"/>
      <c r="E1433" s="22"/>
      <c r="F1433" s="22"/>
      <c r="G1433" s="130"/>
      <c r="H1433" s="22"/>
      <c r="I1433" s="22"/>
      <c r="J1433" s="22"/>
      <c r="K1433" s="22"/>
      <c r="L1433" s="22"/>
      <c r="M1433" s="22"/>
      <c r="N1433" s="22"/>
      <c r="O1433" s="22"/>
      <c r="P1433" s="22"/>
      <c r="Q1433" s="22"/>
      <c r="R1433" s="22"/>
      <c r="S1433" s="22"/>
      <c r="T1433" s="22"/>
      <c r="U1433" s="22"/>
      <c r="V1433" s="22"/>
      <c r="W1433" s="22"/>
      <c r="X1433" s="22"/>
      <c r="Y1433" s="22"/>
      <c r="Z1433" s="22"/>
      <c r="AA1433" s="22"/>
      <c r="AB1433" s="22"/>
      <c r="AC1433" s="22"/>
      <c r="AD1433" s="22"/>
      <c r="AE1433" s="22"/>
      <c r="AF1433" s="22"/>
      <c r="AG1433" s="22"/>
      <c r="AH1433" s="22"/>
      <c r="AI1433" s="22"/>
      <c r="AJ1433" s="22"/>
      <c r="AK1433" s="22"/>
      <c r="AL1433" s="22"/>
      <c r="AM1433" s="22"/>
      <c r="AN1433" s="22"/>
      <c r="AO1433" s="22"/>
    </row>
    <row r="1434" ht="15.75" customHeight="1">
      <c r="A1434" s="22"/>
      <c r="B1434" s="22"/>
      <c r="C1434" s="22"/>
      <c r="D1434" s="22"/>
      <c r="E1434" s="22"/>
      <c r="F1434" s="22"/>
      <c r="G1434" s="130"/>
      <c r="H1434" s="22"/>
      <c r="I1434" s="22"/>
      <c r="J1434" s="22"/>
      <c r="K1434" s="22"/>
      <c r="L1434" s="22"/>
      <c r="M1434" s="22"/>
      <c r="N1434" s="22"/>
      <c r="O1434" s="22"/>
      <c r="P1434" s="22"/>
      <c r="Q1434" s="22"/>
      <c r="R1434" s="22"/>
      <c r="S1434" s="22"/>
      <c r="T1434" s="22"/>
      <c r="U1434" s="22"/>
      <c r="V1434" s="22"/>
      <c r="W1434" s="22"/>
      <c r="X1434" s="22"/>
      <c r="Y1434" s="22"/>
      <c r="Z1434" s="22"/>
      <c r="AA1434" s="22"/>
      <c r="AB1434" s="22"/>
      <c r="AC1434" s="22"/>
      <c r="AD1434" s="22"/>
      <c r="AE1434" s="22"/>
      <c r="AF1434" s="22"/>
      <c r="AG1434" s="22"/>
      <c r="AH1434" s="22"/>
      <c r="AI1434" s="22"/>
      <c r="AJ1434" s="22"/>
      <c r="AK1434" s="22"/>
      <c r="AL1434" s="22"/>
      <c r="AM1434" s="22"/>
      <c r="AN1434" s="22"/>
      <c r="AO1434" s="22"/>
    </row>
    <row r="1435" ht="15.75" customHeight="1">
      <c r="A1435" s="22"/>
      <c r="B1435" s="22"/>
      <c r="C1435" s="22"/>
      <c r="D1435" s="22"/>
      <c r="E1435" s="22"/>
      <c r="F1435" s="22"/>
      <c r="G1435" s="130"/>
      <c r="H1435" s="22"/>
      <c r="I1435" s="22"/>
      <c r="J1435" s="22"/>
      <c r="K1435" s="22"/>
      <c r="L1435" s="22"/>
      <c r="M1435" s="22"/>
      <c r="N1435" s="22"/>
      <c r="O1435" s="22"/>
      <c r="P1435" s="22"/>
      <c r="Q1435" s="22"/>
      <c r="R1435" s="22"/>
      <c r="S1435" s="22"/>
      <c r="T1435" s="22"/>
      <c r="U1435" s="22"/>
      <c r="V1435" s="22"/>
      <c r="W1435" s="22"/>
      <c r="X1435" s="22"/>
      <c r="Y1435" s="22"/>
      <c r="Z1435" s="22"/>
      <c r="AA1435" s="22"/>
      <c r="AB1435" s="22"/>
      <c r="AC1435" s="22"/>
      <c r="AD1435" s="22"/>
      <c r="AE1435" s="22"/>
      <c r="AF1435" s="22"/>
      <c r="AG1435" s="22"/>
      <c r="AH1435" s="22"/>
      <c r="AI1435" s="22"/>
      <c r="AJ1435" s="22"/>
      <c r="AK1435" s="22"/>
      <c r="AL1435" s="22"/>
      <c r="AM1435" s="22"/>
      <c r="AN1435" s="22"/>
      <c r="AO1435" s="22"/>
    </row>
    <row r="1436" ht="15.75" customHeight="1">
      <c r="A1436" s="22"/>
      <c r="B1436" s="22"/>
      <c r="C1436" s="22"/>
      <c r="D1436" s="22"/>
      <c r="E1436" s="22"/>
      <c r="F1436" s="22"/>
      <c r="G1436" s="130"/>
      <c r="H1436" s="22"/>
      <c r="I1436" s="22"/>
      <c r="J1436" s="22"/>
      <c r="K1436" s="22"/>
      <c r="L1436" s="22"/>
      <c r="M1436" s="22"/>
      <c r="N1436" s="22"/>
      <c r="O1436" s="22"/>
      <c r="P1436" s="22"/>
      <c r="Q1436" s="22"/>
      <c r="R1436" s="22"/>
      <c r="S1436" s="22"/>
      <c r="T1436" s="22"/>
      <c r="U1436" s="22"/>
      <c r="V1436" s="22"/>
      <c r="W1436" s="22"/>
      <c r="X1436" s="22"/>
      <c r="Y1436" s="22"/>
      <c r="Z1436" s="22"/>
      <c r="AA1436" s="22"/>
      <c r="AB1436" s="22"/>
      <c r="AC1436" s="22"/>
      <c r="AD1436" s="22"/>
      <c r="AE1436" s="22"/>
      <c r="AF1436" s="22"/>
      <c r="AG1436" s="22"/>
      <c r="AH1436" s="22"/>
      <c r="AI1436" s="22"/>
      <c r="AJ1436" s="22"/>
      <c r="AK1436" s="22"/>
      <c r="AL1436" s="22"/>
      <c r="AM1436" s="22"/>
      <c r="AN1436" s="22"/>
      <c r="AO1436" s="22"/>
    </row>
    <row r="1437" ht="15.75" customHeight="1">
      <c r="A1437" s="22"/>
      <c r="B1437" s="22"/>
      <c r="C1437" s="22"/>
      <c r="D1437" s="22"/>
      <c r="E1437" s="22"/>
      <c r="F1437" s="22"/>
      <c r="G1437" s="130"/>
      <c r="H1437" s="22"/>
      <c r="I1437" s="22"/>
      <c r="J1437" s="22"/>
      <c r="K1437" s="22"/>
      <c r="L1437" s="22"/>
      <c r="M1437" s="22"/>
      <c r="N1437" s="22"/>
      <c r="O1437" s="22"/>
      <c r="P1437" s="22"/>
      <c r="Q1437" s="22"/>
      <c r="R1437" s="22"/>
      <c r="S1437" s="22"/>
      <c r="T1437" s="22"/>
      <c r="U1437" s="22"/>
      <c r="V1437" s="22"/>
      <c r="W1437" s="22"/>
      <c r="X1437" s="22"/>
      <c r="Y1437" s="22"/>
      <c r="Z1437" s="22"/>
      <c r="AA1437" s="22"/>
      <c r="AB1437" s="22"/>
      <c r="AC1437" s="22"/>
      <c r="AD1437" s="22"/>
      <c r="AE1437" s="22"/>
      <c r="AF1437" s="22"/>
      <c r="AG1437" s="22"/>
      <c r="AH1437" s="22"/>
      <c r="AI1437" s="22"/>
      <c r="AJ1437" s="22"/>
      <c r="AK1437" s="22"/>
      <c r="AL1437" s="22"/>
      <c r="AM1437" s="22"/>
      <c r="AN1437" s="22"/>
      <c r="AO1437" s="22"/>
    </row>
    <row r="1438" ht="15.75" customHeight="1">
      <c r="A1438" s="22"/>
      <c r="B1438" s="22"/>
      <c r="C1438" s="22"/>
      <c r="D1438" s="22"/>
      <c r="E1438" s="22"/>
      <c r="F1438" s="22"/>
      <c r="G1438" s="130"/>
      <c r="H1438" s="22"/>
      <c r="I1438" s="22"/>
      <c r="J1438" s="22"/>
      <c r="K1438" s="22"/>
      <c r="L1438" s="22"/>
      <c r="M1438" s="22"/>
      <c r="N1438" s="22"/>
      <c r="O1438" s="22"/>
      <c r="P1438" s="22"/>
      <c r="Q1438" s="22"/>
      <c r="R1438" s="22"/>
      <c r="S1438" s="22"/>
      <c r="T1438" s="22"/>
      <c r="U1438" s="22"/>
      <c r="V1438" s="22"/>
      <c r="W1438" s="22"/>
      <c r="X1438" s="22"/>
      <c r="Y1438" s="22"/>
      <c r="Z1438" s="22"/>
      <c r="AA1438" s="22"/>
      <c r="AB1438" s="22"/>
      <c r="AC1438" s="22"/>
      <c r="AD1438" s="22"/>
      <c r="AE1438" s="22"/>
      <c r="AF1438" s="22"/>
      <c r="AG1438" s="22"/>
      <c r="AH1438" s="22"/>
      <c r="AI1438" s="22"/>
      <c r="AJ1438" s="22"/>
      <c r="AK1438" s="22"/>
      <c r="AL1438" s="22"/>
      <c r="AM1438" s="22"/>
      <c r="AN1438" s="22"/>
      <c r="AO1438" s="22"/>
    </row>
    <row r="1439" ht="15.75" customHeight="1">
      <c r="A1439" s="22"/>
      <c r="B1439" s="22"/>
      <c r="C1439" s="22"/>
      <c r="D1439" s="22"/>
      <c r="E1439" s="22"/>
      <c r="F1439" s="22"/>
      <c r="G1439" s="130"/>
      <c r="H1439" s="22"/>
      <c r="I1439" s="22"/>
      <c r="J1439" s="22"/>
      <c r="K1439" s="22"/>
      <c r="L1439" s="22"/>
      <c r="M1439" s="22"/>
      <c r="N1439" s="22"/>
      <c r="O1439" s="22"/>
      <c r="P1439" s="22"/>
      <c r="Q1439" s="22"/>
      <c r="R1439" s="22"/>
      <c r="S1439" s="22"/>
      <c r="T1439" s="22"/>
      <c r="U1439" s="22"/>
      <c r="V1439" s="22"/>
      <c r="W1439" s="22"/>
      <c r="X1439" s="22"/>
      <c r="Y1439" s="22"/>
      <c r="Z1439" s="22"/>
      <c r="AA1439" s="22"/>
      <c r="AB1439" s="22"/>
      <c r="AC1439" s="22"/>
      <c r="AD1439" s="22"/>
      <c r="AE1439" s="22"/>
      <c r="AF1439" s="22"/>
      <c r="AG1439" s="22"/>
      <c r="AH1439" s="22"/>
      <c r="AI1439" s="22"/>
      <c r="AJ1439" s="22"/>
      <c r="AK1439" s="22"/>
      <c r="AL1439" s="22"/>
      <c r="AM1439" s="22"/>
      <c r="AN1439" s="22"/>
      <c r="AO1439" s="22"/>
    </row>
    <row r="1440" ht="15.75" customHeight="1">
      <c r="A1440" s="22"/>
      <c r="B1440" s="22"/>
      <c r="C1440" s="22"/>
      <c r="D1440" s="22"/>
      <c r="E1440" s="22"/>
      <c r="F1440" s="22"/>
      <c r="G1440" s="130"/>
      <c r="H1440" s="22"/>
      <c r="I1440" s="22"/>
      <c r="J1440" s="22"/>
      <c r="K1440" s="22"/>
      <c r="L1440" s="22"/>
      <c r="M1440" s="22"/>
      <c r="N1440" s="22"/>
      <c r="O1440" s="22"/>
      <c r="P1440" s="22"/>
      <c r="Q1440" s="22"/>
      <c r="R1440" s="22"/>
      <c r="S1440" s="22"/>
      <c r="T1440" s="22"/>
      <c r="U1440" s="22"/>
      <c r="V1440" s="22"/>
      <c r="W1440" s="22"/>
      <c r="X1440" s="22"/>
      <c r="Y1440" s="22"/>
      <c r="Z1440" s="22"/>
      <c r="AA1440" s="22"/>
      <c r="AB1440" s="22"/>
      <c r="AC1440" s="22"/>
      <c r="AD1440" s="22"/>
      <c r="AE1440" s="22"/>
      <c r="AF1440" s="22"/>
      <c r="AG1440" s="22"/>
      <c r="AH1440" s="22"/>
      <c r="AI1440" s="22"/>
      <c r="AJ1440" s="22"/>
      <c r="AK1440" s="22"/>
      <c r="AL1440" s="22"/>
      <c r="AM1440" s="22"/>
      <c r="AN1440" s="22"/>
      <c r="AO1440" s="22"/>
    </row>
    <row r="1441" ht="15.75" customHeight="1">
      <c r="A1441" s="22"/>
      <c r="B1441" s="22"/>
      <c r="C1441" s="22"/>
      <c r="D1441" s="22"/>
      <c r="E1441" s="22"/>
      <c r="F1441" s="22"/>
      <c r="G1441" s="130"/>
      <c r="H1441" s="22"/>
      <c r="I1441" s="22"/>
      <c r="J1441" s="22"/>
      <c r="K1441" s="22"/>
      <c r="L1441" s="22"/>
      <c r="M1441" s="22"/>
      <c r="N1441" s="22"/>
      <c r="O1441" s="22"/>
      <c r="P1441" s="22"/>
      <c r="Q1441" s="22"/>
      <c r="R1441" s="22"/>
      <c r="S1441" s="22"/>
      <c r="T1441" s="22"/>
      <c r="U1441" s="22"/>
      <c r="V1441" s="22"/>
      <c r="W1441" s="22"/>
      <c r="X1441" s="22"/>
      <c r="Y1441" s="22"/>
      <c r="Z1441" s="22"/>
      <c r="AA1441" s="22"/>
      <c r="AB1441" s="22"/>
      <c r="AC1441" s="22"/>
      <c r="AD1441" s="22"/>
      <c r="AE1441" s="22"/>
      <c r="AF1441" s="22"/>
      <c r="AG1441" s="22"/>
      <c r="AH1441" s="22"/>
      <c r="AI1441" s="22"/>
      <c r="AJ1441" s="22"/>
      <c r="AK1441" s="22"/>
      <c r="AL1441" s="22"/>
      <c r="AM1441" s="22"/>
      <c r="AN1441" s="22"/>
      <c r="AO1441" s="22"/>
    </row>
    <row r="1442" ht="15.75" customHeight="1">
      <c r="A1442" s="22"/>
      <c r="B1442" s="22"/>
      <c r="C1442" s="22"/>
      <c r="D1442" s="22"/>
      <c r="E1442" s="22"/>
      <c r="F1442" s="22"/>
      <c r="G1442" s="130"/>
      <c r="H1442" s="22"/>
      <c r="I1442" s="22"/>
      <c r="J1442" s="22"/>
      <c r="K1442" s="22"/>
      <c r="L1442" s="22"/>
      <c r="M1442" s="22"/>
      <c r="N1442" s="22"/>
      <c r="O1442" s="22"/>
      <c r="P1442" s="22"/>
      <c r="Q1442" s="22"/>
      <c r="R1442" s="22"/>
      <c r="S1442" s="22"/>
      <c r="T1442" s="22"/>
      <c r="U1442" s="22"/>
      <c r="V1442" s="22"/>
      <c r="W1442" s="22"/>
      <c r="X1442" s="22"/>
      <c r="Y1442" s="22"/>
      <c r="Z1442" s="22"/>
      <c r="AA1442" s="22"/>
      <c r="AB1442" s="22"/>
      <c r="AC1442" s="22"/>
      <c r="AD1442" s="22"/>
      <c r="AE1442" s="22"/>
      <c r="AF1442" s="22"/>
      <c r="AG1442" s="22"/>
      <c r="AH1442" s="22"/>
      <c r="AI1442" s="22"/>
      <c r="AJ1442" s="22"/>
      <c r="AK1442" s="22"/>
      <c r="AL1442" s="22"/>
      <c r="AM1442" s="22"/>
      <c r="AN1442" s="22"/>
      <c r="AO1442" s="22"/>
    </row>
    <row r="1443" ht="15.75" customHeight="1">
      <c r="A1443" s="22"/>
      <c r="B1443" s="22"/>
      <c r="C1443" s="22"/>
      <c r="D1443" s="22"/>
      <c r="E1443" s="22"/>
      <c r="F1443" s="22"/>
      <c r="G1443" s="130"/>
      <c r="H1443" s="22"/>
      <c r="I1443" s="22"/>
      <c r="J1443" s="22"/>
      <c r="K1443" s="22"/>
      <c r="L1443" s="22"/>
      <c r="M1443" s="22"/>
      <c r="N1443" s="22"/>
      <c r="O1443" s="22"/>
      <c r="P1443" s="22"/>
      <c r="Q1443" s="22"/>
      <c r="R1443" s="22"/>
      <c r="S1443" s="22"/>
      <c r="T1443" s="22"/>
      <c r="U1443" s="22"/>
      <c r="V1443" s="22"/>
      <c r="W1443" s="22"/>
      <c r="X1443" s="22"/>
      <c r="Y1443" s="22"/>
      <c r="Z1443" s="22"/>
      <c r="AA1443" s="22"/>
      <c r="AB1443" s="22"/>
      <c r="AC1443" s="22"/>
      <c r="AD1443" s="22"/>
      <c r="AE1443" s="22"/>
      <c r="AF1443" s="22"/>
      <c r="AG1443" s="22"/>
      <c r="AH1443" s="22"/>
      <c r="AI1443" s="22"/>
      <c r="AJ1443" s="22"/>
      <c r="AK1443" s="22"/>
      <c r="AL1443" s="22"/>
      <c r="AM1443" s="22"/>
      <c r="AN1443" s="22"/>
      <c r="AO1443" s="22"/>
    </row>
    <row r="1444" ht="15.75" customHeight="1">
      <c r="A1444" s="22"/>
      <c r="B1444" s="22"/>
      <c r="C1444" s="22"/>
      <c r="D1444" s="22"/>
      <c r="E1444" s="22"/>
      <c r="F1444" s="22"/>
      <c r="G1444" s="130"/>
      <c r="H1444" s="22"/>
      <c r="I1444" s="22"/>
      <c r="J1444" s="22"/>
      <c r="K1444" s="22"/>
      <c r="L1444" s="22"/>
      <c r="M1444" s="22"/>
      <c r="N1444" s="22"/>
      <c r="O1444" s="22"/>
      <c r="P1444" s="22"/>
      <c r="Q1444" s="22"/>
      <c r="R1444" s="22"/>
      <c r="S1444" s="22"/>
      <c r="T1444" s="22"/>
      <c r="U1444" s="22"/>
      <c r="V1444" s="22"/>
      <c r="W1444" s="22"/>
      <c r="X1444" s="22"/>
      <c r="Y1444" s="22"/>
      <c r="Z1444" s="22"/>
      <c r="AA1444" s="22"/>
      <c r="AB1444" s="22"/>
      <c r="AC1444" s="22"/>
      <c r="AD1444" s="22"/>
      <c r="AE1444" s="22"/>
      <c r="AF1444" s="22"/>
      <c r="AG1444" s="22"/>
      <c r="AH1444" s="22"/>
      <c r="AI1444" s="22"/>
      <c r="AJ1444" s="22"/>
      <c r="AK1444" s="22"/>
      <c r="AL1444" s="22"/>
      <c r="AM1444" s="22"/>
      <c r="AN1444" s="22"/>
      <c r="AO1444" s="22"/>
    </row>
    <row r="1445" ht="15.75" customHeight="1">
      <c r="A1445" s="22"/>
      <c r="B1445" s="22"/>
      <c r="C1445" s="22"/>
      <c r="D1445" s="22"/>
      <c r="E1445" s="22"/>
      <c r="F1445" s="22"/>
      <c r="G1445" s="130"/>
      <c r="H1445" s="22"/>
      <c r="I1445" s="22"/>
      <c r="J1445" s="22"/>
      <c r="K1445" s="22"/>
      <c r="L1445" s="22"/>
      <c r="M1445" s="22"/>
      <c r="N1445" s="22"/>
      <c r="O1445" s="22"/>
      <c r="P1445" s="22"/>
      <c r="Q1445" s="22"/>
      <c r="R1445" s="22"/>
      <c r="S1445" s="22"/>
      <c r="T1445" s="22"/>
      <c r="U1445" s="22"/>
      <c r="V1445" s="22"/>
      <c r="W1445" s="22"/>
      <c r="X1445" s="22"/>
      <c r="Y1445" s="22"/>
      <c r="Z1445" s="22"/>
      <c r="AA1445" s="22"/>
      <c r="AB1445" s="22"/>
      <c r="AC1445" s="22"/>
      <c r="AD1445" s="22"/>
      <c r="AE1445" s="22"/>
      <c r="AF1445" s="22"/>
      <c r="AG1445" s="22"/>
      <c r="AH1445" s="22"/>
      <c r="AI1445" s="22"/>
      <c r="AJ1445" s="22"/>
      <c r="AK1445" s="22"/>
      <c r="AL1445" s="22"/>
      <c r="AM1445" s="22"/>
      <c r="AN1445" s="22"/>
      <c r="AO1445" s="22"/>
    </row>
    <row r="1446" ht="15.75" customHeight="1">
      <c r="A1446" s="22"/>
      <c r="B1446" s="22"/>
      <c r="C1446" s="22"/>
      <c r="D1446" s="22"/>
      <c r="E1446" s="22"/>
      <c r="F1446" s="22"/>
      <c r="G1446" s="130"/>
      <c r="H1446" s="22"/>
      <c r="I1446" s="22"/>
      <c r="J1446" s="22"/>
      <c r="K1446" s="22"/>
      <c r="L1446" s="22"/>
      <c r="M1446" s="22"/>
      <c r="N1446" s="22"/>
      <c r="O1446" s="22"/>
      <c r="P1446" s="22"/>
      <c r="Q1446" s="22"/>
      <c r="R1446" s="22"/>
      <c r="S1446" s="22"/>
      <c r="T1446" s="22"/>
      <c r="U1446" s="22"/>
      <c r="V1446" s="22"/>
      <c r="W1446" s="22"/>
      <c r="X1446" s="22"/>
      <c r="Y1446" s="22"/>
      <c r="Z1446" s="22"/>
      <c r="AA1446" s="22"/>
      <c r="AB1446" s="22"/>
      <c r="AC1446" s="22"/>
      <c r="AD1446" s="22"/>
      <c r="AE1446" s="22"/>
      <c r="AF1446" s="22"/>
      <c r="AG1446" s="22"/>
      <c r="AH1446" s="22"/>
      <c r="AI1446" s="22"/>
      <c r="AJ1446" s="22"/>
      <c r="AK1446" s="22"/>
      <c r="AL1446" s="22"/>
      <c r="AM1446" s="22"/>
      <c r="AN1446" s="22"/>
      <c r="AO1446" s="22"/>
    </row>
    <row r="1447" ht="15.75" customHeight="1">
      <c r="A1447" s="22"/>
      <c r="B1447" s="22"/>
      <c r="C1447" s="22"/>
      <c r="D1447" s="22"/>
      <c r="E1447" s="22"/>
      <c r="F1447" s="22"/>
      <c r="G1447" s="130"/>
      <c r="H1447" s="22"/>
      <c r="I1447" s="22"/>
      <c r="J1447" s="22"/>
      <c r="K1447" s="22"/>
      <c r="L1447" s="22"/>
      <c r="M1447" s="22"/>
      <c r="N1447" s="22"/>
      <c r="O1447" s="22"/>
      <c r="P1447" s="22"/>
      <c r="Q1447" s="22"/>
      <c r="R1447" s="22"/>
      <c r="S1447" s="22"/>
      <c r="T1447" s="22"/>
      <c r="U1447" s="22"/>
      <c r="V1447" s="22"/>
      <c r="W1447" s="22"/>
      <c r="X1447" s="22"/>
      <c r="Y1447" s="22"/>
      <c r="Z1447" s="22"/>
      <c r="AA1447" s="22"/>
      <c r="AB1447" s="22"/>
      <c r="AC1447" s="22"/>
      <c r="AD1447" s="22"/>
      <c r="AE1447" s="22"/>
      <c r="AF1447" s="22"/>
      <c r="AG1447" s="22"/>
      <c r="AH1447" s="22"/>
      <c r="AI1447" s="22"/>
      <c r="AJ1447" s="22"/>
      <c r="AK1447" s="22"/>
      <c r="AL1447" s="22"/>
      <c r="AM1447" s="22"/>
      <c r="AN1447" s="22"/>
      <c r="AO1447" s="22"/>
    </row>
    <row r="1448" ht="15.75" customHeight="1">
      <c r="A1448" s="22"/>
      <c r="B1448" s="22"/>
      <c r="C1448" s="22"/>
      <c r="D1448" s="22"/>
      <c r="E1448" s="22"/>
      <c r="F1448" s="22"/>
      <c r="G1448" s="130"/>
      <c r="H1448" s="22"/>
      <c r="I1448" s="22"/>
      <c r="J1448" s="22"/>
      <c r="K1448" s="22"/>
      <c r="L1448" s="22"/>
      <c r="M1448" s="22"/>
      <c r="N1448" s="22"/>
      <c r="O1448" s="22"/>
      <c r="P1448" s="22"/>
      <c r="Q1448" s="22"/>
      <c r="R1448" s="22"/>
      <c r="S1448" s="22"/>
      <c r="T1448" s="22"/>
      <c r="U1448" s="22"/>
      <c r="V1448" s="22"/>
      <c r="W1448" s="22"/>
      <c r="X1448" s="22"/>
      <c r="Y1448" s="22"/>
      <c r="Z1448" s="22"/>
      <c r="AA1448" s="22"/>
      <c r="AB1448" s="22"/>
      <c r="AC1448" s="22"/>
      <c r="AD1448" s="22"/>
      <c r="AE1448" s="22"/>
      <c r="AF1448" s="22"/>
      <c r="AG1448" s="22"/>
      <c r="AH1448" s="22"/>
      <c r="AI1448" s="22"/>
      <c r="AJ1448" s="22"/>
      <c r="AK1448" s="22"/>
      <c r="AL1448" s="22"/>
      <c r="AM1448" s="22"/>
      <c r="AN1448" s="22"/>
      <c r="AO1448" s="22"/>
    </row>
    <row r="1449" ht="15.75" customHeight="1">
      <c r="A1449" s="22"/>
      <c r="B1449" s="22"/>
      <c r="C1449" s="22"/>
      <c r="D1449" s="22"/>
      <c r="E1449" s="22"/>
      <c r="F1449" s="22"/>
      <c r="G1449" s="130"/>
      <c r="H1449" s="22"/>
      <c r="I1449" s="22"/>
      <c r="J1449" s="22"/>
      <c r="K1449" s="22"/>
      <c r="L1449" s="22"/>
      <c r="M1449" s="22"/>
      <c r="N1449" s="22"/>
      <c r="O1449" s="22"/>
      <c r="P1449" s="22"/>
      <c r="Q1449" s="22"/>
      <c r="R1449" s="22"/>
      <c r="S1449" s="22"/>
      <c r="T1449" s="22"/>
      <c r="U1449" s="22"/>
      <c r="V1449" s="22"/>
      <c r="W1449" s="22"/>
      <c r="X1449" s="22"/>
      <c r="Y1449" s="22"/>
      <c r="Z1449" s="22"/>
      <c r="AA1449" s="22"/>
      <c r="AB1449" s="22"/>
      <c r="AC1449" s="22"/>
      <c r="AD1449" s="22"/>
      <c r="AE1449" s="22"/>
      <c r="AF1449" s="22"/>
      <c r="AG1449" s="22"/>
      <c r="AH1449" s="22"/>
      <c r="AI1449" s="22"/>
      <c r="AJ1449" s="22"/>
      <c r="AK1449" s="22"/>
      <c r="AL1449" s="22"/>
      <c r="AM1449" s="22"/>
      <c r="AN1449" s="22"/>
      <c r="AO1449" s="22"/>
    </row>
    <row r="1450" ht="15.75" customHeight="1">
      <c r="A1450" s="22"/>
      <c r="B1450" s="22"/>
      <c r="C1450" s="22"/>
      <c r="D1450" s="22"/>
      <c r="E1450" s="22"/>
      <c r="F1450" s="22"/>
      <c r="G1450" s="130"/>
      <c r="H1450" s="22"/>
      <c r="I1450" s="22"/>
      <c r="J1450" s="22"/>
      <c r="K1450" s="22"/>
      <c r="L1450" s="22"/>
      <c r="M1450" s="22"/>
      <c r="N1450" s="22"/>
      <c r="O1450" s="22"/>
      <c r="P1450" s="22"/>
      <c r="Q1450" s="22"/>
      <c r="R1450" s="22"/>
      <c r="S1450" s="22"/>
      <c r="T1450" s="22"/>
      <c r="U1450" s="22"/>
      <c r="V1450" s="22"/>
      <c r="W1450" s="22"/>
      <c r="X1450" s="22"/>
      <c r="Y1450" s="22"/>
      <c r="Z1450" s="22"/>
      <c r="AA1450" s="22"/>
      <c r="AB1450" s="22"/>
      <c r="AC1450" s="22"/>
      <c r="AD1450" s="22"/>
      <c r="AE1450" s="22"/>
      <c r="AF1450" s="22"/>
      <c r="AG1450" s="22"/>
      <c r="AH1450" s="22"/>
      <c r="AI1450" s="22"/>
      <c r="AJ1450" s="22"/>
      <c r="AK1450" s="22"/>
      <c r="AL1450" s="22"/>
      <c r="AM1450" s="22"/>
      <c r="AN1450" s="22"/>
      <c r="AO1450" s="22"/>
    </row>
    <row r="1451" ht="15.75" customHeight="1">
      <c r="A1451" s="22"/>
      <c r="B1451" s="22"/>
      <c r="C1451" s="22"/>
      <c r="D1451" s="22"/>
      <c r="E1451" s="22"/>
      <c r="F1451" s="22"/>
      <c r="G1451" s="130"/>
      <c r="H1451" s="22"/>
      <c r="I1451" s="22"/>
      <c r="J1451" s="22"/>
      <c r="K1451" s="22"/>
      <c r="L1451" s="22"/>
      <c r="M1451" s="22"/>
      <c r="N1451" s="22"/>
      <c r="O1451" s="22"/>
      <c r="P1451" s="22"/>
      <c r="Q1451" s="22"/>
      <c r="R1451" s="22"/>
      <c r="S1451" s="22"/>
      <c r="T1451" s="22"/>
      <c r="U1451" s="22"/>
      <c r="V1451" s="22"/>
      <c r="W1451" s="22"/>
      <c r="X1451" s="22"/>
      <c r="Y1451" s="22"/>
      <c r="Z1451" s="22"/>
      <c r="AA1451" s="22"/>
      <c r="AB1451" s="22"/>
      <c r="AC1451" s="22"/>
      <c r="AD1451" s="22"/>
      <c r="AE1451" s="22"/>
      <c r="AF1451" s="22"/>
      <c r="AG1451" s="22"/>
      <c r="AH1451" s="22"/>
      <c r="AI1451" s="22"/>
      <c r="AJ1451" s="22"/>
      <c r="AK1451" s="22"/>
      <c r="AL1451" s="22"/>
      <c r="AM1451" s="22"/>
      <c r="AN1451" s="22"/>
      <c r="AO1451" s="22"/>
    </row>
    <row r="1452" ht="15.75" customHeight="1">
      <c r="A1452" s="22"/>
      <c r="B1452" s="22"/>
      <c r="C1452" s="22"/>
      <c r="D1452" s="22"/>
      <c r="E1452" s="22"/>
      <c r="F1452" s="22"/>
      <c r="G1452" s="130"/>
      <c r="H1452" s="22"/>
      <c r="I1452" s="22"/>
      <c r="J1452" s="22"/>
      <c r="K1452" s="22"/>
      <c r="L1452" s="22"/>
      <c r="M1452" s="22"/>
      <c r="N1452" s="22"/>
      <c r="O1452" s="22"/>
      <c r="P1452" s="22"/>
      <c r="Q1452" s="22"/>
      <c r="R1452" s="22"/>
      <c r="S1452" s="22"/>
      <c r="T1452" s="22"/>
      <c r="U1452" s="22"/>
      <c r="V1452" s="22"/>
      <c r="W1452" s="22"/>
      <c r="X1452" s="22"/>
      <c r="Y1452" s="22"/>
      <c r="Z1452" s="22"/>
      <c r="AA1452" s="22"/>
      <c r="AB1452" s="22"/>
      <c r="AC1452" s="22"/>
      <c r="AD1452" s="22"/>
      <c r="AE1452" s="22"/>
      <c r="AF1452" s="22"/>
      <c r="AG1452" s="22"/>
      <c r="AH1452" s="22"/>
      <c r="AI1452" s="22"/>
      <c r="AJ1452" s="22"/>
      <c r="AK1452" s="22"/>
      <c r="AL1452" s="22"/>
      <c r="AM1452" s="22"/>
      <c r="AN1452" s="22"/>
      <c r="AO1452" s="22"/>
    </row>
    <row r="1453" ht="15.75" customHeight="1">
      <c r="A1453" s="22"/>
      <c r="B1453" s="22"/>
      <c r="C1453" s="22"/>
      <c r="D1453" s="22"/>
      <c r="E1453" s="22"/>
      <c r="F1453" s="22"/>
      <c r="G1453" s="130"/>
      <c r="H1453" s="22"/>
      <c r="I1453" s="22"/>
      <c r="J1453" s="22"/>
      <c r="K1453" s="22"/>
      <c r="L1453" s="22"/>
      <c r="M1453" s="22"/>
      <c r="N1453" s="22"/>
      <c r="O1453" s="22"/>
      <c r="P1453" s="22"/>
      <c r="Q1453" s="22"/>
      <c r="R1453" s="22"/>
      <c r="S1453" s="22"/>
      <c r="T1453" s="22"/>
      <c r="U1453" s="22"/>
      <c r="V1453" s="22"/>
      <c r="W1453" s="22"/>
      <c r="X1453" s="22"/>
      <c r="Y1453" s="22"/>
      <c r="Z1453" s="22"/>
      <c r="AA1453" s="22"/>
      <c r="AB1453" s="22"/>
      <c r="AC1453" s="22"/>
      <c r="AD1453" s="22"/>
      <c r="AE1453" s="22"/>
      <c r="AF1453" s="22"/>
      <c r="AG1453" s="22"/>
      <c r="AH1453" s="22"/>
      <c r="AI1453" s="22"/>
      <c r="AJ1453" s="22"/>
      <c r="AK1453" s="22"/>
      <c r="AL1453" s="22"/>
      <c r="AM1453" s="22"/>
      <c r="AN1453" s="22"/>
      <c r="AO1453" s="22"/>
    </row>
    <row r="1454" ht="15.75" customHeight="1">
      <c r="A1454" s="22"/>
      <c r="B1454" s="22"/>
      <c r="C1454" s="22"/>
      <c r="D1454" s="22"/>
      <c r="E1454" s="22"/>
      <c r="F1454" s="22"/>
      <c r="G1454" s="130"/>
      <c r="H1454" s="22"/>
      <c r="I1454" s="22"/>
      <c r="J1454" s="22"/>
      <c r="K1454" s="22"/>
      <c r="L1454" s="22"/>
      <c r="M1454" s="22"/>
      <c r="N1454" s="22"/>
      <c r="O1454" s="22"/>
      <c r="P1454" s="22"/>
      <c r="Q1454" s="22"/>
      <c r="R1454" s="22"/>
      <c r="S1454" s="22"/>
      <c r="T1454" s="22"/>
      <c r="U1454" s="22"/>
      <c r="V1454" s="22"/>
      <c r="W1454" s="22"/>
      <c r="X1454" s="22"/>
      <c r="Y1454" s="22"/>
      <c r="Z1454" s="22"/>
      <c r="AA1454" s="22"/>
      <c r="AB1454" s="22"/>
      <c r="AC1454" s="22"/>
      <c r="AD1454" s="22"/>
      <c r="AE1454" s="22"/>
      <c r="AF1454" s="22"/>
      <c r="AG1454" s="22"/>
      <c r="AH1454" s="22"/>
      <c r="AI1454" s="22"/>
      <c r="AJ1454" s="22"/>
      <c r="AK1454" s="22"/>
      <c r="AL1454" s="22"/>
      <c r="AM1454" s="22"/>
      <c r="AN1454" s="22"/>
      <c r="AO1454" s="22"/>
    </row>
    <row r="1455" ht="15.75" customHeight="1">
      <c r="A1455" s="22"/>
      <c r="B1455" s="22"/>
      <c r="C1455" s="22"/>
      <c r="D1455" s="22"/>
      <c r="E1455" s="22"/>
      <c r="F1455" s="22"/>
      <c r="G1455" s="130"/>
      <c r="H1455" s="22"/>
      <c r="I1455" s="22"/>
      <c r="J1455" s="22"/>
      <c r="K1455" s="22"/>
      <c r="L1455" s="22"/>
      <c r="M1455" s="22"/>
      <c r="N1455" s="22"/>
      <c r="O1455" s="22"/>
      <c r="P1455" s="22"/>
      <c r="Q1455" s="22"/>
      <c r="R1455" s="22"/>
      <c r="S1455" s="22"/>
      <c r="T1455" s="22"/>
      <c r="U1455" s="22"/>
      <c r="V1455" s="22"/>
      <c r="W1455" s="22"/>
      <c r="X1455" s="22"/>
      <c r="Y1455" s="22"/>
      <c r="Z1455" s="22"/>
      <c r="AA1455" s="22"/>
      <c r="AB1455" s="22"/>
      <c r="AC1455" s="22"/>
      <c r="AD1455" s="22"/>
      <c r="AE1455" s="22"/>
      <c r="AF1455" s="22"/>
      <c r="AG1455" s="22"/>
      <c r="AH1455" s="22"/>
      <c r="AI1455" s="22"/>
      <c r="AJ1455" s="22"/>
      <c r="AK1455" s="22"/>
      <c r="AL1455" s="22"/>
      <c r="AM1455" s="22"/>
      <c r="AN1455" s="22"/>
      <c r="AO1455" s="22"/>
    </row>
    <row r="1456" ht="15.75" customHeight="1">
      <c r="A1456" s="22"/>
      <c r="B1456" s="22"/>
      <c r="C1456" s="22"/>
      <c r="D1456" s="22"/>
      <c r="E1456" s="22"/>
      <c r="F1456" s="22"/>
      <c r="G1456" s="130"/>
      <c r="H1456" s="22"/>
      <c r="I1456" s="22"/>
      <c r="J1456" s="22"/>
      <c r="K1456" s="22"/>
      <c r="L1456" s="22"/>
      <c r="M1456" s="22"/>
      <c r="N1456" s="22"/>
      <c r="O1456" s="22"/>
      <c r="P1456" s="22"/>
      <c r="Q1456" s="22"/>
      <c r="R1456" s="22"/>
      <c r="S1456" s="22"/>
      <c r="T1456" s="22"/>
      <c r="U1456" s="22"/>
      <c r="V1456" s="22"/>
      <c r="W1456" s="22"/>
      <c r="X1456" s="22"/>
      <c r="Y1456" s="22"/>
      <c r="Z1456" s="22"/>
      <c r="AA1456" s="22"/>
      <c r="AB1456" s="22"/>
      <c r="AC1456" s="22"/>
      <c r="AD1456" s="22"/>
      <c r="AE1456" s="22"/>
      <c r="AF1456" s="22"/>
      <c r="AG1456" s="22"/>
      <c r="AH1456" s="22"/>
      <c r="AI1456" s="22"/>
      <c r="AJ1456" s="22"/>
      <c r="AK1456" s="22"/>
      <c r="AL1456" s="22"/>
      <c r="AM1456" s="22"/>
      <c r="AN1456" s="22"/>
      <c r="AO1456" s="22"/>
    </row>
    <row r="1457" ht="15.75" customHeight="1">
      <c r="A1457" s="22"/>
      <c r="B1457" s="22"/>
      <c r="C1457" s="22"/>
      <c r="D1457" s="22"/>
      <c r="E1457" s="22"/>
      <c r="F1457" s="22"/>
      <c r="G1457" s="130"/>
      <c r="H1457" s="22"/>
      <c r="I1457" s="22"/>
      <c r="J1457" s="22"/>
      <c r="K1457" s="22"/>
      <c r="L1457" s="22"/>
      <c r="M1457" s="22"/>
      <c r="N1457" s="22"/>
      <c r="O1457" s="22"/>
      <c r="P1457" s="22"/>
      <c r="Q1457" s="22"/>
      <c r="R1457" s="22"/>
      <c r="S1457" s="22"/>
      <c r="T1457" s="22"/>
      <c r="U1457" s="22"/>
      <c r="V1457" s="22"/>
      <c r="W1457" s="22"/>
      <c r="X1457" s="22"/>
      <c r="Y1457" s="22"/>
      <c r="Z1457" s="22"/>
      <c r="AA1457" s="22"/>
      <c r="AB1457" s="22"/>
      <c r="AC1457" s="22"/>
      <c r="AD1457" s="22"/>
      <c r="AE1457" s="22"/>
      <c r="AF1457" s="22"/>
      <c r="AG1457" s="22"/>
      <c r="AH1457" s="22"/>
      <c r="AI1457" s="22"/>
      <c r="AJ1457" s="22"/>
      <c r="AK1457" s="22"/>
      <c r="AL1457" s="22"/>
      <c r="AM1457" s="22"/>
      <c r="AN1457" s="22"/>
      <c r="AO1457" s="22"/>
    </row>
    <row r="1458" ht="15.75" customHeight="1">
      <c r="A1458" s="22"/>
      <c r="B1458" s="22"/>
      <c r="C1458" s="22"/>
      <c r="D1458" s="22"/>
      <c r="E1458" s="22"/>
      <c r="F1458" s="22"/>
      <c r="G1458" s="130"/>
      <c r="H1458" s="22"/>
      <c r="I1458" s="22"/>
      <c r="J1458" s="22"/>
      <c r="K1458" s="22"/>
      <c r="L1458" s="22"/>
      <c r="M1458" s="22"/>
      <c r="N1458" s="22"/>
      <c r="O1458" s="22"/>
      <c r="P1458" s="22"/>
      <c r="Q1458" s="22"/>
      <c r="R1458" s="22"/>
      <c r="S1458" s="22"/>
      <c r="T1458" s="22"/>
      <c r="U1458" s="22"/>
      <c r="V1458" s="22"/>
      <c r="W1458" s="22"/>
      <c r="X1458" s="22"/>
      <c r="Y1458" s="22"/>
      <c r="Z1458" s="22"/>
      <c r="AA1458" s="22"/>
      <c r="AB1458" s="22"/>
      <c r="AC1458" s="22"/>
      <c r="AD1458" s="22"/>
      <c r="AE1458" s="22"/>
      <c r="AF1458" s="22"/>
      <c r="AG1458" s="22"/>
      <c r="AH1458" s="22"/>
      <c r="AI1458" s="22"/>
      <c r="AJ1458" s="22"/>
      <c r="AK1458" s="22"/>
      <c r="AL1458" s="22"/>
      <c r="AM1458" s="22"/>
      <c r="AN1458" s="22"/>
      <c r="AO1458" s="22"/>
    </row>
    <row r="1459" ht="15.75" customHeight="1">
      <c r="A1459" s="22"/>
      <c r="B1459" s="22"/>
      <c r="C1459" s="22"/>
      <c r="D1459" s="22"/>
      <c r="E1459" s="22"/>
      <c r="F1459" s="22"/>
      <c r="G1459" s="130"/>
      <c r="H1459" s="22"/>
      <c r="I1459" s="22"/>
      <c r="J1459" s="22"/>
      <c r="K1459" s="22"/>
      <c r="L1459" s="22"/>
      <c r="M1459" s="22"/>
      <c r="N1459" s="22"/>
      <c r="O1459" s="22"/>
      <c r="P1459" s="22"/>
      <c r="Q1459" s="22"/>
      <c r="R1459" s="22"/>
      <c r="S1459" s="22"/>
      <c r="T1459" s="22"/>
      <c r="U1459" s="22"/>
      <c r="V1459" s="22"/>
      <c r="W1459" s="22"/>
      <c r="X1459" s="22"/>
      <c r="Y1459" s="22"/>
      <c r="Z1459" s="22"/>
      <c r="AA1459" s="22"/>
      <c r="AB1459" s="22"/>
      <c r="AC1459" s="22"/>
      <c r="AD1459" s="22"/>
      <c r="AE1459" s="22"/>
      <c r="AF1459" s="22"/>
      <c r="AG1459" s="22"/>
      <c r="AH1459" s="22"/>
      <c r="AI1459" s="22"/>
      <c r="AJ1459" s="22"/>
      <c r="AK1459" s="22"/>
      <c r="AL1459" s="22"/>
      <c r="AM1459" s="22"/>
      <c r="AN1459" s="22"/>
      <c r="AO1459" s="22"/>
    </row>
    <row r="1460" ht="15.75" customHeight="1">
      <c r="A1460" s="22"/>
      <c r="B1460" s="22"/>
      <c r="C1460" s="22"/>
      <c r="D1460" s="22"/>
      <c r="E1460" s="22"/>
      <c r="F1460" s="22"/>
      <c r="G1460" s="130"/>
      <c r="H1460" s="22"/>
      <c r="I1460" s="22"/>
      <c r="J1460" s="22"/>
      <c r="K1460" s="22"/>
      <c r="L1460" s="22"/>
      <c r="M1460" s="22"/>
      <c r="N1460" s="22"/>
      <c r="O1460" s="22"/>
      <c r="P1460" s="22"/>
      <c r="Q1460" s="22"/>
      <c r="R1460" s="22"/>
      <c r="S1460" s="22"/>
      <c r="T1460" s="22"/>
      <c r="U1460" s="22"/>
      <c r="V1460" s="22"/>
      <c r="W1460" s="22"/>
      <c r="X1460" s="22"/>
      <c r="Y1460" s="22"/>
      <c r="Z1460" s="22"/>
      <c r="AA1460" s="22"/>
      <c r="AB1460" s="22"/>
      <c r="AC1460" s="22"/>
      <c r="AD1460" s="22"/>
      <c r="AE1460" s="22"/>
      <c r="AF1460" s="22"/>
      <c r="AG1460" s="22"/>
      <c r="AH1460" s="22"/>
      <c r="AI1460" s="22"/>
      <c r="AJ1460" s="22"/>
      <c r="AK1460" s="22"/>
      <c r="AL1460" s="22"/>
      <c r="AM1460" s="22"/>
      <c r="AN1460" s="22"/>
      <c r="AO1460" s="22"/>
    </row>
    <row r="1461" ht="15.75" customHeight="1">
      <c r="A1461" s="22"/>
      <c r="B1461" s="22"/>
      <c r="C1461" s="22"/>
      <c r="D1461" s="22"/>
      <c r="E1461" s="22"/>
      <c r="F1461" s="22"/>
      <c r="G1461" s="130"/>
      <c r="H1461" s="22"/>
      <c r="I1461" s="22"/>
      <c r="J1461" s="22"/>
      <c r="K1461" s="22"/>
      <c r="L1461" s="22"/>
      <c r="M1461" s="22"/>
      <c r="N1461" s="22"/>
      <c r="O1461" s="22"/>
      <c r="P1461" s="22"/>
      <c r="Q1461" s="22"/>
      <c r="R1461" s="22"/>
      <c r="S1461" s="22"/>
      <c r="T1461" s="22"/>
      <c r="U1461" s="22"/>
      <c r="V1461" s="22"/>
      <c r="W1461" s="22"/>
      <c r="X1461" s="22"/>
      <c r="Y1461" s="22"/>
      <c r="Z1461" s="22"/>
      <c r="AA1461" s="22"/>
      <c r="AB1461" s="22"/>
      <c r="AC1461" s="22"/>
      <c r="AD1461" s="22"/>
      <c r="AE1461" s="22"/>
      <c r="AF1461" s="22"/>
      <c r="AG1461" s="22"/>
      <c r="AH1461" s="22"/>
      <c r="AI1461" s="22"/>
      <c r="AJ1461" s="22"/>
      <c r="AK1461" s="22"/>
      <c r="AL1461" s="22"/>
      <c r="AM1461" s="22"/>
      <c r="AN1461" s="22"/>
      <c r="AO1461" s="22"/>
    </row>
    <row r="1462" ht="15.75" customHeight="1">
      <c r="A1462" s="22"/>
      <c r="B1462" s="22"/>
      <c r="C1462" s="22"/>
      <c r="D1462" s="22"/>
      <c r="E1462" s="22"/>
      <c r="F1462" s="22"/>
      <c r="G1462" s="130"/>
      <c r="H1462" s="22"/>
      <c r="I1462" s="22"/>
      <c r="J1462" s="22"/>
      <c r="K1462" s="22"/>
      <c r="L1462" s="22"/>
      <c r="M1462" s="22"/>
      <c r="N1462" s="22"/>
      <c r="O1462" s="22"/>
      <c r="P1462" s="22"/>
      <c r="Q1462" s="22"/>
      <c r="R1462" s="22"/>
      <c r="S1462" s="22"/>
      <c r="T1462" s="22"/>
      <c r="U1462" s="22"/>
      <c r="V1462" s="22"/>
      <c r="W1462" s="22"/>
      <c r="X1462" s="22"/>
      <c r="Y1462" s="22"/>
      <c r="Z1462" s="22"/>
      <c r="AA1462" s="22"/>
      <c r="AB1462" s="22"/>
      <c r="AC1462" s="22"/>
      <c r="AD1462" s="22"/>
      <c r="AE1462" s="22"/>
      <c r="AF1462" s="22"/>
      <c r="AG1462" s="22"/>
      <c r="AH1462" s="22"/>
      <c r="AI1462" s="22"/>
      <c r="AJ1462" s="22"/>
      <c r="AK1462" s="22"/>
      <c r="AL1462" s="22"/>
      <c r="AM1462" s="22"/>
      <c r="AN1462" s="22"/>
      <c r="AO1462" s="22"/>
    </row>
    <row r="1463" ht="15.75" customHeight="1">
      <c r="A1463" s="22"/>
      <c r="B1463" s="22"/>
      <c r="C1463" s="22"/>
      <c r="D1463" s="22"/>
      <c r="E1463" s="22"/>
      <c r="F1463" s="22"/>
      <c r="G1463" s="130"/>
      <c r="H1463" s="22"/>
      <c r="I1463" s="22"/>
      <c r="J1463" s="22"/>
      <c r="K1463" s="22"/>
      <c r="L1463" s="22"/>
      <c r="M1463" s="22"/>
      <c r="N1463" s="22"/>
      <c r="O1463" s="22"/>
      <c r="P1463" s="22"/>
      <c r="Q1463" s="22"/>
      <c r="R1463" s="22"/>
      <c r="S1463" s="22"/>
      <c r="T1463" s="22"/>
      <c r="U1463" s="22"/>
      <c r="V1463" s="22"/>
      <c r="W1463" s="22"/>
      <c r="X1463" s="22"/>
      <c r="Y1463" s="22"/>
      <c r="Z1463" s="22"/>
      <c r="AA1463" s="22"/>
      <c r="AB1463" s="22"/>
      <c r="AC1463" s="22"/>
      <c r="AD1463" s="22"/>
      <c r="AE1463" s="22"/>
      <c r="AF1463" s="22"/>
      <c r="AG1463" s="22"/>
      <c r="AH1463" s="22"/>
      <c r="AI1463" s="22"/>
      <c r="AJ1463" s="22"/>
      <c r="AK1463" s="22"/>
      <c r="AL1463" s="22"/>
      <c r="AM1463" s="22"/>
      <c r="AN1463" s="22"/>
      <c r="AO1463" s="22"/>
    </row>
    <row r="1464" ht="15.75" customHeight="1">
      <c r="A1464" s="22"/>
      <c r="B1464" s="22"/>
      <c r="C1464" s="22"/>
      <c r="D1464" s="22"/>
      <c r="E1464" s="22"/>
      <c r="F1464" s="22"/>
      <c r="G1464" s="130"/>
      <c r="H1464" s="22"/>
      <c r="I1464" s="22"/>
      <c r="J1464" s="22"/>
      <c r="K1464" s="22"/>
      <c r="L1464" s="22"/>
      <c r="M1464" s="22"/>
      <c r="N1464" s="22"/>
      <c r="O1464" s="22"/>
      <c r="P1464" s="22"/>
      <c r="Q1464" s="22"/>
      <c r="R1464" s="22"/>
      <c r="S1464" s="22"/>
      <c r="T1464" s="22"/>
      <c r="U1464" s="22"/>
      <c r="V1464" s="22"/>
      <c r="W1464" s="22"/>
      <c r="X1464" s="22"/>
      <c r="Y1464" s="22"/>
      <c r="Z1464" s="22"/>
      <c r="AA1464" s="22"/>
      <c r="AB1464" s="22"/>
      <c r="AC1464" s="22"/>
      <c r="AD1464" s="22"/>
      <c r="AE1464" s="22"/>
      <c r="AF1464" s="22"/>
      <c r="AG1464" s="22"/>
      <c r="AH1464" s="22"/>
      <c r="AI1464" s="22"/>
      <c r="AJ1464" s="22"/>
      <c r="AK1464" s="22"/>
      <c r="AL1464" s="22"/>
      <c r="AM1464" s="22"/>
      <c r="AN1464" s="22"/>
      <c r="AO1464" s="22"/>
    </row>
    <row r="1465" ht="15.75" customHeight="1">
      <c r="A1465" s="22"/>
      <c r="B1465" s="22"/>
      <c r="C1465" s="22"/>
      <c r="D1465" s="22"/>
      <c r="E1465" s="22"/>
      <c r="F1465" s="22"/>
      <c r="G1465" s="130"/>
      <c r="H1465" s="22"/>
      <c r="I1465" s="22"/>
      <c r="J1465" s="22"/>
      <c r="K1465" s="22"/>
      <c r="L1465" s="22"/>
      <c r="M1465" s="22"/>
      <c r="N1465" s="22"/>
      <c r="O1465" s="22"/>
      <c r="P1465" s="22"/>
      <c r="Q1465" s="22"/>
      <c r="R1465" s="22"/>
      <c r="S1465" s="22"/>
      <c r="T1465" s="22"/>
      <c r="U1465" s="22"/>
      <c r="V1465" s="22"/>
      <c r="W1465" s="22"/>
      <c r="X1465" s="22"/>
      <c r="Y1465" s="22"/>
      <c r="Z1465" s="22"/>
      <c r="AA1465" s="22"/>
      <c r="AB1465" s="22"/>
      <c r="AC1465" s="22"/>
      <c r="AD1465" s="22"/>
      <c r="AE1465" s="22"/>
      <c r="AF1465" s="22"/>
      <c r="AG1465" s="22"/>
      <c r="AH1465" s="22"/>
      <c r="AI1465" s="22"/>
      <c r="AJ1465" s="22"/>
      <c r="AK1465" s="22"/>
      <c r="AL1465" s="22"/>
      <c r="AM1465" s="22"/>
      <c r="AN1465" s="22"/>
      <c r="AO1465" s="22"/>
    </row>
    <row r="1466" ht="15.75" customHeight="1">
      <c r="A1466" s="22"/>
      <c r="B1466" s="22"/>
      <c r="C1466" s="22"/>
      <c r="D1466" s="22"/>
      <c r="E1466" s="22"/>
      <c r="F1466" s="22"/>
      <c r="G1466" s="130"/>
      <c r="H1466" s="22"/>
      <c r="I1466" s="22"/>
      <c r="J1466" s="22"/>
      <c r="K1466" s="22"/>
      <c r="L1466" s="22"/>
      <c r="M1466" s="22"/>
      <c r="N1466" s="22"/>
      <c r="O1466" s="22"/>
      <c r="P1466" s="22"/>
      <c r="Q1466" s="22"/>
      <c r="R1466" s="22"/>
      <c r="S1466" s="22"/>
      <c r="T1466" s="22"/>
      <c r="U1466" s="22"/>
      <c r="V1466" s="22"/>
      <c r="W1466" s="22"/>
      <c r="X1466" s="22"/>
      <c r="Y1466" s="22"/>
      <c r="Z1466" s="22"/>
      <c r="AA1466" s="22"/>
      <c r="AB1466" s="22"/>
      <c r="AC1466" s="22"/>
      <c r="AD1466" s="22"/>
      <c r="AE1466" s="22"/>
      <c r="AF1466" s="22"/>
      <c r="AG1466" s="22"/>
      <c r="AH1466" s="22"/>
      <c r="AI1466" s="22"/>
      <c r="AJ1466" s="22"/>
      <c r="AK1466" s="22"/>
      <c r="AL1466" s="22"/>
      <c r="AM1466" s="22"/>
      <c r="AN1466" s="22"/>
      <c r="AO1466" s="22"/>
    </row>
    <row r="1467" ht="15.75" customHeight="1">
      <c r="A1467" s="22"/>
      <c r="B1467" s="22"/>
      <c r="C1467" s="22"/>
      <c r="D1467" s="22"/>
      <c r="E1467" s="22"/>
      <c r="F1467" s="22"/>
      <c r="G1467" s="130"/>
      <c r="H1467" s="22"/>
      <c r="I1467" s="22"/>
      <c r="J1467" s="22"/>
      <c r="K1467" s="22"/>
      <c r="L1467" s="22"/>
      <c r="M1467" s="22"/>
      <c r="N1467" s="22"/>
      <c r="O1467" s="22"/>
      <c r="P1467" s="22"/>
      <c r="Q1467" s="22"/>
      <c r="R1467" s="22"/>
      <c r="S1467" s="22"/>
      <c r="T1467" s="22"/>
      <c r="U1467" s="22"/>
      <c r="V1467" s="22"/>
      <c r="W1467" s="22"/>
      <c r="X1467" s="22"/>
      <c r="Y1467" s="22"/>
      <c r="Z1467" s="22"/>
      <c r="AA1467" s="22"/>
      <c r="AB1467" s="22"/>
      <c r="AC1467" s="22"/>
      <c r="AD1467" s="22"/>
      <c r="AE1467" s="22"/>
      <c r="AF1467" s="22"/>
      <c r="AG1467" s="22"/>
      <c r="AH1467" s="22"/>
      <c r="AI1467" s="22"/>
      <c r="AJ1467" s="22"/>
      <c r="AK1467" s="22"/>
      <c r="AL1467" s="22"/>
      <c r="AM1467" s="22"/>
      <c r="AN1467" s="22"/>
      <c r="AO1467" s="22"/>
    </row>
    <row r="1468" ht="15.75" customHeight="1">
      <c r="A1468" s="22"/>
      <c r="B1468" s="22"/>
      <c r="C1468" s="22"/>
      <c r="D1468" s="22"/>
      <c r="E1468" s="22"/>
      <c r="F1468" s="22"/>
      <c r="G1468" s="130"/>
      <c r="H1468" s="22"/>
      <c r="I1468" s="22"/>
      <c r="J1468" s="22"/>
      <c r="K1468" s="22"/>
      <c r="L1468" s="22"/>
      <c r="M1468" s="22"/>
      <c r="N1468" s="22"/>
      <c r="O1468" s="22"/>
      <c r="P1468" s="22"/>
      <c r="Q1468" s="22"/>
      <c r="R1468" s="22"/>
      <c r="S1468" s="22"/>
      <c r="T1468" s="22"/>
      <c r="U1468" s="22"/>
      <c r="V1468" s="22"/>
      <c r="W1468" s="22"/>
      <c r="X1468" s="22"/>
      <c r="Y1468" s="22"/>
      <c r="Z1468" s="22"/>
      <c r="AA1468" s="22"/>
      <c r="AB1468" s="22"/>
      <c r="AC1468" s="22"/>
      <c r="AD1468" s="22"/>
      <c r="AE1468" s="22"/>
      <c r="AF1468" s="22"/>
      <c r="AG1468" s="22"/>
      <c r="AH1468" s="22"/>
      <c r="AI1468" s="22"/>
      <c r="AJ1468" s="22"/>
      <c r="AK1468" s="22"/>
      <c r="AL1468" s="22"/>
      <c r="AM1468" s="22"/>
      <c r="AN1468" s="22"/>
      <c r="AO1468" s="22"/>
    </row>
    <row r="1469" ht="15.75" customHeight="1">
      <c r="A1469" s="22"/>
      <c r="B1469" s="22"/>
      <c r="C1469" s="22"/>
      <c r="D1469" s="22"/>
      <c r="E1469" s="22"/>
      <c r="F1469" s="22"/>
      <c r="G1469" s="130"/>
      <c r="H1469" s="22"/>
      <c r="I1469" s="22"/>
      <c r="J1469" s="22"/>
      <c r="K1469" s="22"/>
      <c r="L1469" s="22"/>
      <c r="M1469" s="22"/>
      <c r="N1469" s="22"/>
      <c r="O1469" s="22"/>
      <c r="P1469" s="22"/>
      <c r="Q1469" s="22"/>
      <c r="R1469" s="22"/>
      <c r="S1469" s="22"/>
      <c r="T1469" s="22"/>
      <c r="U1469" s="22"/>
      <c r="V1469" s="22"/>
      <c r="W1469" s="22"/>
      <c r="X1469" s="22"/>
      <c r="Y1469" s="22"/>
      <c r="Z1469" s="22"/>
      <c r="AA1469" s="22"/>
      <c r="AB1469" s="22"/>
      <c r="AC1469" s="22"/>
      <c r="AD1469" s="22"/>
      <c r="AE1469" s="22"/>
      <c r="AF1469" s="22"/>
      <c r="AG1469" s="22"/>
      <c r="AH1469" s="22"/>
      <c r="AI1469" s="22"/>
      <c r="AJ1469" s="22"/>
      <c r="AK1469" s="22"/>
      <c r="AL1469" s="22"/>
      <c r="AM1469" s="22"/>
      <c r="AN1469" s="22"/>
      <c r="AO1469" s="22"/>
    </row>
    <row r="1470" ht="15.75" customHeight="1">
      <c r="A1470" s="22"/>
      <c r="B1470" s="22"/>
      <c r="C1470" s="22"/>
      <c r="D1470" s="22"/>
      <c r="E1470" s="22"/>
      <c r="F1470" s="22"/>
      <c r="G1470" s="130"/>
      <c r="H1470" s="22"/>
      <c r="I1470" s="22"/>
      <c r="J1470" s="22"/>
      <c r="K1470" s="22"/>
      <c r="L1470" s="22"/>
      <c r="M1470" s="22"/>
      <c r="N1470" s="22"/>
      <c r="O1470" s="22"/>
      <c r="P1470" s="22"/>
      <c r="Q1470" s="22"/>
      <c r="R1470" s="22"/>
      <c r="S1470" s="22"/>
      <c r="T1470" s="22"/>
      <c r="U1470" s="22"/>
      <c r="V1470" s="22"/>
      <c r="W1470" s="22"/>
      <c r="X1470" s="22"/>
      <c r="Y1470" s="22"/>
      <c r="Z1470" s="22"/>
      <c r="AA1470" s="22"/>
      <c r="AB1470" s="22"/>
      <c r="AC1470" s="22"/>
      <c r="AD1470" s="22"/>
      <c r="AE1470" s="22"/>
      <c r="AF1470" s="22"/>
      <c r="AG1470" s="22"/>
      <c r="AH1470" s="22"/>
      <c r="AI1470" s="22"/>
      <c r="AJ1470" s="22"/>
      <c r="AK1470" s="22"/>
      <c r="AL1470" s="22"/>
      <c r="AM1470" s="22"/>
      <c r="AN1470" s="22"/>
      <c r="AO1470" s="22"/>
    </row>
    <row r="1471" ht="15.75" customHeight="1">
      <c r="A1471" s="22"/>
      <c r="B1471" s="22"/>
      <c r="C1471" s="22"/>
      <c r="D1471" s="22"/>
      <c r="E1471" s="22"/>
      <c r="F1471" s="22"/>
      <c r="G1471" s="130"/>
      <c r="H1471" s="22"/>
      <c r="I1471" s="22"/>
      <c r="J1471" s="22"/>
      <c r="K1471" s="22"/>
      <c r="L1471" s="22"/>
      <c r="M1471" s="22"/>
      <c r="N1471" s="22"/>
      <c r="O1471" s="22"/>
      <c r="P1471" s="22"/>
      <c r="Q1471" s="22"/>
      <c r="R1471" s="22"/>
      <c r="S1471" s="22"/>
      <c r="T1471" s="22"/>
      <c r="U1471" s="22"/>
      <c r="V1471" s="22"/>
      <c r="W1471" s="22"/>
      <c r="X1471" s="22"/>
      <c r="Y1471" s="22"/>
      <c r="Z1471" s="22"/>
      <c r="AA1471" s="22"/>
      <c r="AB1471" s="22"/>
      <c r="AC1471" s="22"/>
      <c r="AD1471" s="22"/>
      <c r="AE1471" s="22"/>
      <c r="AF1471" s="22"/>
      <c r="AG1471" s="22"/>
      <c r="AH1471" s="22"/>
      <c r="AI1471" s="22"/>
      <c r="AJ1471" s="22"/>
      <c r="AK1471" s="22"/>
      <c r="AL1471" s="22"/>
      <c r="AM1471" s="22"/>
      <c r="AN1471" s="22"/>
      <c r="AO1471" s="22"/>
    </row>
    <row r="1472" ht="15.75" customHeight="1">
      <c r="A1472" s="22"/>
      <c r="B1472" s="22"/>
      <c r="C1472" s="22"/>
      <c r="D1472" s="22"/>
      <c r="E1472" s="22"/>
      <c r="F1472" s="22"/>
      <c r="G1472" s="130"/>
      <c r="H1472" s="22"/>
      <c r="I1472" s="22"/>
      <c r="J1472" s="22"/>
      <c r="K1472" s="22"/>
      <c r="L1472" s="22"/>
      <c r="M1472" s="22"/>
      <c r="N1472" s="22"/>
      <c r="O1472" s="22"/>
      <c r="P1472" s="22"/>
      <c r="Q1472" s="22"/>
      <c r="R1472" s="22"/>
      <c r="S1472" s="22"/>
      <c r="T1472" s="22"/>
      <c r="U1472" s="22"/>
      <c r="V1472" s="22"/>
      <c r="W1472" s="22"/>
      <c r="X1472" s="22"/>
      <c r="Y1472" s="22"/>
      <c r="Z1472" s="22"/>
      <c r="AA1472" s="22"/>
      <c r="AB1472" s="22"/>
      <c r="AC1472" s="22"/>
      <c r="AD1472" s="22"/>
      <c r="AE1472" s="22"/>
      <c r="AF1472" s="22"/>
      <c r="AG1472" s="22"/>
      <c r="AH1472" s="22"/>
      <c r="AI1472" s="22"/>
      <c r="AJ1472" s="22"/>
      <c r="AK1472" s="22"/>
      <c r="AL1472" s="22"/>
      <c r="AM1472" s="22"/>
      <c r="AN1472" s="22"/>
      <c r="AO1472" s="22"/>
    </row>
    <row r="1473" ht="15.75" customHeight="1">
      <c r="A1473" s="22"/>
      <c r="B1473" s="22"/>
      <c r="C1473" s="22"/>
      <c r="D1473" s="22"/>
      <c r="E1473" s="22"/>
      <c r="F1473" s="22"/>
      <c r="G1473" s="130"/>
      <c r="H1473" s="22"/>
      <c r="I1473" s="22"/>
      <c r="J1473" s="22"/>
      <c r="K1473" s="22"/>
      <c r="L1473" s="22"/>
      <c r="M1473" s="22"/>
      <c r="N1473" s="22"/>
      <c r="O1473" s="22"/>
      <c r="P1473" s="22"/>
      <c r="Q1473" s="22"/>
      <c r="R1473" s="22"/>
      <c r="S1473" s="22"/>
      <c r="T1473" s="22"/>
      <c r="U1473" s="22"/>
      <c r="V1473" s="22"/>
      <c r="W1473" s="22"/>
      <c r="X1473" s="22"/>
      <c r="Y1473" s="22"/>
      <c r="Z1473" s="22"/>
      <c r="AA1473" s="22"/>
      <c r="AB1473" s="22"/>
      <c r="AC1473" s="22"/>
      <c r="AD1473" s="22"/>
      <c r="AE1473" s="22"/>
      <c r="AF1473" s="22"/>
      <c r="AG1473" s="22"/>
      <c r="AH1473" s="22"/>
      <c r="AI1473" s="22"/>
      <c r="AJ1473" s="22"/>
      <c r="AK1473" s="22"/>
      <c r="AL1473" s="22"/>
      <c r="AM1473" s="22"/>
      <c r="AN1473" s="22"/>
      <c r="AO1473" s="22"/>
    </row>
    <row r="1474" ht="15.75" customHeight="1">
      <c r="A1474" s="22"/>
      <c r="B1474" s="22"/>
      <c r="C1474" s="22"/>
      <c r="D1474" s="22"/>
      <c r="E1474" s="22"/>
      <c r="F1474" s="22"/>
      <c r="G1474" s="130"/>
      <c r="H1474" s="22"/>
      <c r="I1474" s="22"/>
      <c r="J1474" s="22"/>
      <c r="K1474" s="22"/>
      <c r="L1474" s="22"/>
      <c r="M1474" s="22"/>
      <c r="N1474" s="22"/>
      <c r="O1474" s="22"/>
      <c r="P1474" s="22"/>
      <c r="Q1474" s="22"/>
      <c r="R1474" s="22"/>
      <c r="S1474" s="22"/>
      <c r="T1474" s="22"/>
      <c r="U1474" s="22"/>
      <c r="V1474" s="22"/>
      <c r="W1474" s="22"/>
      <c r="X1474" s="22"/>
      <c r="Y1474" s="22"/>
      <c r="Z1474" s="22"/>
      <c r="AA1474" s="22"/>
      <c r="AB1474" s="22"/>
      <c r="AC1474" s="22"/>
      <c r="AD1474" s="22"/>
      <c r="AE1474" s="22"/>
      <c r="AF1474" s="22"/>
      <c r="AG1474" s="22"/>
      <c r="AH1474" s="22"/>
      <c r="AI1474" s="22"/>
      <c r="AJ1474" s="22"/>
      <c r="AK1474" s="22"/>
      <c r="AL1474" s="22"/>
      <c r="AM1474" s="22"/>
      <c r="AN1474" s="22"/>
      <c r="AO1474" s="22"/>
    </row>
    <row r="1475" ht="15.75" customHeight="1">
      <c r="A1475" s="22"/>
      <c r="B1475" s="22"/>
      <c r="C1475" s="22"/>
      <c r="D1475" s="22"/>
      <c r="E1475" s="22"/>
      <c r="F1475" s="22"/>
      <c r="G1475" s="130"/>
      <c r="H1475" s="22"/>
      <c r="I1475" s="22"/>
      <c r="J1475" s="22"/>
      <c r="K1475" s="22"/>
      <c r="L1475" s="22"/>
      <c r="M1475" s="22"/>
      <c r="N1475" s="22"/>
      <c r="O1475" s="22"/>
      <c r="P1475" s="22"/>
      <c r="Q1475" s="22"/>
      <c r="R1475" s="22"/>
      <c r="S1475" s="22"/>
      <c r="T1475" s="22"/>
      <c r="U1475" s="22"/>
      <c r="V1475" s="22"/>
      <c r="W1475" s="22"/>
      <c r="X1475" s="22"/>
      <c r="Y1475" s="22"/>
      <c r="Z1475" s="22"/>
      <c r="AA1475" s="22"/>
      <c r="AB1475" s="22"/>
      <c r="AC1475" s="22"/>
      <c r="AD1475" s="22"/>
      <c r="AE1475" s="22"/>
      <c r="AF1475" s="22"/>
      <c r="AG1475" s="22"/>
      <c r="AH1475" s="22"/>
      <c r="AI1475" s="22"/>
      <c r="AJ1475" s="22"/>
      <c r="AK1475" s="22"/>
      <c r="AL1475" s="22"/>
      <c r="AM1475" s="22"/>
      <c r="AN1475" s="22"/>
      <c r="AO1475" s="22"/>
    </row>
    <row r="1476" ht="15.75" customHeight="1">
      <c r="A1476" s="22"/>
      <c r="B1476" s="22"/>
      <c r="C1476" s="22"/>
      <c r="D1476" s="22"/>
      <c r="E1476" s="22"/>
      <c r="F1476" s="22"/>
      <c r="G1476" s="130"/>
      <c r="H1476" s="22"/>
      <c r="I1476" s="22"/>
      <c r="J1476" s="22"/>
      <c r="K1476" s="22"/>
      <c r="L1476" s="22"/>
      <c r="M1476" s="22"/>
      <c r="N1476" s="22"/>
      <c r="O1476" s="22"/>
      <c r="P1476" s="22"/>
      <c r="Q1476" s="22"/>
      <c r="R1476" s="22"/>
      <c r="S1476" s="22"/>
      <c r="T1476" s="22"/>
      <c r="U1476" s="22"/>
      <c r="V1476" s="22"/>
      <c r="W1476" s="22"/>
      <c r="X1476" s="22"/>
      <c r="Y1476" s="22"/>
      <c r="Z1476" s="22"/>
      <c r="AA1476" s="22"/>
      <c r="AB1476" s="22"/>
      <c r="AC1476" s="22"/>
      <c r="AD1476" s="22"/>
      <c r="AE1476" s="22"/>
      <c r="AF1476" s="22"/>
      <c r="AG1476" s="22"/>
      <c r="AH1476" s="22"/>
      <c r="AI1476" s="22"/>
      <c r="AJ1476" s="22"/>
      <c r="AK1476" s="22"/>
      <c r="AL1476" s="22"/>
      <c r="AM1476" s="22"/>
      <c r="AN1476" s="22"/>
      <c r="AO1476" s="22"/>
    </row>
    <row r="1477" ht="15.75" customHeight="1">
      <c r="A1477" s="22"/>
      <c r="B1477" s="22"/>
      <c r="C1477" s="22"/>
      <c r="D1477" s="22"/>
      <c r="E1477" s="22"/>
      <c r="F1477" s="22"/>
      <c r="G1477" s="130"/>
      <c r="H1477" s="22"/>
      <c r="I1477" s="22"/>
      <c r="J1477" s="22"/>
      <c r="K1477" s="22"/>
      <c r="L1477" s="22"/>
      <c r="M1477" s="22"/>
      <c r="N1477" s="22"/>
      <c r="O1477" s="22"/>
      <c r="P1477" s="22"/>
      <c r="Q1477" s="22"/>
      <c r="R1477" s="22"/>
      <c r="S1477" s="22"/>
      <c r="T1477" s="22"/>
      <c r="U1477" s="22"/>
      <c r="V1477" s="22"/>
      <c r="W1477" s="22"/>
      <c r="X1477" s="22"/>
      <c r="Y1477" s="22"/>
      <c r="Z1477" s="22"/>
      <c r="AA1477" s="22"/>
      <c r="AB1477" s="22"/>
      <c r="AC1477" s="22"/>
      <c r="AD1477" s="22"/>
      <c r="AE1477" s="22"/>
      <c r="AF1477" s="22"/>
      <c r="AG1477" s="22"/>
      <c r="AH1477" s="22"/>
      <c r="AI1477" s="22"/>
      <c r="AJ1477" s="22"/>
      <c r="AK1477" s="22"/>
      <c r="AL1477" s="22"/>
      <c r="AM1477" s="22"/>
      <c r="AN1477" s="22"/>
      <c r="AO1477" s="22"/>
    </row>
    <row r="1478" ht="15.75" customHeight="1">
      <c r="A1478" s="22"/>
      <c r="B1478" s="22"/>
      <c r="C1478" s="22"/>
      <c r="D1478" s="22"/>
      <c r="E1478" s="22"/>
      <c r="F1478" s="22"/>
      <c r="G1478" s="130"/>
      <c r="H1478" s="22"/>
      <c r="I1478" s="22"/>
      <c r="J1478" s="22"/>
      <c r="K1478" s="22"/>
      <c r="L1478" s="22"/>
      <c r="M1478" s="22"/>
      <c r="N1478" s="22"/>
      <c r="O1478" s="22"/>
      <c r="P1478" s="22"/>
      <c r="Q1478" s="22"/>
      <c r="R1478" s="22"/>
      <c r="S1478" s="22"/>
      <c r="T1478" s="22"/>
      <c r="U1478" s="22"/>
      <c r="V1478" s="22"/>
      <c r="W1478" s="22"/>
      <c r="X1478" s="22"/>
      <c r="Y1478" s="22"/>
      <c r="Z1478" s="22"/>
      <c r="AA1478" s="22"/>
      <c r="AB1478" s="22"/>
      <c r="AC1478" s="22"/>
      <c r="AD1478" s="22"/>
      <c r="AE1478" s="22"/>
      <c r="AF1478" s="22"/>
      <c r="AG1478" s="22"/>
      <c r="AH1478" s="22"/>
      <c r="AI1478" s="22"/>
      <c r="AJ1478" s="22"/>
      <c r="AK1478" s="22"/>
      <c r="AL1478" s="22"/>
      <c r="AM1478" s="22"/>
      <c r="AN1478" s="22"/>
      <c r="AO1478" s="22"/>
    </row>
    <row r="1479" ht="15.75" customHeight="1">
      <c r="A1479" s="22"/>
      <c r="B1479" s="22"/>
      <c r="C1479" s="22"/>
      <c r="D1479" s="22"/>
      <c r="E1479" s="22"/>
      <c r="F1479" s="22"/>
      <c r="G1479" s="130"/>
      <c r="H1479" s="22"/>
      <c r="I1479" s="22"/>
      <c r="J1479" s="22"/>
      <c r="K1479" s="22"/>
      <c r="L1479" s="22"/>
      <c r="M1479" s="22"/>
      <c r="N1479" s="22"/>
      <c r="O1479" s="22"/>
      <c r="P1479" s="22"/>
      <c r="Q1479" s="22"/>
      <c r="R1479" s="22"/>
      <c r="S1479" s="22"/>
      <c r="T1479" s="22"/>
      <c r="U1479" s="22"/>
      <c r="V1479" s="22"/>
      <c r="W1479" s="22"/>
      <c r="X1479" s="22"/>
      <c r="Y1479" s="22"/>
      <c r="Z1479" s="22"/>
      <c r="AA1479" s="22"/>
      <c r="AB1479" s="22"/>
      <c r="AC1479" s="22"/>
      <c r="AD1479" s="22"/>
      <c r="AE1479" s="22"/>
      <c r="AF1479" s="22"/>
      <c r="AG1479" s="22"/>
      <c r="AH1479" s="22"/>
      <c r="AI1479" s="22"/>
      <c r="AJ1479" s="22"/>
      <c r="AK1479" s="22"/>
      <c r="AL1479" s="22"/>
      <c r="AM1479" s="22"/>
      <c r="AN1479" s="22"/>
      <c r="AO1479" s="22"/>
    </row>
    <row r="1480" ht="15.75" customHeight="1">
      <c r="A1480" s="22"/>
      <c r="B1480" s="22"/>
      <c r="C1480" s="22"/>
      <c r="D1480" s="22"/>
      <c r="E1480" s="22"/>
      <c r="F1480" s="22"/>
      <c r="G1480" s="130"/>
      <c r="H1480" s="22"/>
      <c r="I1480" s="22"/>
      <c r="J1480" s="22"/>
      <c r="K1480" s="22"/>
      <c r="L1480" s="22"/>
      <c r="M1480" s="22"/>
      <c r="N1480" s="22"/>
      <c r="O1480" s="22"/>
      <c r="P1480" s="22"/>
      <c r="Q1480" s="22"/>
      <c r="R1480" s="22"/>
      <c r="S1480" s="22"/>
      <c r="T1480" s="22"/>
      <c r="U1480" s="22"/>
      <c r="V1480" s="22"/>
      <c r="W1480" s="22"/>
      <c r="X1480" s="22"/>
      <c r="Y1480" s="22"/>
      <c r="Z1480" s="22"/>
      <c r="AA1480" s="22"/>
      <c r="AB1480" s="22"/>
      <c r="AC1480" s="22"/>
      <c r="AD1480" s="22"/>
      <c r="AE1480" s="22"/>
      <c r="AF1480" s="22"/>
      <c r="AG1480" s="22"/>
      <c r="AH1480" s="22"/>
      <c r="AI1480" s="22"/>
      <c r="AJ1480" s="22"/>
      <c r="AK1480" s="22"/>
      <c r="AL1480" s="22"/>
      <c r="AM1480" s="22"/>
      <c r="AN1480" s="22"/>
      <c r="AO1480" s="22"/>
    </row>
    <row r="1481" ht="15.75" customHeight="1">
      <c r="A1481" s="22"/>
      <c r="B1481" s="22"/>
      <c r="C1481" s="22"/>
      <c r="D1481" s="22"/>
      <c r="E1481" s="22"/>
      <c r="F1481" s="22"/>
      <c r="G1481" s="130"/>
      <c r="H1481" s="22"/>
      <c r="I1481" s="22"/>
      <c r="J1481" s="22"/>
      <c r="K1481" s="22"/>
      <c r="L1481" s="22"/>
      <c r="M1481" s="22"/>
      <c r="N1481" s="22"/>
      <c r="O1481" s="22"/>
      <c r="P1481" s="22"/>
      <c r="Q1481" s="22"/>
      <c r="R1481" s="22"/>
      <c r="S1481" s="22"/>
      <c r="T1481" s="22"/>
      <c r="U1481" s="22"/>
      <c r="V1481" s="22"/>
      <c r="W1481" s="22"/>
      <c r="X1481" s="22"/>
      <c r="Y1481" s="22"/>
      <c r="Z1481" s="22"/>
      <c r="AA1481" s="22"/>
      <c r="AB1481" s="22"/>
      <c r="AC1481" s="22"/>
      <c r="AD1481" s="22"/>
      <c r="AE1481" s="22"/>
      <c r="AF1481" s="22"/>
      <c r="AG1481" s="22"/>
      <c r="AH1481" s="22"/>
      <c r="AI1481" s="22"/>
      <c r="AJ1481" s="22"/>
      <c r="AK1481" s="22"/>
      <c r="AL1481" s="22"/>
      <c r="AM1481" s="22"/>
      <c r="AN1481" s="22"/>
      <c r="AO1481" s="22"/>
    </row>
    <row r="1482" ht="15.75" customHeight="1">
      <c r="A1482" s="22"/>
      <c r="B1482" s="22"/>
      <c r="C1482" s="22"/>
      <c r="D1482" s="22"/>
      <c r="E1482" s="22"/>
      <c r="F1482" s="22"/>
      <c r="G1482" s="130"/>
      <c r="H1482" s="22"/>
      <c r="I1482" s="22"/>
      <c r="J1482" s="22"/>
      <c r="K1482" s="22"/>
      <c r="L1482" s="22"/>
      <c r="M1482" s="22"/>
      <c r="N1482" s="22"/>
      <c r="O1482" s="22"/>
      <c r="P1482" s="22"/>
      <c r="Q1482" s="22"/>
      <c r="R1482" s="22"/>
      <c r="S1482" s="22"/>
      <c r="T1482" s="22"/>
      <c r="U1482" s="22"/>
      <c r="V1482" s="22"/>
      <c r="W1482" s="22"/>
      <c r="X1482" s="22"/>
      <c r="Y1482" s="22"/>
      <c r="Z1482" s="22"/>
      <c r="AA1482" s="22"/>
      <c r="AB1482" s="22"/>
      <c r="AC1482" s="22"/>
      <c r="AD1482" s="22"/>
      <c r="AE1482" s="22"/>
      <c r="AF1482" s="22"/>
      <c r="AG1482" s="22"/>
      <c r="AH1482" s="22"/>
      <c r="AI1482" s="22"/>
      <c r="AJ1482" s="22"/>
      <c r="AK1482" s="22"/>
      <c r="AL1482" s="22"/>
      <c r="AM1482" s="22"/>
      <c r="AN1482" s="22"/>
      <c r="AO1482" s="22"/>
    </row>
    <row r="1483" ht="15.75" customHeight="1">
      <c r="A1483" s="22"/>
      <c r="B1483" s="22"/>
      <c r="C1483" s="22"/>
      <c r="D1483" s="22"/>
      <c r="E1483" s="22"/>
      <c r="F1483" s="22"/>
      <c r="G1483" s="130"/>
      <c r="H1483" s="22"/>
      <c r="I1483" s="22"/>
      <c r="J1483" s="22"/>
      <c r="K1483" s="22"/>
      <c r="L1483" s="22"/>
      <c r="M1483" s="22"/>
      <c r="N1483" s="22"/>
      <c r="O1483" s="22"/>
      <c r="P1483" s="22"/>
      <c r="Q1483" s="22"/>
      <c r="R1483" s="22"/>
      <c r="S1483" s="22"/>
      <c r="T1483" s="22"/>
      <c r="U1483" s="22"/>
      <c r="V1483" s="22"/>
      <c r="W1483" s="22"/>
      <c r="X1483" s="22"/>
      <c r="Y1483" s="22"/>
      <c r="Z1483" s="22"/>
      <c r="AA1483" s="22"/>
      <c r="AB1483" s="22"/>
      <c r="AC1483" s="22"/>
      <c r="AD1483" s="22"/>
      <c r="AE1483" s="22"/>
      <c r="AF1483" s="22"/>
      <c r="AG1483" s="22"/>
      <c r="AH1483" s="22"/>
      <c r="AI1483" s="22"/>
      <c r="AJ1483" s="22"/>
      <c r="AK1483" s="22"/>
      <c r="AL1483" s="22"/>
      <c r="AM1483" s="22"/>
      <c r="AN1483" s="22"/>
      <c r="AO1483" s="22"/>
    </row>
    <row r="1484" ht="15.75" customHeight="1">
      <c r="A1484" s="22"/>
      <c r="B1484" s="22"/>
      <c r="C1484" s="22"/>
      <c r="D1484" s="22"/>
      <c r="E1484" s="22"/>
      <c r="F1484" s="22"/>
      <c r="G1484" s="130"/>
      <c r="H1484" s="22"/>
      <c r="I1484" s="22"/>
      <c r="J1484" s="22"/>
      <c r="K1484" s="22"/>
      <c r="L1484" s="22"/>
      <c r="M1484" s="22"/>
      <c r="N1484" s="22"/>
      <c r="O1484" s="22"/>
      <c r="P1484" s="22"/>
      <c r="Q1484" s="22"/>
      <c r="R1484" s="22"/>
      <c r="S1484" s="22"/>
      <c r="T1484" s="22"/>
      <c r="U1484" s="22"/>
      <c r="V1484" s="22"/>
      <c r="W1484" s="22"/>
      <c r="X1484" s="22"/>
      <c r="Y1484" s="22"/>
      <c r="Z1484" s="22"/>
      <c r="AA1484" s="22"/>
      <c r="AB1484" s="22"/>
      <c r="AC1484" s="22"/>
      <c r="AD1484" s="22"/>
      <c r="AE1484" s="22"/>
      <c r="AF1484" s="22"/>
      <c r="AG1484" s="22"/>
      <c r="AH1484" s="22"/>
      <c r="AI1484" s="22"/>
      <c r="AJ1484" s="22"/>
      <c r="AK1484" s="22"/>
      <c r="AL1484" s="22"/>
      <c r="AM1484" s="22"/>
      <c r="AN1484" s="22"/>
      <c r="AO1484" s="22"/>
    </row>
    <row r="1485" ht="15.75" customHeight="1">
      <c r="A1485" s="22"/>
      <c r="B1485" s="22"/>
      <c r="C1485" s="22"/>
      <c r="D1485" s="22"/>
      <c r="E1485" s="22"/>
      <c r="F1485" s="22"/>
      <c r="G1485" s="130"/>
      <c r="H1485" s="22"/>
      <c r="I1485" s="22"/>
      <c r="J1485" s="22"/>
      <c r="K1485" s="22"/>
      <c r="L1485" s="22"/>
      <c r="M1485" s="22"/>
      <c r="N1485" s="22"/>
      <c r="O1485" s="22"/>
      <c r="P1485" s="22"/>
      <c r="Q1485" s="22"/>
      <c r="R1485" s="22"/>
      <c r="S1485" s="22"/>
      <c r="T1485" s="22"/>
      <c r="U1485" s="22"/>
      <c r="V1485" s="22"/>
      <c r="W1485" s="22"/>
      <c r="X1485" s="22"/>
      <c r="Y1485" s="22"/>
      <c r="Z1485" s="22"/>
      <c r="AA1485" s="22"/>
      <c r="AB1485" s="22"/>
      <c r="AC1485" s="22"/>
      <c r="AD1485" s="22"/>
      <c r="AE1485" s="22"/>
      <c r="AF1485" s="22"/>
      <c r="AG1485" s="22"/>
      <c r="AH1485" s="22"/>
      <c r="AI1485" s="22"/>
      <c r="AJ1485" s="22"/>
      <c r="AK1485" s="22"/>
      <c r="AL1485" s="22"/>
      <c r="AM1485" s="22"/>
      <c r="AN1485" s="22"/>
      <c r="AO1485" s="22"/>
    </row>
    <row r="1486" ht="15.75" customHeight="1">
      <c r="A1486" s="22"/>
      <c r="B1486" s="22"/>
      <c r="C1486" s="22"/>
      <c r="D1486" s="22"/>
      <c r="E1486" s="22"/>
      <c r="F1486" s="22"/>
      <c r="G1486" s="130"/>
      <c r="H1486" s="22"/>
      <c r="I1486" s="22"/>
      <c r="J1486" s="22"/>
      <c r="K1486" s="22"/>
      <c r="L1486" s="22"/>
      <c r="M1486" s="22"/>
      <c r="N1486" s="22"/>
      <c r="O1486" s="22"/>
      <c r="P1486" s="22"/>
      <c r="Q1486" s="22"/>
      <c r="R1486" s="22"/>
      <c r="S1486" s="22"/>
      <c r="T1486" s="22"/>
      <c r="U1486" s="22"/>
      <c r="V1486" s="22"/>
      <c r="W1486" s="22"/>
      <c r="X1486" s="22"/>
      <c r="Y1486" s="22"/>
      <c r="Z1486" s="22"/>
      <c r="AA1486" s="22"/>
      <c r="AB1486" s="22"/>
      <c r="AC1486" s="22"/>
      <c r="AD1486" s="22"/>
      <c r="AE1486" s="22"/>
      <c r="AF1486" s="22"/>
      <c r="AG1486" s="22"/>
      <c r="AH1486" s="22"/>
      <c r="AI1486" s="22"/>
      <c r="AJ1486" s="22"/>
      <c r="AK1486" s="22"/>
      <c r="AL1486" s="22"/>
      <c r="AM1486" s="22"/>
      <c r="AN1486" s="22"/>
      <c r="AO1486" s="22"/>
    </row>
    <row r="1487" ht="15.75" customHeight="1">
      <c r="A1487" s="22"/>
      <c r="B1487" s="22"/>
      <c r="C1487" s="22"/>
      <c r="D1487" s="22"/>
      <c r="E1487" s="22"/>
      <c r="F1487" s="22"/>
      <c r="G1487" s="130"/>
      <c r="H1487" s="22"/>
      <c r="I1487" s="22"/>
      <c r="J1487" s="22"/>
      <c r="K1487" s="22"/>
      <c r="L1487" s="22"/>
      <c r="M1487" s="22"/>
      <c r="N1487" s="22"/>
      <c r="O1487" s="22"/>
      <c r="P1487" s="22"/>
      <c r="Q1487" s="22"/>
      <c r="R1487" s="22"/>
      <c r="S1487" s="22"/>
      <c r="T1487" s="22"/>
      <c r="U1487" s="22"/>
      <c r="V1487" s="22"/>
      <c r="W1487" s="22"/>
      <c r="X1487" s="22"/>
      <c r="Y1487" s="22"/>
      <c r="Z1487" s="22"/>
      <c r="AA1487" s="22"/>
      <c r="AB1487" s="22"/>
      <c r="AC1487" s="22"/>
      <c r="AD1487" s="22"/>
      <c r="AE1487" s="22"/>
      <c r="AF1487" s="22"/>
      <c r="AG1487" s="22"/>
      <c r="AH1487" s="22"/>
      <c r="AI1487" s="22"/>
      <c r="AJ1487" s="22"/>
      <c r="AK1487" s="22"/>
      <c r="AL1487" s="22"/>
      <c r="AM1487" s="22"/>
      <c r="AN1487" s="22"/>
      <c r="AO1487" s="22"/>
    </row>
    <row r="1488" ht="15.75" customHeight="1">
      <c r="A1488" s="22"/>
      <c r="B1488" s="22"/>
      <c r="C1488" s="22"/>
      <c r="D1488" s="22"/>
      <c r="E1488" s="22"/>
      <c r="F1488" s="22"/>
      <c r="G1488" s="130"/>
      <c r="H1488" s="22"/>
      <c r="I1488" s="22"/>
      <c r="J1488" s="22"/>
      <c r="K1488" s="22"/>
      <c r="L1488" s="22"/>
      <c r="M1488" s="22"/>
      <c r="N1488" s="22"/>
      <c r="O1488" s="22"/>
      <c r="P1488" s="22"/>
      <c r="Q1488" s="22"/>
      <c r="R1488" s="22"/>
      <c r="S1488" s="22"/>
      <c r="T1488" s="22"/>
      <c r="U1488" s="22"/>
      <c r="V1488" s="22"/>
      <c r="W1488" s="22"/>
      <c r="X1488" s="22"/>
      <c r="Y1488" s="22"/>
      <c r="Z1488" s="22"/>
      <c r="AA1488" s="22"/>
      <c r="AB1488" s="22"/>
      <c r="AC1488" s="22"/>
      <c r="AD1488" s="22"/>
      <c r="AE1488" s="22"/>
      <c r="AF1488" s="22"/>
      <c r="AG1488" s="22"/>
      <c r="AH1488" s="22"/>
      <c r="AI1488" s="22"/>
      <c r="AJ1488" s="22"/>
      <c r="AK1488" s="22"/>
      <c r="AL1488" s="22"/>
      <c r="AM1488" s="22"/>
      <c r="AN1488" s="22"/>
      <c r="AO1488" s="22"/>
    </row>
    <row r="1489" ht="15.75" customHeight="1">
      <c r="A1489" s="22"/>
      <c r="B1489" s="22"/>
      <c r="C1489" s="22"/>
      <c r="D1489" s="22"/>
      <c r="E1489" s="22"/>
      <c r="F1489" s="22"/>
      <c r="G1489" s="130"/>
      <c r="H1489" s="22"/>
      <c r="I1489" s="22"/>
      <c r="J1489" s="22"/>
      <c r="K1489" s="22"/>
      <c r="L1489" s="22"/>
      <c r="M1489" s="22"/>
      <c r="N1489" s="22"/>
      <c r="O1489" s="22"/>
      <c r="P1489" s="22"/>
      <c r="Q1489" s="22"/>
      <c r="R1489" s="22"/>
      <c r="S1489" s="22"/>
      <c r="T1489" s="22"/>
      <c r="U1489" s="22"/>
      <c r="V1489" s="22"/>
      <c r="W1489" s="22"/>
      <c r="X1489" s="22"/>
      <c r="Y1489" s="22"/>
      <c r="Z1489" s="22"/>
      <c r="AA1489" s="22"/>
      <c r="AB1489" s="22"/>
      <c r="AC1489" s="22"/>
      <c r="AD1489" s="22"/>
      <c r="AE1489" s="22"/>
      <c r="AF1489" s="22"/>
      <c r="AG1489" s="22"/>
      <c r="AH1489" s="22"/>
      <c r="AI1489" s="22"/>
      <c r="AJ1489" s="22"/>
      <c r="AK1489" s="22"/>
      <c r="AL1489" s="22"/>
      <c r="AM1489" s="22"/>
      <c r="AN1489" s="22"/>
      <c r="AO1489" s="22"/>
    </row>
    <row r="1490" ht="15.75" customHeight="1">
      <c r="A1490" s="22"/>
      <c r="B1490" s="22"/>
      <c r="C1490" s="22"/>
      <c r="D1490" s="22"/>
      <c r="E1490" s="22"/>
      <c r="F1490" s="22"/>
      <c r="G1490" s="130"/>
      <c r="H1490" s="22"/>
      <c r="I1490" s="22"/>
      <c r="J1490" s="22"/>
      <c r="K1490" s="22"/>
      <c r="L1490" s="22"/>
      <c r="M1490" s="22"/>
      <c r="N1490" s="22"/>
      <c r="O1490" s="22"/>
      <c r="P1490" s="22"/>
      <c r="Q1490" s="22"/>
      <c r="R1490" s="22"/>
      <c r="S1490" s="22"/>
      <c r="T1490" s="22"/>
      <c r="U1490" s="22"/>
      <c r="V1490" s="22"/>
      <c r="W1490" s="22"/>
      <c r="X1490" s="22"/>
      <c r="Y1490" s="22"/>
      <c r="Z1490" s="22"/>
      <c r="AA1490" s="22"/>
      <c r="AB1490" s="22"/>
      <c r="AC1490" s="22"/>
      <c r="AD1490" s="22"/>
      <c r="AE1490" s="22"/>
      <c r="AF1490" s="22"/>
      <c r="AG1490" s="22"/>
      <c r="AH1490" s="22"/>
      <c r="AI1490" s="22"/>
      <c r="AJ1490" s="22"/>
      <c r="AK1490" s="22"/>
      <c r="AL1490" s="22"/>
      <c r="AM1490" s="22"/>
      <c r="AN1490" s="22"/>
      <c r="AO1490" s="22"/>
    </row>
    <row r="1491" ht="15.75" customHeight="1">
      <c r="A1491" s="22"/>
      <c r="B1491" s="22"/>
      <c r="C1491" s="22"/>
      <c r="D1491" s="22"/>
      <c r="E1491" s="22"/>
      <c r="F1491" s="22"/>
      <c r="G1491" s="130"/>
      <c r="H1491" s="22"/>
      <c r="I1491" s="22"/>
      <c r="J1491" s="22"/>
      <c r="K1491" s="22"/>
      <c r="L1491" s="22"/>
      <c r="M1491" s="22"/>
      <c r="N1491" s="22"/>
      <c r="O1491" s="22"/>
      <c r="P1491" s="22"/>
      <c r="Q1491" s="22"/>
      <c r="R1491" s="22"/>
      <c r="S1491" s="22"/>
      <c r="T1491" s="22"/>
      <c r="U1491" s="22"/>
      <c r="V1491" s="22"/>
      <c r="W1491" s="22"/>
      <c r="X1491" s="22"/>
      <c r="Y1491" s="22"/>
      <c r="Z1491" s="22"/>
      <c r="AA1491" s="22"/>
      <c r="AB1491" s="22"/>
      <c r="AC1491" s="22"/>
      <c r="AD1491" s="22"/>
      <c r="AE1491" s="22"/>
      <c r="AF1491" s="22"/>
      <c r="AG1491" s="22"/>
      <c r="AH1491" s="22"/>
      <c r="AI1491" s="22"/>
      <c r="AJ1491" s="22"/>
      <c r="AK1491" s="22"/>
      <c r="AL1491" s="22"/>
      <c r="AM1491" s="22"/>
      <c r="AN1491" s="22"/>
      <c r="AO1491" s="22"/>
    </row>
    <row r="1492" ht="15.75" customHeight="1">
      <c r="A1492" s="22"/>
      <c r="B1492" s="22"/>
      <c r="C1492" s="22"/>
      <c r="D1492" s="22"/>
      <c r="E1492" s="22"/>
      <c r="F1492" s="22"/>
      <c r="G1492" s="130"/>
      <c r="H1492" s="22"/>
      <c r="I1492" s="22"/>
      <c r="J1492" s="22"/>
      <c r="K1492" s="22"/>
      <c r="L1492" s="22"/>
      <c r="M1492" s="22"/>
      <c r="N1492" s="22"/>
      <c r="O1492" s="22"/>
      <c r="P1492" s="22"/>
      <c r="Q1492" s="22"/>
      <c r="R1492" s="22"/>
      <c r="S1492" s="22"/>
      <c r="T1492" s="22"/>
      <c r="U1492" s="22"/>
      <c r="V1492" s="22"/>
      <c r="W1492" s="22"/>
      <c r="X1492" s="22"/>
      <c r="Y1492" s="22"/>
      <c r="Z1492" s="22"/>
      <c r="AA1492" s="22"/>
      <c r="AB1492" s="22"/>
      <c r="AC1492" s="22"/>
      <c r="AD1492" s="22"/>
      <c r="AE1492" s="22"/>
      <c r="AF1492" s="22"/>
      <c r="AG1492" s="22"/>
      <c r="AH1492" s="22"/>
      <c r="AI1492" s="22"/>
      <c r="AJ1492" s="22"/>
      <c r="AK1492" s="22"/>
      <c r="AL1492" s="22"/>
      <c r="AM1492" s="22"/>
      <c r="AN1492" s="22"/>
      <c r="AO1492" s="22"/>
    </row>
    <row r="1493" ht="15.75" customHeight="1">
      <c r="A1493" s="22"/>
      <c r="B1493" s="22"/>
      <c r="C1493" s="22"/>
      <c r="D1493" s="22"/>
      <c r="E1493" s="22"/>
      <c r="F1493" s="22"/>
      <c r="G1493" s="130"/>
      <c r="H1493" s="22"/>
      <c r="I1493" s="22"/>
      <c r="J1493" s="22"/>
      <c r="K1493" s="22"/>
      <c r="L1493" s="22"/>
      <c r="M1493" s="22"/>
      <c r="N1493" s="22"/>
      <c r="O1493" s="22"/>
      <c r="P1493" s="22"/>
      <c r="Q1493" s="22"/>
      <c r="R1493" s="22"/>
      <c r="S1493" s="22"/>
      <c r="T1493" s="22"/>
      <c r="U1493" s="22"/>
      <c r="V1493" s="22"/>
      <c r="W1493" s="22"/>
      <c r="X1493" s="22"/>
      <c r="Y1493" s="22"/>
      <c r="Z1493" s="22"/>
      <c r="AA1493" s="22"/>
      <c r="AB1493" s="22"/>
      <c r="AC1493" s="22"/>
      <c r="AD1493" s="22"/>
      <c r="AE1493" s="22"/>
      <c r="AF1493" s="22"/>
      <c r="AG1493" s="22"/>
      <c r="AH1493" s="22"/>
      <c r="AI1493" s="22"/>
      <c r="AJ1493" s="22"/>
      <c r="AK1493" s="22"/>
      <c r="AL1493" s="22"/>
      <c r="AM1493" s="22"/>
      <c r="AN1493" s="22"/>
      <c r="AO1493" s="22"/>
    </row>
    <row r="1494" ht="15.75" customHeight="1">
      <c r="A1494" s="22"/>
      <c r="B1494" s="22"/>
      <c r="C1494" s="22"/>
      <c r="D1494" s="22"/>
      <c r="E1494" s="22"/>
      <c r="F1494" s="22"/>
      <c r="G1494" s="130"/>
      <c r="H1494" s="22"/>
      <c r="I1494" s="22"/>
      <c r="J1494" s="22"/>
      <c r="K1494" s="22"/>
      <c r="L1494" s="22"/>
      <c r="M1494" s="22"/>
      <c r="N1494" s="22"/>
      <c r="O1494" s="22"/>
      <c r="P1494" s="22"/>
      <c r="Q1494" s="22"/>
      <c r="R1494" s="22"/>
      <c r="S1494" s="22"/>
      <c r="T1494" s="22"/>
      <c r="U1494" s="22"/>
      <c r="V1494" s="22"/>
      <c r="W1494" s="22"/>
      <c r="X1494" s="22"/>
      <c r="Y1494" s="22"/>
      <c r="Z1494" s="22"/>
      <c r="AA1494" s="22"/>
      <c r="AB1494" s="22"/>
      <c r="AC1494" s="22"/>
      <c r="AD1494" s="22"/>
      <c r="AE1494" s="22"/>
      <c r="AF1494" s="22"/>
      <c r="AG1494" s="22"/>
      <c r="AH1494" s="22"/>
      <c r="AI1494" s="22"/>
      <c r="AJ1494" s="22"/>
      <c r="AK1494" s="22"/>
      <c r="AL1494" s="22"/>
      <c r="AM1494" s="22"/>
      <c r="AN1494" s="22"/>
      <c r="AO1494" s="22"/>
    </row>
    <row r="1495" ht="15.75" customHeight="1">
      <c r="A1495" s="22"/>
      <c r="B1495" s="22"/>
      <c r="C1495" s="22"/>
      <c r="D1495" s="22"/>
      <c r="E1495" s="22"/>
      <c r="F1495" s="22"/>
      <c r="G1495" s="130"/>
      <c r="H1495" s="22"/>
      <c r="I1495" s="22"/>
      <c r="J1495" s="22"/>
      <c r="K1495" s="22"/>
      <c r="L1495" s="22"/>
      <c r="M1495" s="22"/>
      <c r="N1495" s="22"/>
      <c r="O1495" s="22"/>
      <c r="P1495" s="22"/>
      <c r="Q1495" s="22"/>
      <c r="R1495" s="22"/>
      <c r="S1495" s="22"/>
      <c r="T1495" s="22"/>
      <c r="U1495" s="22"/>
      <c r="V1495" s="22"/>
      <c r="W1495" s="22"/>
      <c r="X1495" s="22"/>
      <c r="Y1495" s="22"/>
      <c r="Z1495" s="22"/>
      <c r="AA1495" s="22"/>
      <c r="AB1495" s="22"/>
      <c r="AC1495" s="22"/>
      <c r="AD1495" s="22"/>
      <c r="AE1495" s="22"/>
      <c r="AF1495" s="22"/>
      <c r="AG1495" s="22"/>
      <c r="AH1495" s="22"/>
      <c r="AI1495" s="22"/>
      <c r="AJ1495" s="22"/>
      <c r="AK1495" s="22"/>
      <c r="AL1495" s="22"/>
      <c r="AM1495" s="22"/>
      <c r="AN1495" s="22"/>
      <c r="AO1495" s="22"/>
    </row>
    <row r="1496" ht="15.75" customHeight="1">
      <c r="A1496" s="22"/>
      <c r="B1496" s="22"/>
      <c r="C1496" s="22"/>
      <c r="D1496" s="22"/>
      <c r="E1496" s="22"/>
      <c r="F1496" s="22"/>
      <c r="G1496" s="130"/>
      <c r="H1496" s="22"/>
      <c r="I1496" s="22"/>
      <c r="J1496" s="22"/>
      <c r="K1496" s="22"/>
      <c r="L1496" s="22"/>
      <c r="M1496" s="22"/>
      <c r="N1496" s="22"/>
      <c r="O1496" s="22"/>
      <c r="P1496" s="22"/>
      <c r="Q1496" s="22"/>
      <c r="R1496" s="22"/>
      <c r="S1496" s="22"/>
      <c r="T1496" s="22"/>
      <c r="U1496" s="22"/>
      <c r="V1496" s="22"/>
      <c r="W1496" s="22"/>
      <c r="X1496" s="22"/>
      <c r="Y1496" s="22"/>
      <c r="Z1496" s="22"/>
      <c r="AA1496" s="22"/>
      <c r="AB1496" s="22"/>
      <c r="AC1496" s="22"/>
      <c r="AD1496" s="22"/>
      <c r="AE1496" s="22"/>
      <c r="AF1496" s="22"/>
      <c r="AG1496" s="22"/>
      <c r="AH1496" s="22"/>
      <c r="AI1496" s="22"/>
      <c r="AJ1496" s="22"/>
      <c r="AK1496" s="22"/>
      <c r="AL1496" s="22"/>
      <c r="AM1496" s="22"/>
      <c r="AN1496" s="22"/>
      <c r="AO1496" s="22"/>
    </row>
    <row r="1497" ht="15.75" customHeight="1">
      <c r="A1497" s="22"/>
      <c r="B1497" s="22"/>
      <c r="C1497" s="22"/>
      <c r="D1497" s="22"/>
      <c r="E1497" s="22"/>
      <c r="F1497" s="22"/>
      <c r="G1497" s="130"/>
      <c r="H1497" s="22"/>
      <c r="I1497" s="22"/>
      <c r="J1497" s="22"/>
      <c r="K1497" s="22"/>
      <c r="L1497" s="22"/>
      <c r="M1497" s="22"/>
      <c r="N1497" s="22"/>
      <c r="O1497" s="22"/>
      <c r="P1497" s="22"/>
      <c r="Q1497" s="22"/>
      <c r="R1497" s="22"/>
      <c r="S1497" s="22"/>
      <c r="T1497" s="22"/>
      <c r="U1497" s="22"/>
      <c r="V1497" s="22"/>
      <c r="W1497" s="22"/>
      <c r="X1497" s="22"/>
      <c r="Y1497" s="22"/>
      <c r="Z1497" s="22"/>
      <c r="AA1497" s="22"/>
      <c r="AB1497" s="22"/>
      <c r="AC1497" s="22"/>
      <c r="AD1497" s="22"/>
      <c r="AE1497" s="22"/>
      <c r="AF1497" s="22"/>
      <c r="AG1497" s="22"/>
      <c r="AH1497" s="22"/>
      <c r="AI1497" s="22"/>
      <c r="AJ1497" s="22"/>
      <c r="AK1497" s="22"/>
      <c r="AL1497" s="22"/>
      <c r="AM1497" s="22"/>
      <c r="AN1497" s="22"/>
      <c r="AO1497" s="22"/>
    </row>
    <row r="1498" ht="15.75" customHeight="1">
      <c r="A1498" s="22"/>
      <c r="B1498" s="22"/>
      <c r="C1498" s="22"/>
      <c r="D1498" s="22"/>
      <c r="E1498" s="22"/>
      <c r="F1498" s="22"/>
      <c r="G1498" s="130"/>
      <c r="H1498" s="22"/>
      <c r="I1498" s="22"/>
      <c r="J1498" s="22"/>
      <c r="K1498" s="22"/>
      <c r="L1498" s="22"/>
      <c r="M1498" s="22"/>
      <c r="N1498" s="22"/>
      <c r="O1498" s="22"/>
      <c r="P1498" s="22"/>
      <c r="Q1498" s="22"/>
      <c r="R1498" s="22"/>
      <c r="S1498" s="22"/>
      <c r="T1498" s="22"/>
      <c r="U1498" s="22"/>
      <c r="V1498" s="22"/>
      <c r="W1498" s="22"/>
      <c r="X1498" s="22"/>
      <c r="Y1498" s="22"/>
      <c r="Z1498" s="22"/>
      <c r="AA1498" s="22"/>
      <c r="AB1498" s="22"/>
      <c r="AC1498" s="22"/>
      <c r="AD1498" s="22"/>
      <c r="AE1498" s="22"/>
      <c r="AF1498" s="22"/>
      <c r="AG1498" s="22"/>
      <c r="AH1498" s="22"/>
      <c r="AI1498" s="22"/>
      <c r="AJ1498" s="22"/>
      <c r="AK1498" s="22"/>
      <c r="AL1498" s="22"/>
      <c r="AM1498" s="22"/>
      <c r="AN1498" s="22"/>
      <c r="AO1498" s="22"/>
    </row>
    <row r="1499" ht="15.75" customHeight="1">
      <c r="A1499" s="22"/>
      <c r="B1499" s="22"/>
      <c r="C1499" s="22"/>
      <c r="D1499" s="22"/>
      <c r="E1499" s="22"/>
      <c r="F1499" s="22"/>
      <c r="G1499" s="130"/>
      <c r="H1499" s="22"/>
      <c r="I1499" s="22"/>
      <c r="J1499" s="22"/>
      <c r="K1499" s="22"/>
      <c r="L1499" s="22"/>
      <c r="M1499" s="22"/>
      <c r="N1499" s="22"/>
      <c r="O1499" s="22"/>
      <c r="P1499" s="22"/>
      <c r="Q1499" s="22"/>
      <c r="R1499" s="22"/>
      <c r="S1499" s="22"/>
      <c r="T1499" s="22"/>
      <c r="U1499" s="22"/>
      <c r="V1499" s="22"/>
      <c r="W1499" s="22"/>
      <c r="X1499" s="22"/>
      <c r="Y1499" s="22"/>
      <c r="Z1499" s="22"/>
      <c r="AA1499" s="22"/>
      <c r="AB1499" s="22"/>
      <c r="AC1499" s="22"/>
      <c r="AD1499" s="22"/>
      <c r="AE1499" s="22"/>
      <c r="AF1499" s="22"/>
      <c r="AG1499" s="22"/>
      <c r="AH1499" s="22"/>
      <c r="AI1499" s="22"/>
      <c r="AJ1499" s="22"/>
      <c r="AK1499" s="22"/>
      <c r="AL1499" s="22"/>
      <c r="AM1499" s="22"/>
      <c r="AN1499" s="22"/>
      <c r="AO1499" s="22"/>
    </row>
    <row r="1500" ht="15.75" customHeight="1">
      <c r="A1500" s="22"/>
      <c r="B1500" s="22"/>
      <c r="C1500" s="22"/>
      <c r="D1500" s="22"/>
      <c r="E1500" s="22"/>
      <c r="F1500" s="22"/>
      <c r="G1500" s="130"/>
      <c r="H1500" s="22"/>
      <c r="I1500" s="22"/>
      <c r="J1500" s="22"/>
      <c r="K1500" s="22"/>
      <c r="L1500" s="22"/>
      <c r="M1500" s="22"/>
      <c r="N1500" s="22"/>
      <c r="O1500" s="22"/>
      <c r="P1500" s="22"/>
      <c r="Q1500" s="22"/>
      <c r="R1500" s="22"/>
      <c r="S1500" s="22"/>
      <c r="T1500" s="22"/>
      <c r="U1500" s="22"/>
      <c r="V1500" s="22"/>
      <c r="W1500" s="22"/>
      <c r="X1500" s="22"/>
      <c r="Y1500" s="22"/>
      <c r="Z1500" s="22"/>
      <c r="AA1500" s="22"/>
      <c r="AB1500" s="22"/>
      <c r="AC1500" s="22"/>
      <c r="AD1500" s="22"/>
      <c r="AE1500" s="22"/>
      <c r="AF1500" s="22"/>
      <c r="AG1500" s="22"/>
      <c r="AH1500" s="22"/>
      <c r="AI1500" s="22"/>
      <c r="AJ1500" s="22"/>
      <c r="AK1500" s="22"/>
      <c r="AL1500" s="22"/>
      <c r="AM1500" s="22"/>
      <c r="AN1500" s="22"/>
      <c r="AO1500" s="22"/>
    </row>
    <row r="1501" ht="15.75" customHeight="1">
      <c r="A1501" s="22"/>
      <c r="B1501" s="22"/>
      <c r="C1501" s="22"/>
      <c r="D1501" s="22"/>
      <c r="E1501" s="22"/>
      <c r="F1501" s="22"/>
      <c r="G1501" s="130"/>
      <c r="H1501" s="22"/>
      <c r="I1501" s="22"/>
      <c r="J1501" s="22"/>
      <c r="K1501" s="22"/>
      <c r="L1501" s="22"/>
      <c r="M1501" s="22"/>
      <c r="N1501" s="22"/>
      <c r="O1501" s="22"/>
      <c r="P1501" s="22"/>
      <c r="Q1501" s="22"/>
      <c r="R1501" s="22"/>
      <c r="S1501" s="22"/>
      <c r="T1501" s="22"/>
      <c r="U1501" s="22"/>
      <c r="V1501" s="22"/>
      <c r="W1501" s="22"/>
      <c r="X1501" s="22"/>
      <c r="Y1501" s="22"/>
      <c r="Z1501" s="22"/>
      <c r="AA1501" s="22"/>
      <c r="AB1501" s="22"/>
      <c r="AC1501" s="22"/>
      <c r="AD1501" s="22"/>
      <c r="AE1501" s="22"/>
      <c r="AF1501" s="22"/>
      <c r="AG1501" s="22"/>
      <c r="AH1501" s="22"/>
      <c r="AI1501" s="22"/>
      <c r="AJ1501" s="22"/>
      <c r="AK1501" s="22"/>
      <c r="AL1501" s="22"/>
      <c r="AM1501" s="22"/>
      <c r="AN1501" s="22"/>
      <c r="AO1501" s="22"/>
    </row>
    <row r="1502" ht="15.75" customHeight="1">
      <c r="A1502" s="22"/>
      <c r="B1502" s="22"/>
      <c r="C1502" s="22"/>
      <c r="D1502" s="22"/>
      <c r="E1502" s="22"/>
      <c r="F1502" s="22"/>
      <c r="G1502" s="130"/>
      <c r="H1502" s="22"/>
      <c r="I1502" s="22"/>
      <c r="J1502" s="22"/>
      <c r="K1502" s="22"/>
      <c r="L1502" s="22"/>
      <c r="M1502" s="22"/>
      <c r="N1502" s="22"/>
      <c r="O1502" s="22"/>
      <c r="P1502" s="22"/>
      <c r="Q1502" s="22"/>
      <c r="R1502" s="22"/>
      <c r="S1502" s="22"/>
      <c r="T1502" s="22"/>
      <c r="U1502" s="22"/>
      <c r="V1502" s="22"/>
      <c r="W1502" s="22"/>
      <c r="X1502" s="22"/>
      <c r="Y1502" s="22"/>
      <c r="Z1502" s="22"/>
      <c r="AA1502" s="22"/>
      <c r="AB1502" s="22"/>
      <c r="AC1502" s="22"/>
      <c r="AD1502" s="22"/>
      <c r="AE1502" s="22"/>
      <c r="AF1502" s="22"/>
      <c r="AG1502" s="22"/>
      <c r="AH1502" s="22"/>
      <c r="AI1502" s="22"/>
      <c r="AJ1502" s="22"/>
      <c r="AK1502" s="22"/>
      <c r="AL1502" s="22"/>
      <c r="AM1502" s="22"/>
      <c r="AN1502" s="22"/>
      <c r="AO1502" s="22"/>
    </row>
    <row r="1503" ht="15.75" customHeight="1">
      <c r="A1503" s="22"/>
      <c r="B1503" s="22"/>
      <c r="C1503" s="22"/>
      <c r="D1503" s="22"/>
      <c r="E1503" s="22"/>
      <c r="F1503" s="22"/>
      <c r="G1503" s="130"/>
      <c r="H1503" s="22"/>
      <c r="I1503" s="22"/>
      <c r="J1503" s="22"/>
      <c r="K1503" s="22"/>
      <c r="L1503" s="22"/>
      <c r="M1503" s="22"/>
      <c r="N1503" s="22"/>
      <c r="O1503" s="22"/>
      <c r="P1503" s="22"/>
      <c r="Q1503" s="22"/>
      <c r="R1503" s="22"/>
      <c r="S1503" s="22"/>
      <c r="T1503" s="22"/>
      <c r="U1503" s="22"/>
      <c r="V1503" s="22"/>
      <c r="W1503" s="22"/>
      <c r="X1503" s="22"/>
      <c r="Y1503" s="22"/>
      <c r="Z1503" s="22"/>
      <c r="AA1503" s="22"/>
      <c r="AB1503" s="22"/>
      <c r="AC1503" s="22"/>
      <c r="AD1503" s="22"/>
      <c r="AE1503" s="22"/>
      <c r="AF1503" s="22"/>
      <c r="AG1503" s="22"/>
      <c r="AH1503" s="22"/>
      <c r="AI1503" s="22"/>
      <c r="AJ1503" s="22"/>
      <c r="AK1503" s="22"/>
      <c r="AL1503" s="22"/>
      <c r="AM1503" s="22"/>
      <c r="AN1503" s="22"/>
      <c r="AO1503" s="22"/>
    </row>
    <row r="1504" ht="15.75" customHeight="1">
      <c r="A1504" s="22"/>
      <c r="B1504" s="22"/>
      <c r="C1504" s="22"/>
      <c r="D1504" s="22"/>
      <c r="E1504" s="22"/>
      <c r="F1504" s="22"/>
      <c r="G1504" s="130"/>
      <c r="H1504" s="22"/>
      <c r="I1504" s="22"/>
      <c r="J1504" s="22"/>
      <c r="K1504" s="22"/>
      <c r="L1504" s="22"/>
      <c r="M1504" s="22"/>
      <c r="N1504" s="22"/>
      <c r="O1504" s="22"/>
      <c r="P1504" s="22"/>
      <c r="Q1504" s="22"/>
      <c r="R1504" s="22"/>
      <c r="S1504" s="22"/>
      <c r="T1504" s="22"/>
      <c r="U1504" s="22"/>
      <c r="V1504" s="22"/>
      <c r="W1504" s="22"/>
      <c r="X1504" s="22"/>
      <c r="Y1504" s="22"/>
      <c r="Z1504" s="22"/>
      <c r="AA1504" s="22"/>
      <c r="AB1504" s="22"/>
      <c r="AC1504" s="22"/>
      <c r="AD1504" s="22"/>
      <c r="AE1504" s="22"/>
      <c r="AF1504" s="22"/>
      <c r="AG1504" s="22"/>
      <c r="AH1504" s="22"/>
      <c r="AI1504" s="22"/>
      <c r="AJ1504" s="22"/>
      <c r="AK1504" s="22"/>
      <c r="AL1504" s="22"/>
      <c r="AM1504" s="22"/>
      <c r="AN1504" s="22"/>
      <c r="AO1504" s="22"/>
    </row>
    <row r="1505" ht="15.75" customHeight="1">
      <c r="A1505" s="22"/>
      <c r="B1505" s="22"/>
      <c r="C1505" s="22"/>
      <c r="D1505" s="22"/>
      <c r="E1505" s="22"/>
      <c r="F1505" s="22"/>
      <c r="G1505" s="130"/>
      <c r="H1505" s="22"/>
      <c r="I1505" s="22"/>
      <c r="J1505" s="22"/>
      <c r="K1505" s="22"/>
      <c r="L1505" s="22"/>
      <c r="M1505" s="22"/>
      <c r="N1505" s="22"/>
      <c r="O1505" s="22"/>
      <c r="P1505" s="22"/>
      <c r="Q1505" s="22"/>
      <c r="R1505" s="22"/>
      <c r="S1505" s="22"/>
      <c r="T1505" s="22"/>
      <c r="U1505" s="22"/>
      <c r="V1505" s="22"/>
      <c r="W1505" s="22"/>
      <c r="X1505" s="22"/>
      <c r="Y1505" s="22"/>
      <c r="Z1505" s="22"/>
      <c r="AA1505" s="22"/>
      <c r="AB1505" s="22"/>
      <c r="AC1505" s="22"/>
      <c r="AD1505" s="22"/>
      <c r="AE1505" s="22"/>
      <c r="AF1505" s="22"/>
      <c r="AG1505" s="22"/>
      <c r="AH1505" s="22"/>
      <c r="AI1505" s="22"/>
      <c r="AJ1505" s="22"/>
      <c r="AK1505" s="22"/>
      <c r="AL1505" s="22"/>
      <c r="AM1505" s="22"/>
      <c r="AN1505" s="22"/>
      <c r="AO1505" s="22"/>
    </row>
    <row r="1506" ht="15.75" customHeight="1">
      <c r="A1506" s="22"/>
      <c r="B1506" s="22"/>
      <c r="C1506" s="22"/>
      <c r="D1506" s="22"/>
      <c r="E1506" s="22"/>
      <c r="F1506" s="22"/>
      <c r="G1506" s="130"/>
      <c r="H1506" s="22"/>
      <c r="I1506" s="22"/>
      <c r="J1506" s="22"/>
      <c r="K1506" s="22"/>
      <c r="L1506" s="22"/>
      <c r="M1506" s="22"/>
      <c r="N1506" s="22"/>
      <c r="O1506" s="22"/>
      <c r="P1506" s="22"/>
      <c r="Q1506" s="22"/>
      <c r="R1506" s="22"/>
      <c r="S1506" s="22"/>
      <c r="T1506" s="22"/>
      <c r="U1506" s="22"/>
      <c r="V1506" s="22"/>
      <c r="W1506" s="22"/>
      <c r="X1506" s="22"/>
      <c r="Y1506" s="22"/>
      <c r="Z1506" s="22"/>
      <c r="AA1506" s="22"/>
      <c r="AB1506" s="22"/>
      <c r="AC1506" s="22"/>
      <c r="AD1506" s="22"/>
      <c r="AE1506" s="22"/>
      <c r="AF1506" s="22"/>
      <c r="AG1506" s="22"/>
      <c r="AH1506" s="22"/>
      <c r="AI1506" s="22"/>
      <c r="AJ1506" s="22"/>
      <c r="AK1506" s="22"/>
      <c r="AL1506" s="22"/>
      <c r="AM1506" s="22"/>
      <c r="AN1506" s="22"/>
      <c r="AO1506" s="22"/>
    </row>
    <row r="1507" ht="15.75" customHeight="1">
      <c r="A1507" s="22"/>
      <c r="B1507" s="22"/>
      <c r="C1507" s="22"/>
      <c r="D1507" s="22"/>
      <c r="E1507" s="22"/>
      <c r="F1507" s="22"/>
      <c r="G1507" s="130"/>
      <c r="H1507" s="22"/>
      <c r="I1507" s="22"/>
      <c r="J1507" s="22"/>
      <c r="K1507" s="22"/>
      <c r="L1507" s="22"/>
      <c r="M1507" s="22"/>
      <c r="N1507" s="22"/>
      <c r="O1507" s="22"/>
      <c r="P1507" s="22"/>
      <c r="Q1507" s="22"/>
      <c r="R1507" s="22"/>
      <c r="S1507" s="22"/>
      <c r="T1507" s="22"/>
      <c r="U1507" s="22"/>
      <c r="V1507" s="22"/>
      <c r="W1507" s="22"/>
      <c r="X1507" s="22"/>
      <c r="Y1507" s="22"/>
      <c r="Z1507" s="22"/>
      <c r="AA1507" s="22"/>
      <c r="AB1507" s="22"/>
      <c r="AC1507" s="22"/>
      <c r="AD1507" s="22"/>
      <c r="AE1507" s="22"/>
      <c r="AF1507" s="22"/>
      <c r="AG1507" s="22"/>
      <c r="AH1507" s="22"/>
      <c r="AI1507" s="22"/>
      <c r="AJ1507" s="22"/>
      <c r="AK1507" s="22"/>
      <c r="AL1507" s="22"/>
      <c r="AM1507" s="22"/>
      <c r="AN1507" s="22"/>
      <c r="AO1507" s="22"/>
    </row>
    <row r="1508" ht="15.75" customHeight="1">
      <c r="A1508" s="22"/>
      <c r="B1508" s="22"/>
      <c r="C1508" s="22"/>
      <c r="D1508" s="22"/>
      <c r="E1508" s="22"/>
      <c r="F1508" s="22"/>
      <c r="G1508" s="130"/>
      <c r="H1508" s="22"/>
      <c r="I1508" s="22"/>
      <c r="J1508" s="22"/>
      <c r="K1508" s="22"/>
      <c r="L1508" s="22"/>
      <c r="M1508" s="22"/>
      <c r="N1508" s="22"/>
      <c r="O1508" s="22"/>
      <c r="P1508" s="22"/>
      <c r="Q1508" s="22"/>
      <c r="R1508" s="22"/>
      <c r="S1508" s="22"/>
      <c r="T1508" s="22"/>
      <c r="U1508" s="22"/>
      <c r="V1508" s="22"/>
      <c r="W1508" s="22"/>
      <c r="X1508" s="22"/>
      <c r="Y1508" s="22"/>
      <c r="Z1508" s="22"/>
      <c r="AA1508" s="22"/>
      <c r="AB1508" s="22"/>
      <c r="AC1508" s="22"/>
      <c r="AD1508" s="22"/>
      <c r="AE1508" s="22"/>
      <c r="AF1508" s="22"/>
      <c r="AG1508" s="22"/>
      <c r="AH1508" s="22"/>
      <c r="AI1508" s="22"/>
      <c r="AJ1508" s="22"/>
      <c r="AK1508" s="22"/>
      <c r="AL1508" s="22"/>
      <c r="AM1508" s="22"/>
      <c r="AN1508" s="22"/>
      <c r="AO1508" s="22"/>
    </row>
    <row r="1509" ht="15.75" customHeight="1">
      <c r="A1509" s="22"/>
      <c r="B1509" s="22"/>
      <c r="C1509" s="22"/>
      <c r="D1509" s="22"/>
      <c r="E1509" s="22"/>
      <c r="F1509" s="22"/>
      <c r="G1509" s="130"/>
      <c r="H1509" s="22"/>
      <c r="I1509" s="22"/>
      <c r="J1509" s="22"/>
      <c r="K1509" s="22"/>
      <c r="L1509" s="22"/>
      <c r="M1509" s="22"/>
      <c r="N1509" s="22"/>
      <c r="O1509" s="22"/>
      <c r="P1509" s="22"/>
      <c r="Q1509" s="22"/>
      <c r="R1509" s="22"/>
      <c r="S1509" s="22"/>
      <c r="T1509" s="22"/>
      <c r="U1509" s="22"/>
      <c r="V1509" s="22"/>
      <c r="W1509" s="22"/>
      <c r="X1509" s="22"/>
      <c r="Y1509" s="22"/>
      <c r="Z1509" s="22"/>
      <c r="AA1509" s="22"/>
      <c r="AB1509" s="22"/>
      <c r="AC1509" s="22"/>
      <c r="AD1509" s="22"/>
      <c r="AE1509" s="22"/>
      <c r="AF1509" s="22"/>
      <c r="AG1509" s="22"/>
      <c r="AH1509" s="22"/>
      <c r="AI1509" s="22"/>
      <c r="AJ1509" s="22"/>
      <c r="AK1509" s="22"/>
      <c r="AL1509" s="22"/>
      <c r="AM1509" s="22"/>
      <c r="AN1509" s="22"/>
      <c r="AO1509" s="22"/>
    </row>
    <row r="1510" ht="15.75" customHeight="1">
      <c r="A1510" s="22"/>
      <c r="B1510" s="22"/>
      <c r="C1510" s="22"/>
      <c r="D1510" s="22"/>
      <c r="E1510" s="22"/>
      <c r="F1510" s="22"/>
      <c r="G1510" s="130"/>
      <c r="H1510" s="22"/>
      <c r="I1510" s="22"/>
      <c r="J1510" s="22"/>
      <c r="K1510" s="22"/>
      <c r="L1510" s="22"/>
      <c r="M1510" s="22"/>
      <c r="N1510" s="22"/>
      <c r="O1510" s="22"/>
      <c r="P1510" s="22"/>
      <c r="Q1510" s="22"/>
      <c r="R1510" s="22"/>
      <c r="S1510" s="22"/>
      <c r="T1510" s="22"/>
      <c r="U1510" s="22"/>
      <c r="V1510" s="22"/>
      <c r="W1510" s="22"/>
      <c r="X1510" s="22"/>
      <c r="Y1510" s="22"/>
      <c r="Z1510" s="22"/>
      <c r="AA1510" s="22"/>
      <c r="AB1510" s="22"/>
      <c r="AC1510" s="22"/>
      <c r="AD1510" s="22"/>
      <c r="AE1510" s="22"/>
      <c r="AF1510" s="22"/>
      <c r="AG1510" s="22"/>
      <c r="AH1510" s="22"/>
      <c r="AI1510" s="22"/>
      <c r="AJ1510" s="22"/>
      <c r="AK1510" s="22"/>
      <c r="AL1510" s="22"/>
      <c r="AM1510" s="22"/>
      <c r="AN1510" s="22"/>
      <c r="AO1510" s="22"/>
    </row>
    <row r="1511" ht="15.75" customHeight="1">
      <c r="A1511" s="22"/>
      <c r="B1511" s="22"/>
      <c r="C1511" s="22"/>
      <c r="D1511" s="22"/>
      <c r="E1511" s="22"/>
      <c r="F1511" s="22"/>
      <c r="G1511" s="130"/>
      <c r="H1511" s="22"/>
      <c r="I1511" s="22"/>
      <c r="J1511" s="22"/>
      <c r="K1511" s="22"/>
      <c r="L1511" s="22"/>
      <c r="M1511" s="22"/>
      <c r="N1511" s="22"/>
      <c r="O1511" s="22"/>
      <c r="P1511" s="22"/>
      <c r="Q1511" s="22"/>
      <c r="R1511" s="22"/>
      <c r="S1511" s="22"/>
      <c r="T1511" s="22"/>
      <c r="U1511" s="22"/>
      <c r="V1511" s="22"/>
      <c r="W1511" s="22"/>
      <c r="X1511" s="22"/>
      <c r="Y1511" s="22"/>
      <c r="Z1511" s="22"/>
      <c r="AA1511" s="22"/>
      <c r="AB1511" s="22"/>
      <c r="AC1511" s="22"/>
      <c r="AD1511" s="22"/>
      <c r="AE1511" s="22"/>
      <c r="AF1511" s="22"/>
      <c r="AG1511" s="22"/>
      <c r="AH1511" s="22"/>
      <c r="AI1511" s="22"/>
      <c r="AJ1511" s="22"/>
      <c r="AK1511" s="22"/>
      <c r="AL1511" s="22"/>
      <c r="AM1511" s="22"/>
      <c r="AN1511" s="22"/>
      <c r="AO1511" s="22"/>
    </row>
    <row r="1512" ht="15.75" customHeight="1">
      <c r="A1512" s="22"/>
      <c r="B1512" s="22"/>
      <c r="C1512" s="22"/>
      <c r="D1512" s="22"/>
      <c r="E1512" s="22"/>
      <c r="F1512" s="22"/>
      <c r="G1512" s="130"/>
      <c r="H1512" s="22"/>
      <c r="I1512" s="22"/>
      <c r="J1512" s="22"/>
      <c r="K1512" s="22"/>
      <c r="L1512" s="22"/>
      <c r="M1512" s="22"/>
      <c r="N1512" s="22"/>
      <c r="O1512" s="22"/>
      <c r="P1512" s="22"/>
      <c r="Q1512" s="22"/>
      <c r="R1512" s="22"/>
      <c r="S1512" s="22"/>
      <c r="T1512" s="22"/>
      <c r="U1512" s="22"/>
      <c r="V1512" s="22"/>
      <c r="W1512" s="22"/>
      <c r="X1512" s="22"/>
      <c r="Y1512" s="22"/>
      <c r="Z1512" s="22"/>
      <c r="AA1512" s="22"/>
      <c r="AB1512" s="22"/>
      <c r="AC1512" s="22"/>
      <c r="AD1512" s="22"/>
      <c r="AE1512" s="22"/>
      <c r="AF1512" s="22"/>
      <c r="AG1512" s="22"/>
      <c r="AH1512" s="22"/>
      <c r="AI1512" s="22"/>
      <c r="AJ1512" s="22"/>
      <c r="AK1512" s="22"/>
      <c r="AL1512" s="22"/>
      <c r="AM1512" s="22"/>
      <c r="AN1512" s="22"/>
      <c r="AO1512" s="22"/>
    </row>
    <row r="1513" ht="15.75" customHeight="1">
      <c r="A1513" s="22"/>
      <c r="B1513" s="22"/>
      <c r="C1513" s="22"/>
      <c r="D1513" s="22"/>
      <c r="E1513" s="22"/>
      <c r="F1513" s="22"/>
      <c r="G1513" s="130"/>
      <c r="H1513" s="22"/>
      <c r="I1513" s="22"/>
      <c r="J1513" s="22"/>
      <c r="K1513" s="22"/>
      <c r="L1513" s="22"/>
      <c r="M1513" s="22"/>
      <c r="N1513" s="22"/>
      <c r="O1513" s="22"/>
      <c r="P1513" s="22"/>
      <c r="Q1513" s="22"/>
      <c r="R1513" s="22"/>
      <c r="S1513" s="22"/>
      <c r="T1513" s="22"/>
      <c r="U1513" s="22"/>
      <c r="V1513" s="22"/>
      <c r="W1513" s="22"/>
      <c r="X1513" s="22"/>
      <c r="Y1513" s="22"/>
      <c r="Z1513" s="22"/>
      <c r="AA1513" s="22"/>
      <c r="AB1513" s="22"/>
      <c r="AC1513" s="22"/>
      <c r="AD1513" s="22"/>
      <c r="AE1513" s="22"/>
      <c r="AF1513" s="22"/>
      <c r="AG1513" s="22"/>
      <c r="AH1513" s="22"/>
      <c r="AI1513" s="22"/>
      <c r="AJ1513" s="22"/>
      <c r="AK1513" s="22"/>
      <c r="AL1513" s="22"/>
      <c r="AM1513" s="22"/>
      <c r="AN1513" s="22"/>
      <c r="AO1513" s="22"/>
    </row>
    <row r="1514" ht="15.75" customHeight="1">
      <c r="A1514" s="22"/>
      <c r="B1514" s="22"/>
      <c r="C1514" s="22"/>
      <c r="D1514" s="22"/>
      <c r="E1514" s="22"/>
      <c r="F1514" s="22"/>
      <c r="G1514" s="130"/>
      <c r="H1514" s="22"/>
      <c r="I1514" s="22"/>
      <c r="J1514" s="22"/>
      <c r="K1514" s="22"/>
      <c r="L1514" s="22"/>
      <c r="M1514" s="22"/>
      <c r="N1514" s="22"/>
      <c r="O1514" s="22"/>
      <c r="P1514" s="22"/>
      <c r="Q1514" s="22"/>
      <c r="R1514" s="22"/>
      <c r="S1514" s="22"/>
      <c r="T1514" s="22"/>
      <c r="U1514" s="22"/>
      <c r="V1514" s="22"/>
      <c r="W1514" s="22"/>
      <c r="X1514" s="22"/>
      <c r="Y1514" s="22"/>
      <c r="Z1514" s="22"/>
      <c r="AA1514" s="22"/>
      <c r="AB1514" s="22"/>
      <c r="AC1514" s="22"/>
      <c r="AD1514" s="22"/>
      <c r="AE1514" s="22"/>
      <c r="AF1514" s="22"/>
      <c r="AG1514" s="22"/>
      <c r="AH1514" s="22"/>
      <c r="AI1514" s="22"/>
      <c r="AJ1514" s="22"/>
      <c r="AK1514" s="22"/>
      <c r="AL1514" s="22"/>
      <c r="AM1514" s="22"/>
      <c r="AN1514" s="22"/>
      <c r="AO1514" s="22"/>
    </row>
    <row r="1515" ht="15.75" customHeight="1">
      <c r="A1515" s="22"/>
      <c r="B1515" s="22"/>
      <c r="C1515" s="22"/>
      <c r="D1515" s="22"/>
      <c r="E1515" s="22"/>
      <c r="F1515" s="22"/>
      <c r="G1515" s="130"/>
      <c r="H1515" s="22"/>
      <c r="I1515" s="22"/>
      <c r="J1515" s="22"/>
      <c r="K1515" s="22"/>
      <c r="L1515" s="22"/>
      <c r="M1515" s="22"/>
      <c r="N1515" s="22"/>
      <c r="O1515" s="22"/>
      <c r="P1515" s="22"/>
      <c r="Q1515" s="22"/>
      <c r="R1515" s="22"/>
      <c r="S1515" s="22"/>
      <c r="T1515" s="22"/>
      <c r="U1515" s="22"/>
      <c r="V1515" s="22"/>
      <c r="W1515" s="22"/>
      <c r="X1515" s="22"/>
      <c r="Y1515" s="22"/>
      <c r="Z1515" s="22"/>
      <c r="AA1515" s="22"/>
      <c r="AB1515" s="22"/>
      <c r="AC1515" s="22"/>
      <c r="AD1515" s="22"/>
      <c r="AE1515" s="22"/>
      <c r="AF1515" s="22"/>
      <c r="AG1515" s="22"/>
      <c r="AH1515" s="22"/>
      <c r="AI1515" s="22"/>
      <c r="AJ1515" s="22"/>
      <c r="AK1515" s="22"/>
      <c r="AL1515" s="22"/>
      <c r="AM1515" s="22"/>
      <c r="AN1515" s="22"/>
      <c r="AO1515" s="22"/>
    </row>
    <row r="1516" ht="15.75" customHeight="1">
      <c r="A1516" s="22"/>
      <c r="B1516" s="22"/>
      <c r="C1516" s="22"/>
      <c r="D1516" s="22"/>
      <c r="E1516" s="22"/>
      <c r="F1516" s="22"/>
      <c r="G1516" s="130"/>
      <c r="H1516" s="22"/>
      <c r="I1516" s="22"/>
      <c r="J1516" s="22"/>
      <c r="K1516" s="22"/>
      <c r="L1516" s="22"/>
      <c r="M1516" s="22"/>
      <c r="N1516" s="22"/>
      <c r="O1516" s="22"/>
      <c r="P1516" s="22"/>
      <c r="Q1516" s="22"/>
      <c r="R1516" s="22"/>
      <c r="S1516" s="22"/>
      <c r="T1516" s="22"/>
      <c r="U1516" s="22"/>
      <c r="V1516" s="22"/>
      <c r="W1516" s="22"/>
      <c r="X1516" s="22"/>
      <c r="Y1516" s="22"/>
      <c r="Z1516" s="22"/>
      <c r="AA1516" s="22"/>
      <c r="AB1516" s="22"/>
      <c r="AC1516" s="22"/>
      <c r="AD1516" s="22"/>
      <c r="AE1516" s="22"/>
      <c r="AF1516" s="22"/>
      <c r="AG1516" s="22"/>
      <c r="AH1516" s="22"/>
      <c r="AI1516" s="22"/>
      <c r="AJ1516" s="22"/>
      <c r="AK1516" s="22"/>
      <c r="AL1516" s="22"/>
      <c r="AM1516" s="22"/>
      <c r="AN1516" s="22"/>
      <c r="AO1516" s="22"/>
    </row>
    <row r="1517" ht="15.75" customHeight="1">
      <c r="A1517" s="22"/>
      <c r="B1517" s="22"/>
      <c r="C1517" s="22"/>
      <c r="D1517" s="22"/>
      <c r="E1517" s="22"/>
      <c r="F1517" s="22"/>
      <c r="G1517" s="130"/>
      <c r="H1517" s="22"/>
      <c r="I1517" s="22"/>
      <c r="J1517" s="22"/>
      <c r="K1517" s="22"/>
      <c r="L1517" s="22"/>
      <c r="M1517" s="22"/>
      <c r="N1517" s="22"/>
      <c r="O1517" s="22"/>
      <c r="P1517" s="22"/>
      <c r="Q1517" s="22"/>
      <c r="R1517" s="22"/>
      <c r="S1517" s="22"/>
      <c r="T1517" s="22"/>
      <c r="U1517" s="22"/>
      <c r="V1517" s="22"/>
      <c r="W1517" s="22"/>
      <c r="X1517" s="22"/>
      <c r="Y1517" s="22"/>
      <c r="Z1517" s="22"/>
      <c r="AA1517" s="22"/>
      <c r="AB1517" s="22"/>
      <c r="AC1517" s="22"/>
      <c r="AD1517" s="22"/>
      <c r="AE1517" s="22"/>
      <c r="AF1517" s="22"/>
      <c r="AG1517" s="22"/>
      <c r="AH1517" s="22"/>
      <c r="AI1517" s="22"/>
      <c r="AJ1517" s="22"/>
      <c r="AK1517" s="22"/>
      <c r="AL1517" s="22"/>
      <c r="AM1517" s="22"/>
      <c r="AN1517" s="22"/>
      <c r="AO1517" s="22"/>
    </row>
    <row r="1518" ht="15.75" customHeight="1">
      <c r="A1518" s="22"/>
      <c r="B1518" s="22"/>
      <c r="C1518" s="22"/>
      <c r="D1518" s="22"/>
      <c r="E1518" s="22"/>
      <c r="F1518" s="22"/>
      <c r="G1518" s="130"/>
      <c r="H1518" s="22"/>
      <c r="I1518" s="22"/>
      <c r="J1518" s="22"/>
      <c r="K1518" s="22"/>
      <c r="L1518" s="22"/>
      <c r="M1518" s="22"/>
      <c r="N1518" s="22"/>
      <c r="O1518" s="22"/>
      <c r="P1518" s="22"/>
      <c r="Q1518" s="22"/>
      <c r="R1518" s="22"/>
      <c r="S1518" s="22"/>
      <c r="T1518" s="22"/>
      <c r="U1518" s="22"/>
      <c r="V1518" s="22"/>
      <c r="W1518" s="22"/>
      <c r="X1518" s="22"/>
      <c r="Y1518" s="22"/>
      <c r="Z1518" s="22"/>
      <c r="AA1518" s="22"/>
      <c r="AB1518" s="22"/>
      <c r="AC1518" s="22"/>
      <c r="AD1518" s="22"/>
      <c r="AE1518" s="22"/>
      <c r="AF1518" s="22"/>
      <c r="AG1518" s="22"/>
      <c r="AH1518" s="22"/>
      <c r="AI1518" s="22"/>
      <c r="AJ1518" s="22"/>
      <c r="AK1518" s="22"/>
      <c r="AL1518" s="22"/>
      <c r="AM1518" s="22"/>
      <c r="AN1518" s="22"/>
      <c r="AO1518" s="22"/>
    </row>
    <row r="1519" ht="15.75" customHeight="1">
      <c r="A1519" s="22"/>
      <c r="B1519" s="22"/>
      <c r="C1519" s="22"/>
      <c r="D1519" s="22"/>
      <c r="E1519" s="22"/>
      <c r="F1519" s="22"/>
      <c r="G1519" s="130"/>
      <c r="H1519" s="22"/>
      <c r="I1519" s="22"/>
      <c r="J1519" s="22"/>
      <c r="K1519" s="22"/>
      <c r="L1519" s="22"/>
      <c r="M1519" s="22"/>
      <c r="N1519" s="22"/>
      <c r="O1519" s="22"/>
      <c r="P1519" s="22"/>
      <c r="Q1519" s="22"/>
      <c r="R1519" s="22"/>
      <c r="S1519" s="22"/>
      <c r="T1519" s="22"/>
      <c r="U1519" s="22"/>
      <c r="V1519" s="22"/>
      <c r="W1519" s="22"/>
      <c r="X1519" s="22"/>
      <c r="Y1519" s="22"/>
      <c r="Z1519" s="22"/>
      <c r="AA1519" s="22"/>
      <c r="AB1519" s="22"/>
      <c r="AC1519" s="22"/>
      <c r="AD1519" s="22"/>
      <c r="AE1519" s="22"/>
      <c r="AF1519" s="22"/>
      <c r="AG1519" s="22"/>
      <c r="AH1519" s="22"/>
      <c r="AI1519" s="22"/>
      <c r="AJ1519" s="22"/>
      <c r="AK1519" s="22"/>
      <c r="AL1519" s="22"/>
      <c r="AM1519" s="22"/>
      <c r="AN1519" s="22"/>
      <c r="AO1519" s="22"/>
    </row>
    <row r="1520" ht="15.75" customHeight="1">
      <c r="A1520" s="22"/>
      <c r="B1520" s="22"/>
      <c r="C1520" s="22"/>
      <c r="D1520" s="22"/>
      <c r="E1520" s="22"/>
      <c r="F1520" s="22"/>
      <c r="G1520" s="130"/>
      <c r="H1520" s="22"/>
      <c r="I1520" s="22"/>
      <c r="J1520" s="22"/>
      <c r="K1520" s="22"/>
      <c r="L1520" s="22"/>
      <c r="M1520" s="22"/>
      <c r="N1520" s="22"/>
      <c r="O1520" s="22"/>
      <c r="P1520" s="22"/>
      <c r="Q1520" s="22"/>
      <c r="R1520" s="22"/>
      <c r="S1520" s="22"/>
      <c r="T1520" s="22"/>
      <c r="U1520" s="22"/>
      <c r="V1520" s="22"/>
      <c r="W1520" s="22"/>
      <c r="X1520" s="22"/>
      <c r="Y1520" s="22"/>
      <c r="Z1520" s="22"/>
      <c r="AA1520" s="22"/>
      <c r="AB1520" s="22"/>
      <c r="AC1520" s="22"/>
      <c r="AD1520" s="22"/>
      <c r="AE1520" s="22"/>
      <c r="AF1520" s="22"/>
      <c r="AG1520" s="22"/>
      <c r="AH1520" s="22"/>
      <c r="AI1520" s="22"/>
      <c r="AJ1520" s="22"/>
      <c r="AK1520" s="22"/>
      <c r="AL1520" s="22"/>
      <c r="AM1520" s="22"/>
      <c r="AN1520" s="22"/>
      <c r="AO1520" s="22"/>
    </row>
    <row r="1521" ht="15.75" customHeight="1">
      <c r="A1521" s="22"/>
      <c r="B1521" s="22"/>
      <c r="C1521" s="22"/>
      <c r="D1521" s="22"/>
      <c r="E1521" s="22"/>
      <c r="F1521" s="22"/>
      <c r="G1521" s="130"/>
      <c r="H1521" s="22"/>
      <c r="I1521" s="22"/>
      <c r="J1521" s="22"/>
      <c r="K1521" s="22"/>
      <c r="L1521" s="22"/>
      <c r="M1521" s="22"/>
      <c r="N1521" s="22"/>
      <c r="O1521" s="22"/>
      <c r="P1521" s="22"/>
      <c r="Q1521" s="22"/>
      <c r="R1521" s="22"/>
      <c r="S1521" s="22"/>
      <c r="T1521" s="22"/>
      <c r="U1521" s="22"/>
      <c r="V1521" s="22"/>
      <c r="W1521" s="22"/>
      <c r="X1521" s="22"/>
      <c r="Y1521" s="22"/>
      <c r="Z1521" s="22"/>
      <c r="AA1521" s="22"/>
      <c r="AB1521" s="22"/>
      <c r="AC1521" s="22"/>
      <c r="AD1521" s="22"/>
      <c r="AE1521" s="22"/>
      <c r="AF1521" s="22"/>
      <c r="AG1521" s="22"/>
      <c r="AH1521" s="22"/>
      <c r="AI1521" s="22"/>
      <c r="AJ1521" s="22"/>
      <c r="AK1521" s="22"/>
      <c r="AL1521" s="22"/>
      <c r="AM1521" s="22"/>
      <c r="AN1521" s="22"/>
      <c r="AO1521" s="22"/>
    </row>
    <row r="1522" ht="15.75" customHeight="1">
      <c r="A1522" s="22"/>
      <c r="B1522" s="22"/>
      <c r="C1522" s="22"/>
      <c r="D1522" s="22"/>
      <c r="E1522" s="22"/>
      <c r="F1522" s="22"/>
      <c r="G1522" s="130"/>
      <c r="H1522" s="22"/>
      <c r="I1522" s="22"/>
      <c r="J1522" s="22"/>
      <c r="K1522" s="22"/>
      <c r="L1522" s="22"/>
      <c r="M1522" s="22"/>
      <c r="N1522" s="22"/>
      <c r="O1522" s="22"/>
      <c r="P1522" s="22"/>
      <c r="Q1522" s="22"/>
      <c r="R1522" s="22"/>
      <c r="S1522" s="22"/>
      <c r="T1522" s="22"/>
      <c r="U1522" s="22"/>
      <c r="V1522" s="22"/>
      <c r="W1522" s="22"/>
      <c r="X1522" s="22"/>
      <c r="Y1522" s="22"/>
      <c r="Z1522" s="22"/>
      <c r="AA1522" s="22"/>
      <c r="AB1522" s="22"/>
      <c r="AC1522" s="22"/>
      <c r="AD1522" s="22"/>
      <c r="AE1522" s="22"/>
      <c r="AF1522" s="22"/>
      <c r="AG1522" s="22"/>
      <c r="AH1522" s="22"/>
      <c r="AI1522" s="22"/>
      <c r="AJ1522" s="22"/>
      <c r="AK1522" s="22"/>
      <c r="AL1522" s="22"/>
      <c r="AM1522" s="22"/>
      <c r="AN1522" s="22"/>
      <c r="AO1522" s="22"/>
    </row>
    <row r="1523" ht="15.75" customHeight="1">
      <c r="A1523" s="22"/>
      <c r="B1523" s="22"/>
      <c r="C1523" s="22"/>
      <c r="D1523" s="22"/>
      <c r="E1523" s="22"/>
      <c r="F1523" s="22"/>
      <c r="G1523" s="130"/>
      <c r="H1523" s="22"/>
      <c r="I1523" s="22"/>
      <c r="J1523" s="22"/>
      <c r="K1523" s="22"/>
      <c r="L1523" s="22"/>
      <c r="M1523" s="22"/>
      <c r="N1523" s="22"/>
      <c r="O1523" s="22"/>
      <c r="P1523" s="22"/>
      <c r="Q1523" s="22"/>
      <c r="R1523" s="22"/>
      <c r="S1523" s="22"/>
      <c r="T1523" s="22"/>
      <c r="U1523" s="22"/>
      <c r="V1523" s="22"/>
      <c r="W1523" s="22"/>
      <c r="X1523" s="22"/>
      <c r="Y1523" s="22"/>
      <c r="Z1523" s="22"/>
      <c r="AA1523" s="22"/>
      <c r="AB1523" s="22"/>
      <c r="AC1523" s="22"/>
      <c r="AD1523" s="22"/>
      <c r="AE1523" s="22"/>
      <c r="AF1523" s="22"/>
      <c r="AG1523" s="22"/>
      <c r="AH1523" s="22"/>
      <c r="AI1523" s="22"/>
      <c r="AJ1523" s="22"/>
      <c r="AK1523" s="22"/>
      <c r="AL1523" s="22"/>
      <c r="AM1523" s="22"/>
      <c r="AN1523" s="22"/>
      <c r="AO1523" s="22"/>
    </row>
    <row r="1524" ht="15.75" customHeight="1">
      <c r="A1524" s="22"/>
      <c r="B1524" s="22"/>
      <c r="C1524" s="22"/>
      <c r="D1524" s="22"/>
      <c r="E1524" s="22"/>
      <c r="F1524" s="22"/>
      <c r="G1524" s="130"/>
      <c r="H1524" s="22"/>
      <c r="I1524" s="22"/>
      <c r="J1524" s="22"/>
      <c r="K1524" s="22"/>
      <c r="L1524" s="22"/>
      <c r="M1524" s="22"/>
      <c r="N1524" s="22"/>
      <c r="O1524" s="22"/>
      <c r="P1524" s="22"/>
      <c r="Q1524" s="22"/>
      <c r="R1524" s="22"/>
      <c r="S1524" s="22"/>
      <c r="T1524" s="22"/>
      <c r="U1524" s="22"/>
      <c r="V1524" s="22"/>
      <c r="W1524" s="22"/>
      <c r="X1524" s="22"/>
      <c r="Y1524" s="22"/>
      <c r="Z1524" s="22"/>
      <c r="AA1524" s="22"/>
      <c r="AB1524" s="22"/>
      <c r="AC1524" s="22"/>
      <c r="AD1524" s="22"/>
      <c r="AE1524" s="22"/>
      <c r="AF1524" s="22"/>
      <c r="AG1524" s="22"/>
      <c r="AH1524" s="22"/>
      <c r="AI1524" s="22"/>
      <c r="AJ1524" s="22"/>
      <c r="AK1524" s="22"/>
      <c r="AL1524" s="22"/>
      <c r="AM1524" s="22"/>
      <c r="AN1524" s="22"/>
      <c r="AO1524" s="22"/>
    </row>
    <row r="1525" ht="15.75" customHeight="1">
      <c r="A1525" s="22"/>
      <c r="B1525" s="22"/>
      <c r="C1525" s="22"/>
      <c r="D1525" s="22"/>
      <c r="E1525" s="22"/>
      <c r="F1525" s="22"/>
      <c r="G1525" s="130"/>
      <c r="H1525" s="22"/>
      <c r="I1525" s="22"/>
      <c r="J1525" s="22"/>
      <c r="K1525" s="22"/>
      <c r="L1525" s="22"/>
      <c r="M1525" s="22"/>
      <c r="N1525" s="22"/>
      <c r="O1525" s="22"/>
      <c r="P1525" s="22"/>
      <c r="Q1525" s="22"/>
      <c r="R1525" s="22"/>
      <c r="S1525" s="22"/>
      <c r="T1525" s="22"/>
      <c r="U1525" s="22"/>
      <c r="V1525" s="22"/>
      <c r="W1525" s="22"/>
      <c r="X1525" s="22"/>
      <c r="Y1525" s="22"/>
      <c r="Z1525" s="22"/>
      <c r="AA1525" s="22"/>
      <c r="AB1525" s="22"/>
      <c r="AC1525" s="22"/>
      <c r="AD1525" s="22"/>
      <c r="AE1525" s="22"/>
      <c r="AF1525" s="22"/>
      <c r="AG1525" s="22"/>
      <c r="AH1525" s="22"/>
      <c r="AI1525" s="22"/>
      <c r="AJ1525" s="22"/>
      <c r="AK1525" s="22"/>
      <c r="AL1525" s="22"/>
      <c r="AM1525" s="22"/>
      <c r="AN1525" s="22"/>
      <c r="AO1525" s="22"/>
    </row>
    <row r="1526" ht="15.75" customHeight="1">
      <c r="A1526" s="22"/>
      <c r="B1526" s="22"/>
      <c r="C1526" s="22"/>
      <c r="D1526" s="22"/>
      <c r="E1526" s="22"/>
      <c r="F1526" s="22"/>
      <c r="G1526" s="130"/>
      <c r="H1526" s="22"/>
      <c r="I1526" s="22"/>
      <c r="J1526" s="22"/>
      <c r="K1526" s="22"/>
      <c r="L1526" s="22"/>
      <c r="M1526" s="22"/>
      <c r="N1526" s="22"/>
      <c r="O1526" s="22"/>
      <c r="P1526" s="22"/>
      <c r="Q1526" s="22"/>
      <c r="R1526" s="22"/>
      <c r="S1526" s="22"/>
      <c r="T1526" s="22"/>
      <c r="U1526" s="22"/>
      <c r="V1526" s="22"/>
      <c r="W1526" s="22"/>
      <c r="X1526" s="22"/>
      <c r="Y1526" s="22"/>
      <c r="Z1526" s="22"/>
      <c r="AA1526" s="22"/>
      <c r="AB1526" s="22"/>
      <c r="AC1526" s="22"/>
      <c r="AD1526" s="22"/>
      <c r="AE1526" s="22"/>
      <c r="AF1526" s="22"/>
      <c r="AG1526" s="22"/>
      <c r="AH1526" s="22"/>
      <c r="AI1526" s="22"/>
      <c r="AJ1526" s="22"/>
      <c r="AK1526" s="22"/>
      <c r="AL1526" s="22"/>
      <c r="AM1526" s="22"/>
      <c r="AN1526" s="22"/>
      <c r="AO1526" s="22"/>
    </row>
    <row r="1527" ht="15.75" customHeight="1">
      <c r="A1527" s="22"/>
      <c r="B1527" s="22"/>
      <c r="C1527" s="22"/>
      <c r="D1527" s="22"/>
      <c r="E1527" s="22"/>
      <c r="F1527" s="22"/>
      <c r="G1527" s="130"/>
      <c r="H1527" s="22"/>
      <c r="I1527" s="22"/>
      <c r="J1527" s="22"/>
      <c r="K1527" s="22"/>
      <c r="L1527" s="22"/>
      <c r="M1527" s="22"/>
      <c r="N1527" s="22"/>
      <c r="O1527" s="22"/>
      <c r="P1527" s="22"/>
      <c r="Q1527" s="22"/>
      <c r="R1527" s="22"/>
      <c r="S1527" s="22"/>
      <c r="T1527" s="22"/>
      <c r="U1527" s="22"/>
      <c r="V1527" s="22"/>
      <c r="W1527" s="22"/>
      <c r="X1527" s="22"/>
      <c r="Y1527" s="22"/>
      <c r="Z1527" s="22"/>
      <c r="AA1527" s="22"/>
      <c r="AB1527" s="22"/>
      <c r="AC1527" s="22"/>
      <c r="AD1527" s="22"/>
      <c r="AE1527" s="22"/>
      <c r="AF1527" s="22"/>
      <c r="AG1527" s="22"/>
      <c r="AH1527" s="22"/>
      <c r="AI1527" s="22"/>
      <c r="AJ1527" s="22"/>
      <c r="AK1527" s="22"/>
      <c r="AL1527" s="22"/>
      <c r="AM1527" s="22"/>
      <c r="AN1527" s="22"/>
      <c r="AO1527" s="22"/>
    </row>
    <row r="1528" ht="15.75" customHeight="1">
      <c r="A1528" s="22"/>
      <c r="B1528" s="22"/>
      <c r="C1528" s="22"/>
      <c r="D1528" s="22"/>
      <c r="E1528" s="22"/>
      <c r="F1528" s="22"/>
      <c r="G1528" s="130"/>
      <c r="H1528" s="22"/>
      <c r="I1528" s="22"/>
      <c r="J1528" s="22"/>
      <c r="K1528" s="22"/>
      <c r="L1528" s="22"/>
      <c r="M1528" s="22"/>
      <c r="N1528" s="22"/>
      <c r="O1528" s="22"/>
      <c r="P1528" s="22"/>
      <c r="Q1528" s="22"/>
      <c r="R1528" s="22"/>
      <c r="S1528" s="22"/>
      <c r="T1528" s="22"/>
      <c r="U1528" s="22"/>
      <c r="V1528" s="22"/>
      <c r="W1528" s="22"/>
      <c r="X1528" s="22"/>
      <c r="Y1528" s="22"/>
      <c r="Z1528" s="22"/>
      <c r="AA1528" s="22"/>
      <c r="AB1528" s="22"/>
      <c r="AC1528" s="22"/>
      <c r="AD1528" s="22"/>
      <c r="AE1528" s="22"/>
      <c r="AF1528" s="22"/>
      <c r="AG1528" s="22"/>
      <c r="AH1528" s="22"/>
      <c r="AI1528" s="22"/>
      <c r="AJ1528" s="22"/>
      <c r="AK1528" s="22"/>
      <c r="AL1528" s="22"/>
      <c r="AM1528" s="22"/>
      <c r="AN1528" s="22"/>
      <c r="AO1528" s="22"/>
    </row>
    <row r="1529" ht="15.75" customHeight="1">
      <c r="A1529" s="22"/>
      <c r="B1529" s="22"/>
      <c r="C1529" s="22"/>
      <c r="D1529" s="22"/>
      <c r="E1529" s="22"/>
      <c r="F1529" s="22"/>
      <c r="G1529" s="130"/>
      <c r="H1529" s="22"/>
      <c r="I1529" s="22"/>
      <c r="J1529" s="22"/>
      <c r="K1529" s="22"/>
      <c r="L1529" s="22"/>
      <c r="M1529" s="22"/>
      <c r="N1529" s="22"/>
      <c r="O1529" s="22"/>
      <c r="P1529" s="22"/>
      <c r="Q1529" s="22"/>
      <c r="R1529" s="22"/>
      <c r="S1529" s="22"/>
      <c r="T1529" s="22"/>
      <c r="U1529" s="22"/>
      <c r="V1529" s="22"/>
      <c r="W1529" s="22"/>
      <c r="X1529" s="22"/>
      <c r="Y1529" s="22"/>
      <c r="Z1529" s="22"/>
      <c r="AA1529" s="22"/>
      <c r="AB1529" s="22"/>
      <c r="AC1529" s="22"/>
      <c r="AD1529" s="22"/>
      <c r="AE1529" s="22"/>
      <c r="AF1529" s="22"/>
      <c r="AG1529" s="22"/>
      <c r="AH1529" s="22"/>
      <c r="AI1529" s="22"/>
      <c r="AJ1529" s="22"/>
      <c r="AK1529" s="22"/>
      <c r="AL1529" s="22"/>
      <c r="AM1529" s="22"/>
      <c r="AN1529" s="22"/>
      <c r="AO1529" s="22"/>
    </row>
    <row r="1530" ht="15.75" customHeight="1">
      <c r="A1530" s="22"/>
      <c r="B1530" s="22"/>
      <c r="C1530" s="22"/>
      <c r="D1530" s="22"/>
      <c r="E1530" s="22"/>
      <c r="F1530" s="22"/>
      <c r="G1530" s="130"/>
      <c r="H1530" s="22"/>
      <c r="I1530" s="22"/>
      <c r="J1530" s="22"/>
      <c r="K1530" s="22"/>
      <c r="L1530" s="22"/>
      <c r="M1530" s="22"/>
      <c r="N1530" s="22"/>
      <c r="O1530" s="22"/>
      <c r="P1530" s="22"/>
      <c r="Q1530" s="22"/>
      <c r="R1530" s="22"/>
      <c r="S1530" s="22"/>
      <c r="T1530" s="22"/>
      <c r="U1530" s="22"/>
      <c r="V1530" s="22"/>
      <c r="W1530" s="22"/>
      <c r="X1530" s="22"/>
      <c r="Y1530" s="22"/>
      <c r="Z1530" s="22"/>
      <c r="AA1530" s="22"/>
      <c r="AB1530" s="22"/>
      <c r="AC1530" s="22"/>
      <c r="AD1530" s="22"/>
      <c r="AE1530" s="22"/>
      <c r="AF1530" s="22"/>
      <c r="AG1530" s="22"/>
      <c r="AH1530" s="22"/>
      <c r="AI1530" s="22"/>
      <c r="AJ1530" s="22"/>
      <c r="AK1530" s="22"/>
      <c r="AL1530" s="22"/>
      <c r="AM1530" s="22"/>
      <c r="AN1530" s="22"/>
      <c r="AO1530" s="22"/>
    </row>
    <row r="1531" ht="15.75" customHeight="1">
      <c r="A1531" s="22"/>
      <c r="B1531" s="22"/>
      <c r="C1531" s="22"/>
      <c r="D1531" s="22"/>
      <c r="E1531" s="22"/>
      <c r="F1531" s="22"/>
      <c r="G1531" s="130"/>
      <c r="H1531" s="22"/>
      <c r="I1531" s="22"/>
      <c r="J1531" s="22"/>
      <c r="K1531" s="22"/>
      <c r="L1531" s="22"/>
      <c r="M1531" s="22"/>
      <c r="N1531" s="22"/>
      <c r="O1531" s="22"/>
      <c r="P1531" s="22"/>
      <c r="Q1531" s="22"/>
      <c r="R1531" s="22"/>
      <c r="S1531" s="22"/>
      <c r="T1531" s="22"/>
      <c r="U1531" s="22"/>
      <c r="V1531" s="22"/>
      <c r="W1531" s="22"/>
      <c r="X1531" s="22"/>
      <c r="Y1531" s="22"/>
      <c r="Z1531" s="22"/>
      <c r="AA1531" s="22"/>
      <c r="AB1531" s="22"/>
      <c r="AC1531" s="22"/>
      <c r="AD1531" s="22"/>
      <c r="AE1531" s="22"/>
      <c r="AF1531" s="22"/>
      <c r="AG1531" s="22"/>
      <c r="AH1531" s="22"/>
      <c r="AI1531" s="22"/>
      <c r="AJ1531" s="22"/>
      <c r="AK1531" s="22"/>
      <c r="AL1531" s="22"/>
      <c r="AM1531" s="22"/>
      <c r="AN1531" s="22"/>
      <c r="AO1531" s="22"/>
    </row>
    <row r="1532" ht="15.75" customHeight="1">
      <c r="A1532" s="22"/>
      <c r="B1532" s="22"/>
      <c r="C1532" s="22"/>
      <c r="D1532" s="22"/>
      <c r="E1532" s="22"/>
      <c r="F1532" s="22"/>
      <c r="G1532" s="130"/>
      <c r="H1532" s="22"/>
      <c r="I1532" s="22"/>
      <c r="J1532" s="22"/>
      <c r="K1532" s="22"/>
      <c r="L1532" s="22"/>
      <c r="M1532" s="22"/>
      <c r="N1532" s="22"/>
      <c r="O1532" s="22"/>
      <c r="P1532" s="22"/>
      <c r="Q1532" s="22"/>
      <c r="R1532" s="22"/>
      <c r="S1532" s="22"/>
      <c r="T1532" s="22"/>
      <c r="U1532" s="22"/>
      <c r="V1532" s="22"/>
      <c r="W1532" s="22"/>
      <c r="X1532" s="22"/>
      <c r="Y1532" s="22"/>
      <c r="Z1532" s="22"/>
      <c r="AA1532" s="22"/>
      <c r="AB1532" s="22"/>
      <c r="AC1532" s="22"/>
      <c r="AD1532" s="22"/>
      <c r="AE1532" s="22"/>
      <c r="AF1532" s="22"/>
      <c r="AG1532" s="22"/>
      <c r="AH1532" s="22"/>
      <c r="AI1532" s="22"/>
      <c r="AJ1532" s="22"/>
      <c r="AK1532" s="22"/>
      <c r="AL1532" s="22"/>
      <c r="AM1532" s="22"/>
      <c r="AN1532" s="22"/>
      <c r="AO1532" s="22"/>
    </row>
    <row r="1533" ht="15.75" customHeight="1">
      <c r="A1533" s="22"/>
      <c r="B1533" s="22"/>
      <c r="C1533" s="22"/>
      <c r="D1533" s="22"/>
      <c r="E1533" s="22"/>
      <c r="F1533" s="22"/>
      <c r="G1533" s="130"/>
      <c r="H1533" s="22"/>
      <c r="I1533" s="22"/>
      <c r="J1533" s="22"/>
      <c r="K1533" s="22"/>
      <c r="L1533" s="22"/>
      <c r="M1533" s="22"/>
      <c r="N1533" s="22"/>
      <c r="O1533" s="22"/>
      <c r="P1533" s="22"/>
      <c r="Q1533" s="22"/>
      <c r="R1533" s="22"/>
      <c r="S1533" s="22"/>
      <c r="T1533" s="22"/>
      <c r="U1533" s="22"/>
      <c r="V1533" s="22"/>
      <c r="W1533" s="22"/>
      <c r="X1533" s="22"/>
      <c r="Y1533" s="22"/>
      <c r="Z1533" s="22"/>
      <c r="AA1533" s="22"/>
      <c r="AB1533" s="22"/>
      <c r="AC1533" s="22"/>
      <c r="AD1533" s="22"/>
      <c r="AE1533" s="22"/>
      <c r="AF1533" s="22"/>
      <c r="AG1533" s="22"/>
      <c r="AH1533" s="22"/>
      <c r="AI1533" s="22"/>
      <c r="AJ1533" s="22"/>
      <c r="AK1533" s="22"/>
      <c r="AL1533" s="22"/>
      <c r="AM1533" s="22"/>
      <c r="AN1533" s="22"/>
      <c r="AO1533" s="22"/>
    </row>
    <row r="1534" ht="15.75" customHeight="1">
      <c r="A1534" s="22"/>
      <c r="B1534" s="22"/>
      <c r="C1534" s="22"/>
      <c r="D1534" s="22"/>
      <c r="E1534" s="22"/>
      <c r="F1534" s="22"/>
      <c r="G1534" s="130"/>
      <c r="H1534" s="22"/>
      <c r="I1534" s="22"/>
      <c r="J1534" s="22"/>
      <c r="K1534" s="22"/>
      <c r="L1534" s="22"/>
      <c r="M1534" s="22"/>
      <c r="N1534" s="22"/>
      <c r="O1534" s="22"/>
      <c r="P1534" s="22"/>
      <c r="Q1534" s="22"/>
      <c r="R1534" s="22"/>
      <c r="S1534" s="22"/>
      <c r="T1534" s="22"/>
      <c r="U1534" s="22"/>
      <c r="V1534" s="22"/>
      <c r="W1534" s="22"/>
      <c r="X1534" s="22"/>
      <c r="Y1534" s="22"/>
      <c r="Z1534" s="22"/>
      <c r="AA1534" s="22"/>
      <c r="AB1534" s="22"/>
      <c r="AC1534" s="22"/>
      <c r="AD1534" s="22"/>
      <c r="AE1534" s="22"/>
      <c r="AF1534" s="22"/>
      <c r="AG1534" s="22"/>
      <c r="AH1534" s="22"/>
      <c r="AI1534" s="22"/>
      <c r="AJ1534" s="22"/>
      <c r="AK1534" s="22"/>
      <c r="AL1534" s="22"/>
      <c r="AM1534" s="22"/>
      <c r="AN1534" s="22"/>
      <c r="AO1534" s="22"/>
    </row>
    <row r="1535" ht="15.75" customHeight="1">
      <c r="A1535" s="22"/>
      <c r="B1535" s="22"/>
      <c r="C1535" s="22"/>
      <c r="D1535" s="22"/>
      <c r="E1535" s="22"/>
      <c r="F1535" s="22"/>
      <c r="G1535" s="130"/>
      <c r="H1535" s="22"/>
      <c r="I1535" s="22"/>
      <c r="J1535" s="22"/>
      <c r="K1535" s="22"/>
      <c r="L1535" s="22"/>
      <c r="M1535" s="22"/>
      <c r="N1535" s="22"/>
      <c r="O1535" s="22"/>
      <c r="P1535" s="22"/>
      <c r="Q1535" s="22"/>
      <c r="R1535" s="22"/>
      <c r="S1535" s="22"/>
      <c r="T1535" s="22"/>
      <c r="U1535" s="22"/>
      <c r="V1535" s="22"/>
      <c r="W1535" s="22"/>
      <c r="X1535" s="22"/>
      <c r="Y1535" s="22"/>
      <c r="Z1535" s="22"/>
      <c r="AA1535" s="22"/>
      <c r="AB1535" s="22"/>
      <c r="AC1535" s="22"/>
      <c r="AD1535" s="22"/>
      <c r="AE1535" s="22"/>
      <c r="AF1535" s="22"/>
      <c r="AG1535" s="22"/>
      <c r="AH1535" s="22"/>
      <c r="AI1535" s="22"/>
      <c r="AJ1535" s="22"/>
      <c r="AK1535" s="22"/>
      <c r="AL1535" s="22"/>
      <c r="AM1535" s="22"/>
      <c r="AN1535" s="22"/>
      <c r="AO1535" s="22"/>
    </row>
    <row r="1536" ht="15.75" customHeight="1">
      <c r="A1536" s="22"/>
      <c r="B1536" s="22"/>
      <c r="C1536" s="22"/>
      <c r="D1536" s="22"/>
      <c r="E1536" s="22"/>
      <c r="F1536" s="22"/>
      <c r="G1536" s="130"/>
      <c r="H1536" s="22"/>
      <c r="I1536" s="22"/>
      <c r="J1536" s="22"/>
      <c r="K1536" s="22"/>
      <c r="L1536" s="22"/>
      <c r="M1536" s="22"/>
      <c r="N1536" s="22"/>
      <c r="O1536" s="22"/>
      <c r="P1536" s="22"/>
      <c r="Q1536" s="22"/>
      <c r="R1536" s="22"/>
      <c r="S1536" s="22"/>
      <c r="T1536" s="22"/>
      <c r="U1536" s="22"/>
      <c r="V1536" s="22"/>
      <c r="W1536" s="22"/>
      <c r="X1536" s="22"/>
      <c r="Y1536" s="22"/>
      <c r="Z1536" s="22"/>
      <c r="AA1536" s="22"/>
      <c r="AB1536" s="22"/>
      <c r="AC1536" s="22"/>
      <c r="AD1536" s="22"/>
      <c r="AE1536" s="22"/>
      <c r="AF1536" s="22"/>
      <c r="AG1536" s="22"/>
      <c r="AH1536" s="22"/>
      <c r="AI1536" s="22"/>
      <c r="AJ1536" s="22"/>
      <c r="AK1536" s="22"/>
      <c r="AL1536" s="22"/>
      <c r="AM1536" s="22"/>
      <c r="AN1536" s="22"/>
      <c r="AO1536" s="22"/>
    </row>
    <row r="1537" ht="15.75" customHeight="1">
      <c r="A1537" s="22"/>
      <c r="B1537" s="22"/>
      <c r="C1537" s="22"/>
      <c r="D1537" s="22"/>
      <c r="E1537" s="22"/>
      <c r="F1537" s="22"/>
      <c r="G1537" s="130"/>
      <c r="H1537" s="22"/>
      <c r="I1537" s="22"/>
      <c r="J1537" s="22"/>
      <c r="K1537" s="22"/>
      <c r="L1537" s="22"/>
      <c r="M1537" s="22"/>
      <c r="N1537" s="22"/>
      <c r="O1537" s="22"/>
      <c r="P1537" s="22"/>
      <c r="Q1537" s="22"/>
      <c r="R1537" s="22"/>
      <c r="S1537" s="22"/>
      <c r="T1537" s="22"/>
      <c r="U1537" s="22"/>
      <c r="V1537" s="22"/>
      <c r="W1537" s="22"/>
      <c r="X1537" s="22"/>
      <c r="Y1537" s="22"/>
      <c r="Z1537" s="22"/>
      <c r="AA1537" s="22"/>
      <c r="AB1537" s="22"/>
      <c r="AC1537" s="22"/>
      <c r="AD1537" s="22"/>
      <c r="AE1537" s="22"/>
      <c r="AF1537" s="22"/>
      <c r="AG1537" s="22"/>
      <c r="AH1537" s="22"/>
      <c r="AI1537" s="22"/>
      <c r="AJ1537" s="22"/>
      <c r="AK1537" s="22"/>
      <c r="AL1537" s="22"/>
      <c r="AM1537" s="22"/>
      <c r="AN1537" s="22"/>
      <c r="AO1537" s="22"/>
    </row>
    <row r="1538" ht="15.75" customHeight="1">
      <c r="A1538" s="22"/>
      <c r="B1538" s="22"/>
      <c r="C1538" s="22"/>
      <c r="D1538" s="22"/>
      <c r="E1538" s="22"/>
      <c r="F1538" s="22"/>
      <c r="G1538" s="130"/>
      <c r="H1538" s="22"/>
      <c r="I1538" s="22"/>
      <c r="J1538" s="22"/>
      <c r="K1538" s="22"/>
      <c r="L1538" s="22"/>
      <c r="M1538" s="22"/>
      <c r="N1538" s="22"/>
      <c r="O1538" s="22"/>
      <c r="P1538" s="22"/>
      <c r="Q1538" s="22"/>
      <c r="R1538" s="22"/>
      <c r="S1538" s="22"/>
      <c r="T1538" s="22"/>
      <c r="U1538" s="22"/>
      <c r="V1538" s="22"/>
      <c r="W1538" s="22"/>
      <c r="X1538" s="22"/>
      <c r="Y1538" s="22"/>
      <c r="Z1538" s="22"/>
      <c r="AA1538" s="22"/>
      <c r="AB1538" s="22"/>
      <c r="AC1538" s="22"/>
      <c r="AD1538" s="22"/>
      <c r="AE1538" s="22"/>
      <c r="AF1538" s="22"/>
      <c r="AG1538" s="22"/>
      <c r="AH1538" s="22"/>
      <c r="AI1538" s="22"/>
      <c r="AJ1538" s="22"/>
      <c r="AK1538" s="22"/>
      <c r="AL1538" s="22"/>
      <c r="AM1538" s="22"/>
      <c r="AN1538" s="22"/>
      <c r="AO1538" s="22"/>
    </row>
    <row r="1539" ht="15.75" customHeight="1">
      <c r="A1539" s="22"/>
      <c r="B1539" s="22"/>
      <c r="C1539" s="22"/>
      <c r="D1539" s="22"/>
      <c r="E1539" s="22"/>
      <c r="F1539" s="22"/>
      <c r="G1539" s="130"/>
      <c r="H1539" s="22"/>
      <c r="I1539" s="22"/>
      <c r="J1539" s="22"/>
      <c r="K1539" s="22"/>
      <c r="L1539" s="22"/>
      <c r="M1539" s="22"/>
      <c r="N1539" s="22"/>
      <c r="O1539" s="22"/>
      <c r="P1539" s="22"/>
      <c r="Q1539" s="22"/>
      <c r="R1539" s="22"/>
      <c r="S1539" s="22"/>
      <c r="T1539" s="22"/>
      <c r="U1539" s="22"/>
      <c r="V1539" s="22"/>
      <c r="W1539" s="22"/>
      <c r="X1539" s="22"/>
      <c r="Y1539" s="22"/>
      <c r="Z1539" s="22"/>
      <c r="AA1539" s="22"/>
      <c r="AB1539" s="22"/>
      <c r="AC1539" s="22"/>
      <c r="AD1539" s="22"/>
      <c r="AE1539" s="22"/>
      <c r="AF1539" s="22"/>
      <c r="AG1539" s="22"/>
      <c r="AH1539" s="22"/>
      <c r="AI1539" s="22"/>
      <c r="AJ1539" s="22"/>
      <c r="AK1539" s="22"/>
      <c r="AL1539" s="22"/>
      <c r="AM1539" s="22"/>
      <c r="AN1539" s="22"/>
      <c r="AO1539" s="22"/>
    </row>
    <row r="1540" ht="15.75" customHeight="1">
      <c r="A1540" s="22"/>
      <c r="B1540" s="22"/>
      <c r="C1540" s="22"/>
      <c r="D1540" s="22"/>
      <c r="E1540" s="22"/>
      <c r="F1540" s="22"/>
      <c r="G1540" s="130"/>
      <c r="H1540" s="22"/>
      <c r="I1540" s="22"/>
      <c r="J1540" s="22"/>
      <c r="K1540" s="22"/>
      <c r="L1540" s="22"/>
      <c r="M1540" s="22"/>
      <c r="N1540" s="22"/>
      <c r="O1540" s="22"/>
      <c r="P1540" s="22"/>
      <c r="Q1540" s="22"/>
      <c r="R1540" s="22"/>
      <c r="S1540" s="22"/>
      <c r="T1540" s="22"/>
      <c r="U1540" s="22"/>
      <c r="V1540" s="22"/>
      <c r="W1540" s="22"/>
      <c r="X1540" s="22"/>
      <c r="Y1540" s="22"/>
      <c r="Z1540" s="22"/>
      <c r="AA1540" s="22"/>
      <c r="AB1540" s="22"/>
      <c r="AC1540" s="22"/>
      <c r="AD1540" s="22"/>
      <c r="AE1540" s="22"/>
      <c r="AF1540" s="22"/>
      <c r="AG1540" s="22"/>
      <c r="AH1540" s="22"/>
      <c r="AI1540" s="22"/>
      <c r="AJ1540" s="22"/>
      <c r="AK1540" s="22"/>
      <c r="AL1540" s="22"/>
      <c r="AM1540" s="22"/>
      <c r="AN1540" s="22"/>
      <c r="AO1540" s="22"/>
    </row>
    <row r="1541" ht="15.75" customHeight="1">
      <c r="A1541" s="22"/>
      <c r="B1541" s="22"/>
      <c r="C1541" s="22"/>
      <c r="D1541" s="22"/>
      <c r="E1541" s="22"/>
      <c r="F1541" s="22"/>
      <c r="G1541" s="130"/>
      <c r="H1541" s="22"/>
      <c r="I1541" s="22"/>
      <c r="J1541" s="22"/>
      <c r="K1541" s="22"/>
      <c r="L1541" s="22"/>
      <c r="M1541" s="22"/>
      <c r="N1541" s="22"/>
      <c r="O1541" s="22"/>
      <c r="P1541" s="22"/>
      <c r="Q1541" s="22"/>
      <c r="R1541" s="22"/>
      <c r="S1541" s="22"/>
      <c r="T1541" s="22"/>
      <c r="U1541" s="22"/>
      <c r="V1541" s="22"/>
      <c r="W1541" s="22"/>
      <c r="X1541" s="22"/>
      <c r="Y1541" s="22"/>
      <c r="Z1541" s="22"/>
      <c r="AA1541" s="22"/>
      <c r="AB1541" s="22"/>
      <c r="AC1541" s="22"/>
      <c r="AD1541" s="22"/>
      <c r="AE1541" s="22"/>
      <c r="AF1541" s="22"/>
      <c r="AG1541" s="22"/>
      <c r="AH1541" s="22"/>
      <c r="AI1541" s="22"/>
      <c r="AJ1541" s="22"/>
      <c r="AK1541" s="22"/>
      <c r="AL1541" s="22"/>
      <c r="AM1541" s="22"/>
      <c r="AN1541" s="22"/>
      <c r="AO1541" s="22"/>
    </row>
    <row r="1542" ht="15.75" customHeight="1">
      <c r="A1542" s="22"/>
      <c r="B1542" s="22"/>
      <c r="C1542" s="22"/>
      <c r="D1542" s="22"/>
      <c r="E1542" s="22"/>
      <c r="F1542" s="22"/>
      <c r="G1542" s="130"/>
      <c r="H1542" s="22"/>
      <c r="I1542" s="22"/>
      <c r="J1542" s="22"/>
      <c r="K1542" s="22"/>
      <c r="L1542" s="22"/>
      <c r="M1542" s="22"/>
      <c r="N1542" s="22"/>
      <c r="O1542" s="22"/>
      <c r="P1542" s="22"/>
      <c r="Q1542" s="22"/>
      <c r="R1542" s="22"/>
      <c r="S1542" s="22"/>
      <c r="T1542" s="22"/>
      <c r="U1542" s="22"/>
      <c r="V1542" s="22"/>
      <c r="W1542" s="22"/>
      <c r="X1542" s="22"/>
      <c r="Y1542" s="22"/>
      <c r="Z1542" s="22"/>
      <c r="AA1542" s="22"/>
      <c r="AB1542" s="22"/>
      <c r="AC1542" s="22"/>
      <c r="AD1542" s="22"/>
      <c r="AE1542" s="22"/>
      <c r="AF1542" s="22"/>
      <c r="AG1542" s="22"/>
      <c r="AH1542" s="22"/>
      <c r="AI1542" s="22"/>
      <c r="AJ1542" s="22"/>
      <c r="AK1542" s="22"/>
      <c r="AL1542" s="22"/>
      <c r="AM1542" s="22"/>
      <c r="AN1542" s="22"/>
      <c r="AO1542" s="22"/>
    </row>
    <row r="1543" ht="15.75" customHeight="1">
      <c r="A1543" s="22"/>
      <c r="B1543" s="22"/>
      <c r="C1543" s="22"/>
      <c r="D1543" s="22"/>
      <c r="E1543" s="22"/>
      <c r="F1543" s="22"/>
      <c r="G1543" s="130"/>
      <c r="H1543" s="22"/>
      <c r="I1543" s="22"/>
      <c r="J1543" s="22"/>
      <c r="K1543" s="22"/>
      <c r="L1543" s="22"/>
      <c r="M1543" s="22"/>
      <c r="N1543" s="22"/>
      <c r="O1543" s="22"/>
      <c r="P1543" s="22"/>
      <c r="Q1543" s="22"/>
      <c r="R1543" s="22"/>
      <c r="S1543" s="22"/>
      <c r="T1543" s="22"/>
      <c r="U1543" s="22"/>
      <c r="V1543" s="22"/>
      <c r="W1543" s="22"/>
      <c r="X1543" s="22"/>
      <c r="Y1543" s="22"/>
      <c r="Z1543" s="22"/>
      <c r="AA1543" s="22"/>
      <c r="AB1543" s="22"/>
      <c r="AC1543" s="22"/>
      <c r="AD1543" s="22"/>
      <c r="AE1543" s="22"/>
      <c r="AF1543" s="22"/>
      <c r="AG1543" s="22"/>
      <c r="AH1543" s="22"/>
      <c r="AI1543" s="22"/>
      <c r="AJ1543" s="22"/>
      <c r="AK1543" s="22"/>
      <c r="AL1543" s="22"/>
      <c r="AM1543" s="22"/>
      <c r="AN1543" s="22"/>
      <c r="AO1543" s="22"/>
    </row>
    <row r="1544" ht="15.75" customHeight="1">
      <c r="A1544" s="22"/>
      <c r="B1544" s="22"/>
      <c r="C1544" s="22"/>
      <c r="D1544" s="22"/>
      <c r="E1544" s="22"/>
      <c r="F1544" s="22"/>
      <c r="G1544" s="130"/>
      <c r="H1544" s="22"/>
      <c r="I1544" s="22"/>
      <c r="J1544" s="22"/>
      <c r="K1544" s="22"/>
      <c r="L1544" s="22"/>
      <c r="M1544" s="22"/>
      <c r="N1544" s="22"/>
      <c r="O1544" s="22"/>
      <c r="P1544" s="22"/>
      <c r="Q1544" s="22"/>
      <c r="R1544" s="22"/>
      <c r="S1544" s="22"/>
      <c r="T1544" s="22"/>
      <c r="U1544" s="22"/>
      <c r="V1544" s="22"/>
      <c r="W1544" s="22"/>
      <c r="X1544" s="22"/>
      <c r="Y1544" s="22"/>
      <c r="Z1544" s="22"/>
      <c r="AA1544" s="22"/>
      <c r="AB1544" s="22"/>
      <c r="AC1544" s="22"/>
      <c r="AD1544" s="22"/>
      <c r="AE1544" s="22"/>
      <c r="AF1544" s="22"/>
      <c r="AG1544" s="22"/>
      <c r="AH1544" s="22"/>
      <c r="AI1544" s="22"/>
      <c r="AJ1544" s="22"/>
      <c r="AK1544" s="22"/>
      <c r="AL1544" s="22"/>
      <c r="AM1544" s="22"/>
      <c r="AN1544" s="22"/>
      <c r="AO1544" s="22"/>
    </row>
    <row r="1545" ht="15.75" customHeight="1">
      <c r="A1545" s="22"/>
      <c r="B1545" s="22"/>
      <c r="C1545" s="22"/>
      <c r="D1545" s="22"/>
      <c r="E1545" s="22"/>
      <c r="F1545" s="22"/>
      <c r="G1545" s="130"/>
      <c r="H1545" s="22"/>
      <c r="I1545" s="22"/>
      <c r="J1545" s="22"/>
      <c r="K1545" s="22"/>
      <c r="L1545" s="22"/>
      <c r="M1545" s="22"/>
      <c r="N1545" s="22"/>
      <c r="O1545" s="22"/>
      <c r="P1545" s="22"/>
      <c r="Q1545" s="22"/>
      <c r="R1545" s="22"/>
      <c r="S1545" s="22"/>
      <c r="T1545" s="22"/>
      <c r="U1545" s="22"/>
      <c r="V1545" s="22"/>
      <c r="W1545" s="22"/>
      <c r="X1545" s="22"/>
      <c r="Y1545" s="22"/>
      <c r="Z1545" s="22"/>
      <c r="AA1545" s="22"/>
      <c r="AB1545" s="22"/>
      <c r="AC1545" s="22"/>
      <c r="AD1545" s="22"/>
      <c r="AE1545" s="22"/>
      <c r="AF1545" s="22"/>
      <c r="AG1545" s="22"/>
      <c r="AH1545" s="22"/>
      <c r="AI1545" s="22"/>
      <c r="AJ1545" s="22"/>
      <c r="AK1545" s="22"/>
      <c r="AL1545" s="22"/>
      <c r="AM1545" s="22"/>
      <c r="AN1545" s="22"/>
      <c r="AO1545" s="22"/>
    </row>
    <row r="1546" ht="15.75" customHeight="1">
      <c r="A1546" s="22"/>
      <c r="B1546" s="22"/>
      <c r="C1546" s="22"/>
      <c r="D1546" s="22"/>
      <c r="E1546" s="22"/>
      <c r="F1546" s="22"/>
      <c r="G1546" s="130"/>
      <c r="H1546" s="22"/>
      <c r="I1546" s="22"/>
      <c r="J1546" s="22"/>
      <c r="K1546" s="22"/>
      <c r="L1546" s="22"/>
      <c r="M1546" s="22"/>
      <c r="N1546" s="22"/>
      <c r="O1546" s="22"/>
      <c r="P1546" s="22"/>
      <c r="Q1546" s="22"/>
      <c r="R1546" s="22"/>
      <c r="S1546" s="22"/>
      <c r="T1546" s="22"/>
      <c r="U1546" s="22"/>
      <c r="V1546" s="22"/>
      <c r="W1546" s="22"/>
      <c r="X1546" s="22"/>
      <c r="Y1546" s="22"/>
      <c r="Z1546" s="22"/>
      <c r="AA1546" s="22"/>
      <c r="AB1546" s="22"/>
      <c r="AC1546" s="22"/>
      <c r="AD1546" s="22"/>
      <c r="AE1546" s="22"/>
      <c r="AF1546" s="22"/>
      <c r="AG1546" s="22"/>
      <c r="AH1546" s="22"/>
      <c r="AI1546" s="22"/>
      <c r="AJ1546" s="22"/>
      <c r="AK1546" s="22"/>
      <c r="AL1546" s="22"/>
      <c r="AM1546" s="22"/>
      <c r="AN1546" s="22"/>
      <c r="AO1546" s="22"/>
    </row>
    <row r="1547" ht="15.75" customHeight="1">
      <c r="A1547" s="22"/>
      <c r="B1547" s="22"/>
      <c r="C1547" s="22"/>
      <c r="D1547" s="22"/>
      <c r="E1547" s="22"/>
      <c r="F1547" s="22"/>
      <c r="G1547" s="130"/>
      <c r="H1547" s="22"/>
      <c r="I1547" s="22"/>
      <c r="J1547" s="22"/>
      <c r="K1547" s="22"/>
      <c r="L1547" s="22"/>
      <c r="M1547" s="22"/>
      <c r="N1547" s="22"/>
      <c r="O1547" s="22"/>
      <c r="P1547" s="22"/>
      <c r="Q1547" s="22"/>
      <c r="R1547" s="22"/>
      <c r="S1547" s="22"/>
      <c r="T1547" s="22"/>
      <c r="U1547" s="22"/>
      <c r="V1547" s="22"/>
      <c r="W1547" s="22"/>
      <c r="X1547" s="22"/>
      <c r="Y1547" s="22"/>
      <c r="Z1547" s="22"/>
      <c r="AA1547" s="22"/>
      <c r="AB1547" s="22"/>
      <c r="AC1547" s="22"/>
      <c r="AD1547" s="22"/>
      <c r="AE1547" s="22"/>
      <c r="AF1547" s="22"/>
      <c r="AG1547" s="22"/>
      <c r="AH1547" s="22"/>
      <c r="AI1547" s="22"/>
      <c r="AJ1547" s="22"/>
      <c r="AK1547" s="22"/>
      <c r="AL1547" s="22"/>
      <c r="AM1547" s="22"/>
      <c r="AN1547" s="22"/>
      <c r="AO1547" s="22"/>
    </row>
    <row r="1548" ht="15.75" customHeight="1">
      <c r="A1548" s="22"/>
      <c r="B1548" s="22"/>
      <c r="C1548" s="22"/>
      <c r="D1548" s="22"/>
      <c r="E1548" s="22"/>
      <c r="F1548" s="22"/>
      <c r="G1548" s="130"/>
      <c r="H1548" s="22"/>
      <c r="I1548" s="22"/>
      <c r="J1548" s="22"/>
      <c r="K1548" s="22"/>
      <c r="L1548" s="22"/>
      <c r="M1548" s="22"/>
      <c r="N1548" s="22"/>
      <c r="O1548" s="22"/>
      <c r="P1548" s="22"/>
      <c r="Q1548" s="22"/>
      <c r="R1548" s="22"/>
      <c r="S1548" s="22"/>
      <c r="T1548" s="22"/>
      <c r="U1548" s="22"/>
      <c r="V1548" s="22"/>
      <c r="W1548" s="22"/>
      <c r="X1548" s="22"/>
      <c r="Y1548" s="22"/>
      <c r="Z1548" s="22"/>
      <c r="AA1548" s="22"/>
      <c r="AB1548" s="22"/>
      <c r="AC1548" s="22"/>
      <c r="AD1548" s="22"/>
      <c r="AE1548" s="22"/>
      <c r="AF1548" s="22"/>
      <c r="AG1548" s="22"/>
      <c r="AH1548" s="22"/>
      <c r="AI1548" s="22"/>
      <c r="AJ1548" s="22"/>
      <c r="AK1548" s="22"/>
      <c r="AL1548" s="22"/>
      <c r="AM1548" s="22"/>
      <c r="AN1548" s="22"/>
      <c r="AO1548" s="22"/>
    </row>
    <row r="1549" ht="15.75" customHeight="1">
      <c r="A1549" s="22"/>
      <c r="B1549" s="22"/>
      <c r="C1549" s="22"/>
      <c r="D1549" s="22"/>
      <c r="E1549" s="22"/>
      <c r="F1549" s="22"/>
      <c r="G1549" s="130"/>
      <c r="H1549" s="22"/>
      <c r="I1549" s="22"/>
      <c r="J1549" s="22"/>
      <c r="K1549" s="22"/>
      <c r="L1549" s="22"/>
      <c r="M1549" s="22"/>
      <c r="N1549" s="22"/>
      <c r="O1549" s="22"/>
      <c r="P1549" s="22"/>
      <c r="Q1549" s="22"/>
      <c r="R1549" s="22"/>
      <c r="S1549" s="22"/>
      <c r="T1549" s="22"/>
      <c r="U1549" s="22"/>
      <c r="V1549" s="22"/>
      <c r="W1549" s="22"/>
      <c r="X1549" s="22"/>
      <c r="Y1549" s="22"/>
      <c r="Z1549" s="22"/>
      <c r="AA1549" s="22"/>
      <c r="AB1549" s="22"/>
      <c r="AC1549" s="22"/>
      <c r="AD1549" s="22"/>
      <c r="AE1549" s="22"/>
      <c r="AF1549" s="22"/>
      <c r="AG1549" s="22"/>
      <c r="AH1549" s="22"/>
      <c r="AI1549" s="22"/>
      <c r="AJ1549" s="22"/>
      <c r="AK1549" s="22"/>
      <c r="AL1549" s="22"/>
      <c r="AM1549" s="22"/>
      <c r="AN1549" s="22"/>
      <c r="AO1549" s="22"/>
    </row>
    <row r="1550" ht="15.75" customHeight="1">
      <c r="A1550" s="22"/>
      <c r="B1550" s="22"/>
      <c r="C1550" s="22"/>
      <c r="D1550" s="22"/>
      <c r="E1550" s="22"/>
      <c r="F1550" s="22"/>
      <c r="G1550" s="130"/>
      <c r="H1550" s="22"/>
      <c r="I1550" s="22"/>
      <c r="J1550" s="22"/>
      <c r="K1550" s="22"/>
      <c r="L1550" s="22"/>
      <c r="M1550" s="22"/>
      <c r="N1550" s="22"/>
      <c r="O1550" s="22"/>
      <c r="P1550" s="22"/>
      <c r="Q1550" s="22"/>
      <c r="R1550" s="22"/>
      <c r="S1550" s="22"/>
      <c r="T1550" s="22"/>
      <c r="U1550" s="22"/>
      <c r="V1550" s="22"/>
      <c r="W1550" s="22"/>
      <c r="X1550" s="22"/>
      <c r="Y1550" s="22"/>
      <c r="Z1550" s="22"/>
      <c r="AA1550" s="22"/>
      <c r="AB1550" s="22"/>
      <c r="AC1550" s="22"/>
      <c r="AD1550" s="22"/>
      <c r="AE1550" s="22"/>
      <c r="AF1550" s="22"/>
      <c r="AG1550" s="22"/>
      <c r="AH1550" s="22"/>
      <c r="AI1550" s="22"/>
      <c r="AJ1550" s="22"/>
      <c r="AK1550" s="22"/>
      <c r="AL1550" s="22"/>
      <c r="AM1550" s="22"/>
      <c r="AN1550" s="22"/>
      <c r="AO1550" s="22"/>
    </row>
    <row r="1551" ht="15.75" customHeight="1">
      <c r="A1551" s="22"/>
      <c r="B1551" s="22"/>
      <c r="C1551" s="22"/>
      <c r="D1551" s="22"/>
      <c r="E1551" s="22"/>
      <c r="F1551" s="22"/>
      <c r="G1551" s="130"/>
      <c r="H1551" s="22"/>
      <c r="I1551" s="22"/>
      <c r="J1551" s="22"/>
      <c r="K1551" s="22"/>
      <c r="L1551" s="22"/>
      <c r="M1551" s="22"/>
      <c r="N1551" s="22"/>
      <c r="O1551" s="22"/>
      <c r="P1551" s="22"/>
      <c r="Q1551" s="22"/>
      <c r="R1551" s="22"/>
      <c r="S1551" s="22"/>
      <c r="T1551" s="22"/>
      <c r="U1551" s="22"/>
      <c r="V1551" s="22"/>
      <c r="W1551" s="22"/>
      <c r="X1551" s="22"/>
      <c r="Y1551" s="22"/>
      <c r="Z1551" s="22"/>
      <c r="AA1551" s="22"/>
      <c r="AB1551" s="22"/>
      <c r="AC1551" s="22"/>
      <c r="AD1551" s="22"/>
      <c r="AE1551" s="22"/>
      <c r="AF1551" s="22"/>
      <c r="AG1551" s="22"/>
      <c r="AH1551" s="22"/>
      <c r="AI1551" s="22"/>
      <c r="AJ1551" s="22"/>
      <c r="AK1551" s="22"/>
      <c r="AL1551" s="22"/>
      <c r="AM1551" s="22"/>
      <c r="AN1551" s="22"/>
      <c r="AO1551" s="22"/>
    </row>
    <row r="1552" ht="15.75" customHeight="1">
      <c r="A1552" s="22"/>
      <c r="B1552" s="22"/>
      <c r="C1552" s="22"/>
      <c r="D1552" s="22"/>
      <c r="E1552" s="22"/>
      <c r="F1552" s="22"/>
      <c r="G1552" s="130"/>
      <c r="H1552" s="22"/>
      <c r="I1552" s="22"/>
      <c r="J1552" s="22"/>
      <c r="K1552" s="22"/>
      <c r="L1552" s="22"/>
      <c r="M1552" s="22"/>
      <c r="N1552" s="22"/>
      <c r="O1552" s="22"/>
      <c r="P1552" s="22"/>
      <c r="Q1552" s="22"/>
      <c r="R1552" s="22"/>
      <c r="S1552" s="22"/>
      <c r="T1552" s="22"/>
      <c r="U1552" s="22"/>
      <c r="V1552" s="22"/>
      <c r="W1552" s="22"/>
      <c r="X1552" s="22"/>
      <c r="Y1552" s="22"/>
      <c r="Z1552" s="22"/>
      <c r="AA1552" s="22"/>
      <c r="AB1552" s="22"/>
      <c r="AC1552" s="22"/>
      <c r="AD1552" s="22"/>
      <c r="AE1552" s="22"/>
      <c r="AF1552" s="22"/>
      <c r="AG1552" s="22"/>
      <c r="AH1552" s="22"/>
      <c r="AI1552" s="22"/>
      <c r="AJ1552" s="22"/>
      <c r="AK1552" s="22"/>
      <c r="AL1552" s="22"/>
      <c r="AM1552" s="22"/>
      <c r="AN1552" s="22"/>
      <c r="AO1552" s="22"/>
    </row>
    <row r="1553" ht="15.75" customHeight="1">
      <c r="A1553" s="22"/>
      <c r="B1553" s="22"/>
      <c r="C1553" s="22"/>
      <c r="D1553" s="22"/>
      <c r="E1553" s="22"/>
      <c r="F1553" s="22"/>
      <c r="G1553" s="130"/>
      <c r="H1553" s="22"/>
      <c r="I1553" s="22"/>
      <c r="J1553" s="22"/>
      <c r="K1553" s="22"/>
      <c r="L1553" s="22"/>
      <c r="M1553" s="22"/>
      <c r="N1553" s="22"/>
      <c r="O1553" s="22"/>
      <c r="P1553" s="22"/>
      <c r="Q1553" s="22"/>
      <c r="R1553" s="22"/>
      <c r="S1553" s="22"/>
      <c r="T1553" s="22"/>
      <c r="U1553" s="22"/>
      <c r="V1553" s="22"/>
      <c r="W1553" s="22"/>
      <c r="X1553" s="22"/>
      <c r="Y1553" s="22"/>
      <c r="Z1553" s="22"/>
      <c r="AA1553" s="22"/>
      <c r="AB1553" s="22"/>
      <c r="AC1553" s="22"/>
      <c r="AD1553" s="22"/>
      <c r="AE1553" s="22"/>
      <c r="AF1553" s="22"/>
      <c r="AG1553" s="22"/>
      <c r="AH1553" s="22"/>
      <c r="AI1553" s="22"/>
      <c r="AJ1553" s="22"/>
      <c r="AK1553" s="22"/>
      <c r="AL1553" s="22"/>
      <c r="AM1553" s="22"/>
      <c r="AN1553" s="22"/>
      <c r="AO1553" s="22"/>
    </row>
    <row r="1554" ht="15.75" customHeight="1">
      <c r="A1554" s="22"/>
      <c r="B1554" s="22"/>
      <c r="C1554" s="22"/>
      <c r="D1554" s="22"/>
      <c r="E1554" s="22"/>
      <c r="F1554" s="22"/>
      <c r="G1554" s="130"/>
      <c r="H1554" s="22"/>
      <c r="I1554" s="22"/>
      <c r="J1554" s="22"/>
      <c r="K1554" s="22"/>
      <c r="L1554" s="22"/>
      <c r="M1554" s="22"/>
      <c r="N1554" s="22"/>
      <c r="O1554" s="22"/>
      <c r="P1554" s="22"/>
      <c r="Q1554" s="22"/>
      <c r="R1554" s="22"/>
      <c r="S1554" s="22"/>
      <c r="T1554" s="22"/>
      <c r="U1554" s="22"/>
      <c r="V1554" s="22"/>
      <c r="W1554" s="22"/>
      <c r="X1554" s="22"/>
      <c r="Y1554" s="22"/>
      <c r="Z1554" s="22"/>
      <c r="AA1554" s="22"/>
      <c r="AB1554" s="22"/>
      <c r="AC1554" s="22"/>
      <c r="AD1554" s="22"/>
      <c r="AE1554" s="22"/>
      <c r="AF1554" s="22"/>
      <c r="AG1554" s="22"/>
      <c r="AH1554" s="22"/>
      <c r="AI1554" s="22"/>
      <c r="AJ1554" s="22"/>
      <c r="AK1554" s="22"/>
      <c r="AL1554" s="22"/>
      <c r="AM1554" s="22"/>
      <c r="AN1554" s="22"/>
      <c r="AO1554" s="22"/>
    </row>
    <row r="1555" ht="15.75" customHeight="1">
      <c r="A1555" s="22"/>
      <c r="B1555" s="22"/>
      <c r="C1555" s="22"/>
      <c r="D1555" s="22"/>
      <c r="E1555" s="22"/>
      <c r="F1555" s="22"/>
      <c r="G1555" s="130"/>
      <c r="H1555" s="22"/>
      <c r="I1555" s="22"/>
      <c r="J1555" s="22"/>
      <c r="K1555" s="22"/>
      <c r="L1555" s="22"/>
      <c r="M1555" s="22"/>
      <c r="N1555" s="22"/>
      <c r="O1555" s="22"/>
      <c r="P1555" s="22"/>
      <c r="Q1555" s="22"/>
      <c r="R1555" s="22"/>
      <c r="S1555" s="22"/>
      <c r="T1555" s="22"/>
      <c r="U1555" s="22"/>
      <c r="V1555" s="22"/>
      <c r="W1555" s="22"/>
      <c r="X1555" s="22"/>
      <c r="Y1555" s="22"/>
      <c r="Z1555" s="22"/>
      <c r="AA1555" s="22"/>
      <c r="AB1555" s="22"/>
      <c r="AC1555" s="22"/>
      <c r="AD1555" s="22"/>
      <c r="AE1555" s="22"/>
      <c r="AF1555" s="22"/>
      <c r="AG1555" s="22"/>
      <c r="AH1555" s="22"/>
      <c r="AI1555" s="22"/>
      <c r="AJ1555" s="22"/>
      <c r="AK1555" s="22"/>
      <c r="AL1555" s="22"/>
      <c r="AM1555" s="22"/>
      <c r="AN1555" s="22"/>
      <c r="AO1555" s="22"/>
    </row>
    <row r="1556" ht="15.75" customHeight="1">
      <c r="A1556" s="22"/>
      <c r="B1556" s="22"/>
      <c r="C1556" s="22"/>
      <c r="D1556" s="22"/>
      <c r="E1556" s="22"/>
      <c r="F1556" s="22"/>
      <c r="G1556" s="130"/>
      <c r="H1556" s="22"/>
      <c r="I1556" s="22"/>
      <c r="J1556" s="22"/>
      <c r="K1556" s="22"/>
      <c r="L1556" s="22"/>
      <c r="M1556" s="22"/>
      <c r="N1556" s="22"/>
      <c r="O1556" s="22"/>
      <c r="P1556" s="22"/>
      <c r="Q1556" s="22"/>
      <c r="R1556" s="22"/>
      <c r="S1556" s="22"/>
      <c r="T1556" s="22"/>
      <c r="U1556" s="22"/>
      <c r="V1556" s="22"/>
      <c r="W1556" s="22"/>
      <c r="X1556" s="22"/>
      <c r="Y1556" s="22"/>
      <c r="Z1556" s="22"/>
      <c r="AA1556" s="22"/>
      <c r="AB1556" s="22"/>
      <c r="AC1556" s="22"/>
      <c r="AD1556" s="22"/>
      <c r="AE1556" s="22"/>
      <c r="AF1556" s="22"/>
      <c r="AG1556" s="22"/>
      <c r="AH1556" s="22"/>
      <c r="AI1556" s="22"/>
      <c r="AJ1556" s="22"/>
      <c r="AK1556" s="22"/>
      <c r="AL1556" s="22"/>
      <c r="AM1556" s="22"/>
      <c r="AN1556" s="22"/>
      <c r="AO1556" s="22"/>
    </row>
    <row r="1557" ht="15.75" customHeight="1">
      <c r="A1557" s="22"/>
      <c r="B1557" s="22"/>
      <c r="C1557" s="22"/>
      <c r="D1557" s="22"/>
      <c r="E1557" s="22"/>
      <c r="F1557" s="22"/>
      <c r="G1557" s="130"/>
      <c r="H1557" s="22"/>
      <c r="I1557" s="22"/>
      <c r="J1557" s="22"/>
      <c r="K1557" s="22"/>
      <c r="L1557" s="22"/>
      <c r="M1557" s="22"/>
      <c r="N1557" s="22"/>
      <c r="O1557" s="22"/>
      <c r="P1557" s="22"/>
      <c r="Q1557" s="22"/>
      <c r="R1557" s="22"/>
      <c r="S1557" s="22"/>
      <c r="T1557" s="22"/>
      <c r="U1557" s="22"/>
      <c r="V1557" s="22"/>
      <c r="W1557" s="22"/>
      <c r="X1557" s="22"/>
      <c r="Y1557" s="22"/>
      <c r="Z1557" s="22"/>
      <c r="AA1557" s="22"/>
      <c r="AB1557" s="22"/>
      <c r="AC1557" s="22"/>
      <c r="AD1557" s="22"/>
      <c r="AE1557" s="22"/>
      <c r="AF1557" s="22"/>
      <c r="AG1557" s="22"/>
      <c r="AH1557" s="22"/>
      <c r="AI1557" s="22"/>
      <c r="AJ1557" s="22"/>
      <c r="AK1557" s="22"/>
      <c r="AL1557" s="22"/>
      <c r="AM1557" s="22"/>
      <c r="AN1557" s="22"/>
      <c r="AO1557" s="22"/>
    </row>
    <row r="1558" ht="15.75" customHeight="1">
      <c r="A1558" s="22"/>
      <c r="B1558" s="22"/>
      <c r="C1558" s="22"/>
      <c r="D1558" s="22"/>
      <c r="E1558" s="22"/>
      <c r="F1558" s="22"/>
      <c r="G1558" s="130"/>
      <c r="H1558" s="22"/>
      <c r="I1558" s="22"/>
      <c r="J1558" s="22"/>
      <c r="K1558" s="22"/>
      <c r="L1558" s="22"/>
      <c r="M1558" s="22"/>
      <c r="N1558" s="22"/>
      <c r="O1558" s="22"/>
      <c r="P1558" s="22"/>
      <c r="Q1558" s="22"/>
      <c r="R1558" s="22"/>
      <c r="S1558" s="22"/>
      <c r="T1558" s="22"/>
      <c r="U1558" s="22"/>
      <c r="V1558" s="22"/>
      <c r="W1558" s="22"/>
      <c r="X1558" s="22"/>
      <c r="Y1558" s="22"/>
      <c r="Z1558" s="22"/>
      <c r="AA1558" s="22"/>
      <c r="AB1558" s="22"/>
      <c r="AC1558" s="22"/>
      <c r="AD1558" s="22"/>
      <c r="AE1558" s="22"/>
      <c r="AF1558" s="22"/>
      <c r="AG1558" s="22"/>
      <c r="AH1558" s="22"/>
      <c r="AI1558" s="22"/>
      <c r="AJ1558" s="22"/>
      <c r="AK1558" s="22"/>
      <c r="AL1558" s="22"/>
      <c r="AM1558" s="22"/>
      <c r="AN1558" s="22"/>
      <c r="AO1558" s="22"/>
    </row>
    <row r="1559" ht="15.75" customHeight="1">
      <c r="A1559" s="22"/>
      <c r="B1559" s="22"/>
      <c r="C1559" s="22"/>
      <c r="D1559" s="22"/>
      <c r="E1559" s="22"/>
      <c r="F1559" s="22"/>
      <c r="G1559" s="130"/>
      <c r="H1559" s="22"/>
      <c r="I1559" s="22"/>
      <c r="J1559" s="22"/>
      <c r="K1559" s="22"/>
      <c r="L1559" s="22"/>
      <c r="M1559" s="22"/>
      <c r="N1559" s="22"/>
      <c r="O1559" s="22"/>
      <c r="P1559" s="22"/>
      <c r="Q1559" s="22"/>
      <c r="R1559" s="22"/>
      <c r="S1559" s="22"/>
      <c r="T1559" s="22"/>
      <c r="U1559" s="22"/>
      <c r="V1559" s="22"/>
      <c r="W1559" s="22"/>
      <c r="X1559" s="22"/>
      <c r="Y1559" s="22"/>
      <c r="Z1559" s="22"/>
      <c r="AA1559" s="22"/>
      <c r="AB1559" s="22"/>
      <c r="AC1559" s="22"/>
      <c r="AD1559" s="22"/>
      <c r="AE1559" s="22"/>
      <c r="AF1559" s="22"/>
      <c r="AG1559" s="22"/>
      <c r="AH1559" s="22"/>
      <c r="AI1559" s="22"/>
      <c r="AJ1559" s="22"/>
      <c r="AK1559" s="22"/>
      <c r="AL1559" s="22"/>
      <c r="AM1559" s="22"/>
      <c r="AN1559" s="22"/>
      <c r="AO1559" s="22"/>
    </row>
    <row r="1560" ht="15.75" customHeight="1">
      <c r="A1560" s="22"/>
      <c r="B1560" s="22"/>
      <c r="C1560" s="22"/>
      <c r="D1560" s="22"/>
      <c r="E1560" s="22"/>
      <c r="F1560" s="22"/>
      <c r="G1560" s="130"/>
      <c r="H1560" s="22"/>
      <c r="I1560" s="22"/>
      <c r="J1560" s="22"/>
      <c r="K1560" s="22"/>
      <c r="L1560" s="22"/>
      <c r="M1560" s="22"/>
      <c r="N1560" s="22"/>
      <c r="O1560" s="22"/>
      <c r="P1560" s="22"/>
      <c r="Q1560" s="22"/>
      <c r="R1560" s="22"/>
      <c r="S1560" s="22"/>
      <c r="T1560" s="22"/>
      <c r="U1560" s="22"/>
      <c r="V1560" s="22"/>
      <c r="W1560" s="22"/>
      <c r="X1560" s="22"/>
      <c r="Y1560" s="22"/>
      <c r="Z1560" s="22"/>
      <c r="AA1560" s="22"/>
      <c r="AB1560" s="22"/>
      <c r="AC1560" s="22"/>
      <c r="AD1560" s="22"/>
      <c r="AE1560" s="22"/>
      <c r="AF1560" s="22"/>
      <c r="AG1560" s="22"/>
      <c r="AH1560" s="22"/>
      <c r="AI1560" s="22"/>
      <c r="AJ1560" s="22"/>
      <c r="AK1560" s="22"/>
      <c r="AL1560" s="22"/>
      <c r="AM1560" s="22"/>
      <c r="AN1560" s="22"/>
      <c r="AO1560" s="22"/>
    </row>
    <row r="1561" ht="15.75" customHeight="1">
      <c r="A1561" s="22"/>
      <c r="B1561" s="22"/>
      <c r="C1561" s="22"/>
      <c r="D1561" s="22"/>
      <c r="E1561" s="22"/>
      <c r="F1561" s="22"/>
      <c r="G1561" s="130"/>
      <c r="H1561" s="22"/>
      <c r="I1561" s="22"/>
      <c r="J1561" s="22"/>
      <c r="K1561" s="22"/>
      <c r="L1561" s="22"/>
      <c r="M1561" s="22"/>
      <c r="N1561" s="22"/>
      <c r="O1561" s="22"/>
      <c r="P1561" s="22"/>
      <c r="Q1561" s="22"/>
      <c r="R1561" s="22"/>
      <c r="S1561" s="22"/>
      <c r="T1561" s="22"/>
      <c r="U1561" s="22"/>
      <c r="V1561" s="22"/>
      <c r="W1561" s="22"/>
      <c r="X1561" s="22"/>
      <c r="Y1561" s="22"/>
      <c r="Z1561" s="22"/>
      <c r="AA1561" s="22"/>
      <c r="AB1561" s="22"/>
      <c r="AC1561" s="22"/>
      <c r="AD1561" s="22"/>
      <c r="AE1561" s="22"/>
      <c r="AF1561" s="22"/>
      <c r="AG1561" s="22"/>
      <c r="AH1561" s="22"/>
      <c r="AI1561" s="22"/>
      <c r="AJ1561" s="22"/>
      <c r="AK1561" s="22"/>
      <c r="AL1561" s="22"/>
      <c r="AM1561" s="22"/>
      <c r="AN1561" s="22"/>
      <c r="AO1561" s="22"/>
    </row>
    <row r="1562" ht="15.75" customHeight="1">
      <c r="A1562" s="22"/>
      <c r="B1562" s="22"/>
      <c r="C1562" s="22"/>
      <c r="D1562" s="22"/>
      <c r="E1562" s="22"/>
      <c r="F1562" s="22"/>
      <c r="G1562" s="130"/>
      <c r="H1562" s="22"/>
      <c r="I1562" s="22"/>
      <c r="J1562" s="22"/>
      <c r="K1562" s="22"/>
      <c r="L1562" s="22"/>
      <c r="M1562" s="22"/>
      <c r="N1562" s="22"/>
      <c r="O1562" s="22"/>
      <c r="P1562" s="22"/>
      <c r="Q1562" s="22"/>
      <c r="R1562" s="22"/>
      <c r="S1562" s="22"/>
      <c r="T1562" s="22"/>
      <c r="U1562" s="22"/>
      <c r="V1562" s="22"/>
      <c r="W1562" s="22"/>
      <c r="X1562" s="22"/>
      <c r="Y1562" s="22"/>
      <c r="Z1562" s="22"/>
      <c r="AA1562" s="22"/>
      <c r="AB1562" s="22"/>
      <c r="AC1562" s="22"/>
      <c r="AD1562" s="22"/>
      <c r="AE1562" s="22"/>
      <c r="AF1562" s="22"/>
      <c r="AG1562" s="22"/>
      <c r="AH1562" s="22"/>
      <c r="AI1562" s="22"/>
      <c r="AJ1562" s="22"/>
      <c r="AK1562" s="22"/>
      <c r="AL1562" s="22"/>
      <c r="AM1562" s="22"/>
      <c r="AN1562" s="22"/>
      <c r="AO1562" s="22"/>
    </row>
    <row r="1563" ht="15.75" customHeight="1">
      <c r="A1563" s="22"/>
      <c r="B1563" s="22"/>
      <c r="C1563" s="22"/>
      <c r="D1563" s="22"/>
      <c r="E1563" s="22"/>
      <c r="F1563" s="22"/>
      <c r="G1563" s="130"/>
      <c r="H1563" s="22"/>
      <c r="I1563" s="22"/>
      <c r="J1563" s="22"/>
      <c r="K1563" s="22"/>
      <c r="L1563" s="22"/>
      <c r="M1563" s="22"/>
      <c r="N1563" s="22"/>
      <c r="O1563" s="22"/>
      <c r="P1563" s="22"/>
      <c r="Q1563" s="22"/>
      <c r="R1563" s="22"/>
      <c r="S1563" s="22"/>
      <c r="T1563" s="22"/>
      <c r="U1563" s="22"/>
      <c r="V1563" s="22"/>
      <c r="W1563" s="22"/>
      <c r="X1563" s="22"/>
      <c r="Y1563" s="22"/>
      <c r="Z1563" s="22"/>
      <c r="AA1563" s="22"/>
      <c r="AB1563" s="22"/>
      <c r="AC1563" s="22"/>
      <c r="AD1563" s="22"/>
      <c r="AE1563" s="22"/>
      <c r="AF1563" s="22"/>
      <c r="AG1563" s="22"/>
      <c r="AH1563" s="22"/>
      <c r="AI1563" s="22"/>
      <c r="AJ1563" s="22"/>
      <c r="AK1563" s="22"/>
      <c r="AL1563" s="22"/>
      <c r="AM1563" s="22"/>
      <c r="AN1563" s="22"/>
      <c r="AO1563" s="22"/>
    </row>
    <row r="1564" ht="15.75" customHeight="1">
      <c r="A1564" s="22"/>
      <c r="B1564" s="22"/>
      <c r="C1564" s="22"/>
      <c r="D1564" s="22"/>
      <c r="E1564" s="22"/>
      <c r="F1564" s="22"/>
      <c r="G1564" s="130"/>
      <c r="H1564" s="22"/>
      <c r="I1564" s="22"/>
      <c r="J1564" s="22"/>
      <c r="K1564" s="22"/>
      <c r="L1564" s="22"/>
      <c r="M1564" s="22"/>
      <c r="N1564" s="22"/>
      <c r="O1564" s="22"/>
      <c r="P1564" s="22"/>
      <c r="Q1564" s="22"/>
      <c r="R1564" s="22"/>
      <c r="S1564" s="22"/>
      <c r="T1564" s="22"/>
      <c r="U1564" s="22"/>
      <c r="V1564" s="22"/>
      <c r="W1564" s="22"/>
      <c r="X1564" s="22"/>
      <c r="Y1564" s="22"/>
      <c r="Z1564" s="22"/>
      <c r="AA1564" s="22"/>
      <c r="AB1564" s="22"/>
      <c r="AC1564" s="22"/>
      <c r="AD1564" s="22"/>
      <c r="AE1564" s="22"/>
      <c r="AF1564" s="22"/>
      <c r="AG1564" s="22"/>
      <c r="AH1564" s="22"/>
      <c r="AI1564" s="22"/>
      <c r="AJ1564" s="22"/>
      <c r="AK1564" s="22"/>
      <c r="AL1564" s="22"/>
      <c r="AM1564" s="22"/>
      <c r="AN1564" s="22"/>
      <c r="AO1564" s="22"/>
    </row>
    <row r="1565" ht="15.75" customHeight="1">
      <c r="A1565" s="22"/>
      <c r="B1565" s="22"/>
      <c r="C1565" s="22"/>
      <c r="D1565" s="22"/>
      <c r="E1565" s="22"/>
      <c r="F1565" s="22"/>
      <c r="G1565" s="130"/>
      <c r="H1565" s="22"/>
      <c r="I1565" s="22"/>
      <c r="J1565" s="22"/>
      <c r="K1565" s="22"/>
      <c r="L1565" s="22"/>
      <c r="M1565" s="22"/>
      <c r="N1565" s="22"/>
      <c r="O1565" s="22"/>
      <c r="P1565" s="22"/>
      <c r="Q1565" s="22"/>
      <c r="R1565" s="22"/>
      <c r="S1565" s="22"/>
      <c r="T1565" s="22"/>
      <c r="U1565" s="22"/>
      <c r="V1565" s="22"/>
      <c r="W1565" s="22"/>
      <c r="X1565" s="22"/>
      <c r="Y1565" s="22"/>
      <c r="Z1565" s="22"/>
      <c r="AA1565" s="22"/>
      <c r="AB1565" s="22"/>
      <c r="AC1565" s="22"/>
      <c r="AD1565" s="22"/>
      <c r="AE1565" s="22"/>
      <c r="AF1565" s="22"/>
      <c r="AG1565" s="22"/>
      <c r="AH1565" s="22"/>
      <c r="AI1565" s="22"/>
      <c r="AJ1565" s="22"/>
      <c r="AK1565" s="22"/>
      <c r="AL1565" s="22"/>
      <c r="AM1565" s="22"/>
      <c r="AN1565" s="22"/>
      <c r="AO1565" s="22"/>
    </row>
    <row r="1566" ht="15.75" customHeight="1">
      <c r="A1566" s="22"/>
      <c r="B1566" s="22"/>
      <c r="C1566" s="22"/>
      <c r="D1566" s="22"/>
      <c r="E1566" s="22"/>
      <c r="F1566" s="22"/>
      <c r="G1566" s="130"/>
      <c r="H1566" s="22"/>
      <c r="I1566" s="22"/>
      <c r="J1566" s="22"/>
      <c r="K1566" s="22"/>
      <c r="L1566" s="22"/>
      <c r="M1566" s="22"/>
      <c r="N1566" s="22"/>
      <c r="O1566" s="22"/>
      <c r="P1566" s="22"/>
      <c r="Q1566" s="22"/>
      <c r="R1566" s="22"/>
      <c r="S1566" s="22"/>
      <c r="T1566" s="22"/>
      <c r="U1566" s="22"/>
      <c r="V1566" s="22"/>
      <c r="W1566" s="22"/>
      <c r="X1566" s="22"/>
      <c r="Y1566" s="22"/>
      <c r="Z1566" s="22"/>
      <c r="AA1566" s="22"/>
      <c r="AB1566" s="22"/>
      <c r="AC1566" s="22"/>
      <c r="AD1566" s="22"/>
      <c r="AE1566" s="22"/>
      <c r="AF1566" s="22"/>
      <c r="AG1566" s="22"/>
      <c r="AH1566" s="22"/>
      <c r="AI1566" s="22"/>
      <c r="AJ1566" s="22"/>
      <c r="AK1566" s="22"/>
      <c r="AL1566" s="22"/>
      <c r="AM1566" s="22"/>
      <c r="AN1566" s="22"/>
      <c r="AO1566" s="22"/>
    </row>
    <row r="1567" ht="15.75" customHeight="1">
      <c r="A1567" s="22"/>
      <c r="B1567" s="22"/>
      <c r="C1567" s="22"/>
      <c r="D1567" s="22"/>
      <c r="E1567" s="22"/>
      <c r="F1567" s="22"/>
      <c r="G1567" s="130"/>
      <c r="H1567" s="22"/>
      <c r="I1567" s="22"/>
      <c r="J1567" s="22"/>
      <c r="K1567" s="22"/>
      <c r="L1567" s="22"/>
      <c r="M1567" s="22"/>
      <c r="N1567" s="22"/>
      <c r="O1567" s="22"/>
      <c r="P1567" s="22"/>
      <c r="Q1567" s="22"/>
      <c r="R1567" s="22"/>
      <c r="S1567" s="22"/>
      <c r="T1567" s="22"/>
      <c r="U1567" s="22"/>
      <c r="V1567" s="22"/>
      <c r="W1567" s="22"/>
      <c r="X1567" s="22"/>
      <c r="Y1567" s="22"/>
      <c r="Z1567" s="22"/>
      <c r="AA1567" s="22"/>
      <c r="AB1567" s="22"/>
      <c r="AC1567" s="22"/>
      <c r="AD1567" s="22"/>
      <c r="AE1567" s="22"/>
      <c r="AF1567" s="22"/>
      <c r="AG1567" s="22"/>
      <c r="AH1567" s="22"/>
      <c r="AI1567" s="22"/>
      <c r="AJ1567" s="22"/>
      <c r="AK1567" s="22"/>
      <c r="AL1567" s="22"/>
      <c r="AM1567" s="22"/>
      <c r="AN1567" s="22"/>
      <c r="AO1567" s="22"/>
    </row>
    <row r="1568" ht="15.75" customHeight="1">
      <c r="A1568" s="22"/>
      <c r="B1568" s="22"/>
      <c r="C1568" s="22"/>
      <c r="D1568" s="22"/>
      <c r="E1568" s="22"/>
      <c r="F1568" s="22"/>
      <c r="G1568" s="130"/>
      <c r="H1568" s="22"/>
      <c r="I1568" s="22"/>
      <c r="J1568" s="22"/>
      <c r="K1568" s="22"/>
      <c r="L1568" s="22"/>
      <c r="M1568" s="22"/>
      <c r="N1568" s="22"/>
      <c r="O1568" s="22"/>
      <c r="P1568" s="22"/>
      <c r="Q1568" s="22"/>
      <c r="R1568" s="22"/>
      <c r="S1568" s="22"/>
      <c r="T1568" s="22"/>
      <c r="U1568" s="22"/>
      <c r="V1568" s="22"/>
      <c r="W1568" s="22"/>
      <c r="X1568" s="22"/>
      <c r="Y1568" s="22"/>
      <c r="Z1568" s="22"/>
      <c r="AA1568" s="22"/>
      <c r="AB1568" s="22"/>
      <c r="AC1568" s="22"/>
      <c r="AD1568" s="22"/>
      <c r="AE1568" s="22"/>
      <c r="AF1568" s="22"/>
      <c r="AG1568" s="22"/>
      <c r="AH1568" s="22"/>
      <c r="AI1568" s="22"/>
      <c r="AJ1568" s="22"/>
      <c r="AK1568" s="22"/>
      <c r="AL1568" s="22"/>
      <c r="AM1568" s="22"/>
      <c r="AN1568" s="22"/>
      <c r="AO1568" s="22"/>
    </row>
    <row r="1569" ht="15.75" customHeight="1">
      <c r="A1569" s="22"/>
      <c r="B1569" s="22"/>
      <c r="C1569" s="22"/>
      <c r="D1569" s="22"/>
      <c r="E1569" s="22"/>
      <c r="F1569" s="22"/>
      <c r="G1569" s="130"/>
      <c r="H1569" s="22"/>
      <c r="I1569" s="22"/>
      <c r="J1569" s="22"/>
      <c r="K1569" s="22"/>
      <c r="L1569" s="22"/>
      <c r="M1569" s="22"/>
      <c r="N1569" s="22"/>
      <c r="O1569" s="22"/>
      <c r="P1569" s="22"/>
      <c r="Q1569" s="22"/>
      <c r="R1569" s="22"/>
      <c r="S1569" s="22"/>
      <c r="T1569" s="22"/>
      <c r="U1569" s="22"/>
      <c r="V1569" s="22"/>
      <c r="W1569" s="22"/>
      <c r="X1569" s="22"/>
      <c r="Y1569" s="22"/>
      <c r="Z1569" s="22"/>
      <c r="AA1569" s="22"/>
      <c r="AB1569" s="22"/>
      <c r="AC1569" s="22"/>
      <c r="AD1569" s="22"/>
      <c r="AE1569" s="22"/>
      <c r="AF1569" s="22"/>
      <c r="AG1569" s="22"/>
      <c r="AH1569" s="22"/>
      <c r="AI1569" s="22"/>
      <c r="AJ1569" s="22"/>
      <c r="AK1569" s="22"/>
      <c r="AL1569" s="22"/>
      <c r="AM1569" s="22"/>
      <c r="AN1569" s="22"/>
      <c r="AO1569" s="22"/>
    </row>
    <row r="1570" ht="15.75" customHeight="1">
      <c r="A1570" s="22"/>
      <c r="B1570" s="22"/>
      <c r="C1570" s="22"/>
      <c r="D1570" s="22"/>
      <c r="E1570" s="22"/>
      <c r="F1570" s="22"/>
      <c r="G1570" s="130"/>
      <c r="H1570" s="22"/>
      <c r="I1570" s="22"/>
      <c r="J1570" s="22"/>
      <c r="K1570" s="22"/>
      <c r="L1570" s="22"/>
      <c r="M1570" s="22"/>
      <c r="N1570" s="22"/>
      <c r="O1570" s="22"/>
      <c r="P1570" s="22"/>
      <c r="Q1570" s="22"/>
      <c r="R1570" s="22"/>
      <c r="S1570" s="22"/>
      <c r="T1570" s="22"/>
      <c r="U1570" s="22"/>
      <c r="V1570" s="22"/>
      <c r="W1570" s="22"/>
      <c r="X1570" s="22"/>
      <c r="Y1570" s="22"/>
      <c r="Z1570" s="22"/>
      <c r="AA1570" s="22"/>
      <c r="AB1570" s="22"/>
      <c r="AC1570" s="22"/>
      <c r="AD1570" s="22"/>
      <c r="AE1570" s="22"/>
      <c r="AF1570" s="22"/>
      <c r="AG1570" s="22"/>
      <c r="AH1570" s="22"/>
      <c r="AI1570" s="22"/>
      <c r="AJ1570" s="22"/>
      <c r="AK1570" s="22"/>
      <c r="AL1570" s="22"/>
      <c r="AM1570" s="22"/>
      <c r="AN1570" s="22"/>
      <c r="AO1570" s="22"/>
    </row>
    <row r="1571" ht="15.75" customHeight="1">
      <c r="A1571" s="22"/>
      <c r="B1571" s="22"/>
      <c r="C1571" s="22"/>
      <c r="D1571" s="22"/>
      <c r="E1571" s="22"/>
      <c r="F1571" s="22"/>
      <c r="G1571" s="130"/>
      <c r="H1571" s="22"/>
      <c r="I1571" s="22"/>
      <c r="J1571" s="22"/>
      <c r="K1571" s="22"/>
      <c r="L1571" s="22"/>
      <c r="M1571" s="22"/>
      <c r="N1571" s="22"/>
      <c r="O1571" s="22"/>
      <c r="P1571" s="22"/>
      <c r="Q1571" s="22"/>
      <c r="R1571" s="22"/>
      <c r="S1571" s="22"/>
      <c r="T1571" s="22"/>
      <c r="U1571" s="22"/>
      <c r="V1571" s="22"/>
      <c r="W1571" s="22"/>
      <c r="X1571" s="22"/>
      <c r="Y1571" s="22"/>
      <c r="Z1571" s="22"/>
      <c r="AA1571" s="22"/>
      <c r="AB1571" s="22"/>
      <c r="AC1571" s="22"/>
      <c r="AD1571" s="22"/>
      <c r="AE1571" s="22"/>
      <c r="AF1571" s="22"/>
      <c r="AG1571" s="22"/>
      <c r="AH1571" s="22"/>
      <c r="AI1571" s="22"/>
      <c r="AJ1571" s="22"/>
      <c r="AK1571" s="22"/>
      <c r="AL1571" s="22"/>
      <c r="AM1571" s="22"/>
      <c r="AN1571" s="22"/>
      <c r="AO1571" s="22"/>
    </row>
    <row r="1572" ht="15.75" customHeight="1">
      <c r="A1572" s="22"/>
      <c r="B1572" s="22"/>
      <c r="C1572" s="22"/>
      <c r="D1572" s="22"/>
      <c r="E1572" s="22"/>
      <c r="F1572" s="22"/>
      <c r="G1572" s="130"/>
      <c r="H1572" s="22"/>
      <c r="I1572" s="22"/>
      <c r="J1572" s="22"/>
      <c r="K1572" s="22"/>
      <c r="L1572" s="22"/>
      <c r="M1572" s="22"/>
      <c r="N1572" s="22"/>
      <c r="O1572" s="22"/>
      <c r="P1572" s="22"/>
      <c r="Q1572" s="22"/>
      <c r="R1572" s="22"/>
      <c r="S1572" s="22"/>
      <c r="T1572" s="22"/>
      <c r="U1572" s="22"/>
      <c r="V1572" s="22"/>
      <c r="W1572" s="22"/>
      <c r="X1572" s="22"/>
      <c r="Y1572" s="22"/>
      <c r="Z1572" s="22"/>
      <c r="AA1572" s="22"/>
      <c r="AB1572" s="22"/>
      <c r="AC1572" s="22"/>
      <c r="AD1572" s="22"/>
      <c r="AE1572" s="22"/>
      <c r="AF1572" s="22"/>
      <c r="AG1572" s="22"/>
      <c r="AH1572" s="22"/>
      <c r="AI1572" s="22"/>
      <c r="AJ1572" s="22"/>
      <c r="AK1572" s="22"/>
      <c r="AL1572" s="22"/>
      <c r="AM1572" s="22"/>
      <c r="AN1572" s="22"/>
      <c r="AO1572" s="22"/>
    </row>
    <row r="1573" ht="15.75" customHeight="1">
      <c r="A1573" s="22"/>
      <c r="B1573" s="22"/>
      <c r="C1573" s="22"/>
      <c r="D1573" s="22"/>
      <c r="E1573" s="22"/>
      <c r="F1573" s="22"/>
      <c r="G1573" s="130"/>
      <c r="H1573" s="22"/>
      <c r="I1573" s="22"/>
      <c r="J1573" s="22"/>
      <c r="K1573" s="22"/>
      <c r="L1573" s="22"/>
      <c r="M1573" s="22"/>
      <c r="N1573" s="22"/>
      <c r="O1573" s="22"/>
      <c r="P1573" s="22"/>
      <c r="Q1573" s="22"/>
      <c r="R1573" s="22"/>
      <c r="S1573" s="22"/>
      <c r="T1573" s="22"/>
      <c r="U1573" s="22"/>
      <c r="V1573" s="22"/>
      <c r="W1573" s="22"/>
      <c r="X1573" s="22"/>
      <c r="Y1573" s="22"/>
      <c r="Z1573" s="22"/>
      <c r="AA1573" s="22"/>
      <c r="AB1573" s="22"/>
      <c r="AC1573" s="22"/>
      <c r="AD1573" s="22"/>
      <c r="AE1573" s="22"/>
      <c r="AF1573" s="22"/>
      <c r="AG1573" s="22"/>
      <c r="AH1573" s="22"/>
      <c r="AI1573" s="22"/>
      <c r="AJ1573" s="22"/>
      <c r="AK1573" s="22"/>
      <c r="AL1573" s="22"/>
      <c r="AM1573" s="22"/>
      <c r="AN1573" s="22"/>
      <c r="AO1573" s="22"/>
    </row>
    <row r="1574" ht="15.75" customHeight="1">
      <c r="A1574" s="22"/>
      <c r="B1574" s="22"/>
      <c r="C1574" s="22"/>
      <c r="D1574" s="22"/>
      <c r="E1574" s="22"/>
      <c r="F1574" s="22"/>
      <c r="G1574" s="130"/>
      <c r="H1574" s="22"/>
      <c r="I1574" s="22"/>
      <c r="J1574" s="22"/>
      <c r="K1574" s="22"/>
      <c r="L1574" s="22"/>
      <c r="M1574" s="22"/>
      <c r="N1574" s="22"/>
      <c r="O1574" s="22"/>
      <c r="P1574" s="22"/>
      <c r="Q1574" s="22"/>
      <c r="R1574" s="22"/>
      <c r="S1574" s="22"/>
      <c r="T1574" s="22"/>
      <c r="U1574" s="22"/>
      <c r="V1574" s="22"/>
      <c r="W1574" s="22"/>
      <c r="X1574" s="22"/>
      <c r="Y1574" s="22"/>
      <c r="Z1574" s="22"/>
      <c r="AA1574" s="22"/>
      <c r="AB1574" s="22"/>
      <c r="AC1574" s="22"/>
      <c r="AD1574" s="22"/>
      <c r="AE1574" s="22"/>
      <c r="AF1574" s="22"/>
      <c r="AG1574" s="22"/>
      <c r="AH1574" s="22"/>
      <c r="AI1574" s="22"/>
      <c r="AJ1574" s="22"/>
      <c r="AK1574" s="22"/>
      <c r="AL1574" s="22"/>
      <c r="AM1574" s="22"/>
      <c r="AN1574" s="22"/>
      <c r="AO1574" s="22"/>
    </row>
    <row r="1575" ht="15.75" customHeight="1">
      <c r="A1575" s="22"/>
      <c r="B1575" s="22"/>
      <c r="C1575" s="22"/>
      <c r="D1575" s="22"/>
      <c r="E1575" s="22"/>
      <c r="F1575" s="22"/>
      <c r="G1575" s="130"/>
      <c r="H1575" s="22"/>
      <c r="I1575" s="22"/>
      <c r="J1575" s="22"/>
      <c r="K1575" s="22"/>
      <c r="L1575" s="22"/>
      <c r="M1575" s="22"/>
      <c r="N1575" s="22"/>
      <c r="O1575" s="22"/>
      <c r="P1575" s="22"/>
      <c r="Q1575" s="22"/>
      <c r="R1575" s="22"/>
      <c r="S1575" s="22"/>
      <c r="T1575" s="22"/>
      <c r="U1575" s="22"/>
      <c r="V1575" s="22"/>
      <c r="W1575" s="22"/>
      <c r="X1575" s="22"/>
      <c r="Y1575" s="22"/>
      <c r="Z1575" s="22"/>
      <c r="AA1575" s="22"/>
      <c r="AB1575" s="22"/>
      <c r="AC1575" s="22"/>
      <c r="AD1575" s="22"/>
      <c r="AE1575" s="22"/>
      <c r="AF1575" s="22"/>
      <c r="AG1575" s="22"/>
      <c r="AH1575" s="22"/>
      <c r="AI1575" s="22"/>
      <c r="AJ1575" s="22"/>
      <c r="AK1575" s="22"/>
      <c r="AL1575" s="22"/>
      <c r="AM1575" s="22"/>
      <c r="AN1575" s="22"/>
      <c r="AO1575" s="22"/>
    </row>
    <row r="1576" ht="15.75" customHeight="1">
      <c r="A1576" s="22"/>
      <c r="B1576" s="22"/>
      <c r="C1576" s="22"/>
      <c r="D1576" s="22"/>
      <c r="E1576" s="22"/>
      <c r="F1576" s="22"/>
      <c r="G1576" s="130"/>
      <c r="H1576" s="22"/>
      <c r="I1576" s="22"/>
      <c r="J1576" s="22"/>
      <c r="K1576" s="22"/>
      <c r="L1576" s="22"/>
      <c r="M1576" s="22"/>
      <c r="N1576" s="22"/>
      <c r="O1576" s="22"/>
      <c r="P1576" s="22"/>
      <c r="Q1576" s="22"/>
      <c r="R1576" s="22"/>
      <c r="S1576" s="22"/>
      <c r="T1576" s="22"/>
      <c r="U1576" s="22"/>
      <c r="V1576" s="22"/>
      <c r="W1576" s="22"/>
      <c r="X1576" s="22"/>
      <c r="Y1576" s="22"/>
      <c r="Z1576" s="22"/>
      <c r="AA1576" s="22"/>
      <c r="AB1576" s="22"/>
      <c r="AC1576" s="22"/>
      <c r="AD1576" s="22"/>
      <c r="AE1576" s="22"/>
      <c r="AF1576" s="22"/>
      <c r="AG1576" s="22"/>
      <c r="AH1576" s="22"/>
      <c r="AI1576" s="22"/>
      <c r="AJ1576" s="22"/>
      <c r="AK1576" s="22"/>
      <c r="AL1576" s="22"/>
      <c r="AM1576" s="22"/>
      <c r="AN1576" s="22"/>
      <c r="AO1576" s="22"/>
    </row>
    <row r="1577" ht="15.75" customHeight="1">
      <c r="A1577" s="22"/>
      <c r="B1577" s="22"/>
      <c r="C1577" s="22"/>
      <c r="D1577" s="22"/>
      <c r="E1577" s="22"/>
      <c r="F1577" s="22"/>
      <c r="G1577" s="130"/>
      <c r="H1577" s="22"/>
      <c r="I1577" s="22"/>
      <c r="J1577" s="22"/>
      <c r="K1577" s="22"/>
      <c r="L1577" s="22"/>
      <c r="M1577" s="22"/>
      <c r="N1577" s="22"/>
      <c r="O1577" s="22"/>
      <c r="P1577" s="22"/>
      <c r="Q1577" s="22"/>
      <c r="R1577" s="22"/>
      <c r="S1577" s="22"/>
      <c r="T1577" s="22"/>
      <c r="U1577" s="22"/>
      <c r="V1577" s="22"/>
      <c r="W1577" s="22"/>
      <c r="X1577" s="22"/>
      <c r="Y1577" s="22"/>
      <c r="Z1577" s="22"/>
      <c r="AA1577" s="22"/>
      <c r="AB1577" s="22"/>
      <c r="AC1577" s="22"/>
      <c r="AD1577" s="22"/>
      <c r="AE1577" s="22"/>
      <c r="AF1577" s="22"/>
      <c r="AG1577" s="22"/>
      <c r="AH1577" s="22"/>
      <c r="AI1577" s="22"/>
      <c r="AJ1577" s="22"/>
      <c r="AK1577" s="22"/>
      <c r="AL1577" s="22"/>
      <c r="AM1577" s="22"/>
      <c r="AN1577" s="22"/>
      <c r="AO1577" s="22"/>
    </row>
    <row r="1578" ht="15.75" customHeight="1">
      <c r="A1578" s="22"/>
      <c r="B1578" s="22"/>
      <c r="C1578" s="22"/>
      <c r="D1578" s="22"/>
      <c r="E1578" s="22"/>
      <c r="F1578" s="22"/>
      <c r="G1578" s="130"/>
      <c r="H1578" s="22"/>
      <c r="I1578" s="22"/>
      <c r="J1578" s="22"/>
      <c r="K1578" s="22"/>
      <c r="L1578" s="22"/>
      <c r="M1578" s="22"/>
      <c r="N1578" s="22"/>
      <c r="O1578" s="22"/>
      <c r="P1578" s="22"/>
      <c r="Q1578" s="22"/>
      <c r="R1578" s="22"/>
      <c r="S1578" s="22"/>
      <c r="T1578" s="22"/>
      <c r="U1578" s="22"/>
      <c r="V1578" s="22"/>
      <c r="W1578" s="22"/>
      <c r="X1578" s="22"/>
      <c r="Y1578" s="22"/>
      <c r="Z1578" s="22"/>
      <c r="AA1578" s="22"/>
      <c r="AB1578" s="22"/>
      <c r="AC1578" s="22"/>
      <c r="AD1578" s="22"/>
      <c r="AE1578" s="22"/>
      <c r="AF1578" s="22"/>
      <c r="AG1578" s="22"/>
      <c r="AH1578" s="22"/>
      <c r="AI1578" s="22"/>
      <c r="AJ1578" s="22"/>
      <c r="AK1578" s="22"/>
      <c r="AL1578" s="22"/>
      <c r="AM1578" s="22"/>
      <c r="AN1578" s="22"/>
      <c r="AO1578" s="22"/>
    </row>
    <row r="1579" ht="15.75" customHeight="1">
      <c r="A1579" s="22"/>
      <c r="B1579" s="22"/>
      <c r="C1579" s="22"/>
      <c r="D1579" s="22"/>
      <c r="E1579" s="22"/>
      <c r="F1579" s="22"/>
      <c r="G1579" s="130"/>
      <c r="H1579" s="22"/>
      <c r="I1579" s="22"/>
      <c r="J1579" s="22"/>
      <c r="K1579" s="22"/>
      <c r="L1579" s="22"/>
      <c r="M1579" s="22"/>
      <c r="N1579" s="22"/>
      <c r="O1579" s="22"/>
      <c r="P1579" s="22"/>
      <c r="Q1579" s="22"/>
      <c r="R1579" s="22"/>
      <c r="S1579" s="22"/>
      <c r="T1579" s="22"/>
      <c r="U1579" s="22"/>
      <c r="V1579" s="22"/>
      <c r="W1579" s="22"/>
      <c r="X1579" s="22"/>
      <c r="Y1579" s="22"/>
      <c r="Z1579" s="22"/>
      <c r="AA1579" s="22"/>
      <c r="AB1579" s="22"/>
      <c r="AC1579" s="22"/>
      <c r="AD1579" s="22"/>
      <c r="AE1579" s="22"/>
      <c r="AF1579" s="22"/>
      <c r="AG1579" s="22"/>
      <c r="AH1579" s="22"/>
      <c r="AI1579" s="22"/>
      <c r="AJ1579" s="22"/>
      <c r="AK1579" s="22"/>
      <c r="AL1579" s="22"/>
      <c r="AM1579" s="22"/>
      <c r="AN1579" s="22"/>
      <c r="AO1579" s="22"/>
    </row>
    <row r="1580" ht="15.75" customHeight="1">
      <c r="A1580" s="22"/>
      <c r="B1580" s="22"/>
      <c r="C1580" s="22"/>
      <c r="D1580" s="22"/>
      <c r="E1580" s="22"/>
      <c r="F1580" s="22"/>
      <c r="G1580" s="130"/>
      <c r="H1580" s="22"/>
      <c r="I1580" s="22"/>
      <c r="J1580" s="22"/>
      <c r="K1580" s="22"/>
      <c r="L1580" s="22"/>
      <c r="M1580" s="22"/>
      <c r="N1580" s="22"/>
      <c r="O1580" s="22"/>
      <c r="P1580" s="22"/>
      <c r="Q1580" s="22"/>
      <c r="R1580" s="22"/>
      <c r="S1580" s="22"/>
      <c r="T1580" s="22"/>
      <c r="U1580" s="22"/>
      <c r="V1580" s="22"/>
      <c r="W1580" s="22"/>
      <c r="X1580" s="22"/>
      <c r="Y1580" s="22"/>
      <c r="Z1580" s="22"/>
      <c r="AA1580" s="22"/>
      <c r="AB1580" s="22"/>
      <c r="AC1580" s="22"/>
      <c r="AD1580" s="22"/>
      <c r="AE1580" s="22"/>
      <c r="AF1580" s="22"/>
      <c r="AG1580" s="22"/>
      <c r="AH1580" s="22"/>
      <c r="AI1580" s="22"/>
      <c r="AJ1580" s="22"/>
      <c r="AK1580" s="22"/>
      <c r="AL1580" s="22"/>
      <c r="AM1580" s="22"/>
      <c r="AN1580" s="22"/>
      <c r="AO1580" s="22"/>
    </row>
    <row r="1581" ht="15.75" customHeight="1">
      <c r="A1581" s="22"/>
      <c r="B1581" s="22"/>
      <c r="C1581" s="22"/>
      <c r="D1581" s="22"/>
      <c r="E1581" s="22"/>
      <c r="F1581" s="22"/>
      <c r="G1581" s="130"/>
      <c r="H1581" s="22"/>
      <c r="I1581" s="22"/>
      <c r="J1581" s="22"/>
      <c r="K1581" s="22"/>
      <c r="L1581" s="22"/>
      <c r="M1581" s="22"/>
      <c r="N1581" s="22"/>
      <c r="O1581" s="22"/>
      <c r="P1581" s="22"/>
      <c r="Q1581" s="22"/>
      <c r="R1581" s="22"/>
      <c r="S1581" s="22"/>
      <c r="T1581" s="22"/>
      <c r="U1581" s="22"/>
      <c r="V1581" s="22"/>
      <c r="W1581" s="22"/>
      <c r="X1581" s="22"/>
      <c r="Y1581" s="22"/>
      <c r="Z1581" s="22"/>
      <c r="AA1581" s="22"/>
      <c r="AB1581" s="22"/>
      <c r="AC1581" s="22"/>
      <c r="AD1581" s="22"/>
      <c r="AE1581" s="22"/>
      <c r="AF1581" s="22"/>
      <c r="AG1581" s="22"/>
      <c r="AH1581" s="22"/>
      <c r="AI1581" s="22"/>
      <c r="AJ1581" s="22"/>
      <c r="AK1581" s="22"/>
      <c r="AL1581" s="22"/>
      <c r="AM1581" s="22"/>
      <c r="AN1581" s="22"/>
      <c r="AO1581" s="22"/>
    </row>
    <row r="1582" ht="15.75" customHeight="1">
      <c r="A1582" s="22"/>
      <c r="B1582" s="22"/>
      <c r="C1582" s="22"/>
      <c r="D1582" s="22"/>
      <c r="E1582" s="22"/>
      <c r="F1582" s="22"/>
      <c r="G1582" s="130"/>
      <c r="H1582" s="22"/>
      <c r="I1582" s="22"/>
      <c r="J1582" s="22"/>
      <c r="K1582" s="22"/>
      <c r="L1582" s="22"/>
      <c r="M1582" s="22"/>
      <c r="N1582" s="22"/>
      <c r="O1582" s="22"/>
      <c r="P1582" s="22"/>
      <c r="Q1582" s="22"/>
      <c r="R1582" s="22"/>
      <c r="S1582" s="22"/>
      <c r="T1582" s="22"/>
      <c r="U1582" s="22"/>
      <c r="V1582" s="22"/>
      <c r="W1582" s="22"/>
      <c r="X1582" s="22"/>
      <c r="Y1582" s="22"/>
      <c r="Z1582" s="22"/>
      <c r="AA1582" s="22"/>
      <c r="AB1582" s="22"/>
      <c r="AC1582" s="22"/>
      <c r="AD1582" s="22"/>
      <c r="AE1582" s="22"/>
      <c r="AF1582" s="22"/>
      <c r="AG1582" s="22"/>
      <c r="AH1582" s="22"/>
      <c r="AI1582" s="22"/>
      <c r="AJ1582" s="22"/>
      <c r="AK1582" s="22"/>
      <c r="AL1582" s="22"/>
      <c r="AM1582" s="22"/>
      <c r="AN1582" s="22"/>
      <c r="AO1582" s="22"/>
    </row>
    <row r="1583" ht="15.75" customHeight="1">
      <c r="A1583" s="22"/>
      <c r="B1583" s="22"/>
      <c r="C1583" s="22"/>
      <c r="D1583" s="22"/>
      <c r="E1583" s="22"/>
      <c r="F1583" s="22"/>
      <c r="G1583" s="130"/>
      <c r="H1583" s="22"/>
      <c r="I1583" s="22"/>
      <c r="J1583" s="22"/>
      <c r="K1583" s="22"/>
      <c r="L1583" s="22"/>
      <c r="M1583" s="22"/>
      <c r="N1583" s="22"/>
      <c r="O1583" s="22"/>
      <c r="P1583" s="22"/>
      <c r="Q1583" s="22"/>
      <c r="R1583" s="22"/>
      <c r="S1583" s="22"/>
      <c r="T1583" s="22"/>
      <c r="U1583" s="22"/>
      <c r="V1583" s="22"/>
      <c r="W1583" s="22"/>
      <c r="X1583" s="22"/>
      <c r="Y1583" s="22"/>
      <c r="Z1583" s="22"/>
      <c r="AA1583" s="22"/>
      <c r="AB1583" s="22"/>
      <c r="AC1583" s="22"/>
      <c r="AD1583" s="22"/>
      <c r="AE1583" s="22"/>
      <c r="AF1583" s="22"/>
      <c r="AG1583" s="22"/>
      <c r="AH1583" s="22"/>
      <c r="AI1583" s="22"/>
      <c r="AJ1583" s="22"/>
      <c r="AK1583" s="22"/>
      <c r="AL1583" s="22"/>
      <c r="AM1583" s="22"/>
      <c r="AN1583" s="22"/>
      <c r="AO1583" s="22"/>
    </row>
    <row r="1584" ht="15.75" customHeight="1">
      <c r="A1584" s="22"/>
      <c r="B1584" s="22"/>
      <c r="C1584" s="22"/>
      <c r="D1584" s="22"/>
      <c r="E1584" s="22"/>
      <c r="F1584" s="22"/>
      <c r="G1584" s="130"/>
      <c r="H1584" s="22"/>
      <c r="I1584" s="22"/>
      <c r="J1584" s="22"/>
      <c r="K1584" s="22"/>
      <c r="L1584" s="22"/>
      <c r="M1584" s="22"/>
      <c r="N1584" s="22"/>
      <c r="O1584" s="22"/>
      <c r="P1584" s="22"/>
      <c r="Q1584" s="22"/>
      <c r="R1584" s="22"/>
      <c r="S1584" s="22"/>
      <c r="T1584" s="22"/>
      <c r="U1584" s="22"/>
      <c r="V1584" s="22"/>
      <c r="W1584" s="22"/>
      <c r="X1584" s="22"/>
      <c r="Y1584" s="22"/>
      <c r="Z1584" s="22"/>
      <c r="AA1584" s="22"/>
      <c r="AB1584" s="22"/>
      <c r="AC1584" s="22"/>
      <c r="AD1584" s="22"/>
      <c r="AE1584" s="22"/>
      <c r="AF1584" s="22"/>
      <c r="AG1584" s="22"/>
      <c r="AH1584" s="22"/>
      <c r="AI1584" s="22"/>
      <c r="AJ1584" s="22"/>
      <c r="AK1584" s="22"/>
      <c r="AL1584" s="22"/>
      <c r="AM1584" s="22"/>
      <c r="AN1584" s="22"/>
      <c r="AO1584" s="22"/>
    </row>
    <row r="1585" ht="15.75" customHeight="1">
      <c r="A1585" s="22"/>
      <c r="B1585" s="22"/>
      <c r="C1585" s="22"/>
      <c r="D1585" s="22"/>
      <c r="E1585" s="22"/>
      <c r="F1585" s="22"/>
      <c r="G1585" s="130"/>
      <c r="H1585" s="22"/>
      <c r="I1585" s="22"/>
      <c r="J1585" s="22"/>
      <c r="K1585" s="22"/>
      <c r="L1585" s="22"/>
      <c r="M1585" s="22"/>
      <c r="N1585" s="22"/>
      <c r="O1585" s="22"/>
      <c r="P1585" s="22"/>
      <c r="Q1585" s="22"/>
      <c r="R1585" s="22"/>
      <c r="S1585" s="22"/>
      <c r="T1585" s="22"/>
      <c r="U1585" s="22"/>
      <c r="V1585" s="22"/>
      <c r="W1585" s="22"/>
      <c r="X1585" s="22"/>
      <c r="Y1585" s="22"/>
      <c r="Z1585" s="22"/>
      <c r="AA1585" s="22"/>
      <c r="AB1585" s="22"/>
      <c r="AC1585" s="22"/>
      <c r="AD1585" s="22"/>
      <c r="AE1585" s="22"/>
      <c r="AF1585" s="22"/>
      <c r="AG1585" s="22"/>
      <c r="AH1585" s="22"/>
      <c r="AI1585" s="22"/>
      <c r="AJ1585" s="22"/>
      <c r="AK1585" s="22"/>
      <c r="AL1585" s="22"/>
      <c r="AM1585" s="22"/>
      <c r="AN1585" s="22"/>
      <c r="AO1585" s="22"/>
    </row>
    <row r="1586" ht="15.75" customHeight="1">
      <c r="A1586" s="22"/>
      <c r="B1586" s="22"/>
      <c r="C1586" s="22"/>
      <c r="D1586" s="22"/>
      <c r="E1586" s="22"/>
      <c r="F1586" s="22"/>
      <c r="G1586" s="130"/>
      <c r="H1586" s="22"/>
      <c r="I1586" s="22"/>
      <c r="J1586" s="22"/>
      <c r="K1586" s="22"/>
      <c r="L1586" s="22"/>
      <c r="M1586" s="22"/>
      <c r="N1586" s="22"/>
      <c r="O1586" s="22"/>
      <c r="P1586" s="22"/>
      <c r="Q1586" s="22"/>
      <c r="R1586" s="22"/>
      <c r="S1586" s="22"/>
      <c r="T1586" s="22"/>
      <c r="U1586" s="22"/>
      <c r="V1586" s="22"/>
      <c r="W1586" s="22"/>
      <c r="X1586" s="22"/>
      <c r="Y1586" s="22"/>
      <c r="Z1586" s="22"/>
      <c r="AA1586" s="22"/>
      <c r="AB1586" s="22"/>
      <c r="AC1586" s="22"/>
      <c r="AD1586" s="22"/>
      <c r="AE1586" s="22"/>
      <c r="AF1586" s="22"/>
      <c r="AG1586" s="22"/>
      <c r="AH1586" s="22"/>
      <c r="AI1586" s="22"/>
      <c r="AJ1586" s="22"/>
      <c r="AK1586" s="22"/>
      <c r="AL1586" s="22"/>
      <c r="AM1586" s="22"/>
      <c r="AN1586" s="22"/>
      <c r="AO1586" s="22"/>
    </row>
    <row r="1587" ht="15.75" customHeight="1">
      <c r="A1587" s="22"/>
      <c r="B1587" s="22"/>
      <c r="C1587" s="22"/>
      <c r="D1587" s="22"/>
      <c r="E1587" s="22"/>
      <c r="F1587" s="22"/>
      <c r="G1587" s="130"/>
      <c r="H1587" s="22"/>
      <c r="I1587" s="22"/>
      <c r="J1587" s="22"/>
      <c r="K1587" s="22"/>
      <c r="L1587" s="22"/>
      <c r="M1587" s="22"/>
      <c r="N1587" s="22"/>
      <c r="O1587" s="22"/>
      <c r="P1587" s="22"/>
      <c r="Q1587" s="22"/>
      <c r="R1587" s="22"/>
      <c r="S1587" s="22"/>
      <c r="T1587" s="22"/>
      <c r="U1587" s="22"/>
      <c r="V1587" s="22"/>
      <c r="W1587" s="22"/>
      <c r="X1587" s="22"/>
      <c r="Y1587" s="22"/>
      <c r="Z1587" s="22"/>
      <c r="AA1587" s="22"/>
      <c r="AB1587" s="22"/>
      <c r="AC1587" s="22"/>
      <c r="AD1587" s="22"/>
      <c r="AE1587" s="22"/>
      <c r="AF1587" s="22"/>
      <c r="AG1587" s="22"/>
      <c r="AH1587" s="22"/>
      <c r="AI1587" s="22"/>
      <c r="AJ1587" s="22"/>
      <c r="AK1587" s="22"/>
      <c r="AL1587" s="22"/>
      <c r="AM1587" s="22"/>
      <c r="AN1587" s="22"/>
      <c r="AO1587" s="22"/>
    </row>
    <row r="1588" ht="15.75" customHeight="1">
      <c r="A1588" s="22"/>
      <c r="B1588" s="22"/>
      <c r="C1588" s="22"/>
      <c r="D1588" s="22"/>
      <c r="E1588" s="22"/>
      <c r="F1588" s="22"/>
      <c r="G1588" s="130"/>
      <c r="H1588" s="22"/>
      <c r="I1588" s="22"/>
      <c r="J1588" s="22"/>
      <c r="K1588" s="22"/>
      <c r="L1588" s="22"/>
      <c r="M1588" s="22"/>
      <c r="N1588" s="22"/>
      <c r="O1588" s="22"/>
      <c r="P1588" s="22"/>
      <c r="Q1588" s="22"/>
      <c r="R1588" s="22"/>
      <c r="S1588" s="22"/>
      <c r="T1588" s="22"/>
      <c r="U1588" s="22"/>
      <c r="V1588" s="22"/>
      <c r="W1588" s="22"/>
      <c r="X1588" s="22"/>
      <c r="Y1588" s="22"/>
      <c r="Z1588" s="22"/>
      <c r="AA1588" s="22"/>
      <c r="AB1588" s="22"/>
      <c r="AC1588" s="22"/>
      <c r="AD1588" s="22"/>
      <c r="AE1588" s="22"/>
      <c r="AF1588" s="22"/>
      <c r="AG1588" s="22"/>
      <c r="AH1588" s="22"/>
      <c r="AI1588" s="22"/>
      <c r="AJ1588" s="22"/>
      <c r="AK1588" s="22"/>
      <c r="AL1588" s="22"/>
      <c r="AM1588" s="22"/>
      <c r="AN1588" s="22"/>
      <c r="AO1588" s="22"/>
    </row>
    <row r="1589" ht="15.75" customHeight="1">
      <c r="A1589" s="22"/>
      <c r="B1589" s="22"/>
      <c r="C1589" s="22"/>
      <c r="D1589" s="22"/>
      <c r="E1589" s="22"/>
      <c r="F1589" s="22"/>
      <c r="G1589" s="130"/>
      <c r="H1589" s="22"/>
      <c r="I1589" s="22"/>
      <c r="J1589" s="22"/>
      <c r="K1589" s="22"/>
      <c r="L1589" s="22"/>
      <c r="M1589" s="22"/>
      <c r="N1589" s="22"/>
      <c r="O1589" s="22"/>
      <c r="P1589" s="22"/>
      <c r="Q1589" s="22"/>
      <c r="R1589" s="22"/>
      <c r="S1589" s="22"/>
      <c r="T1589" s="22"/>
      <c r="U1589" s="22"/>
      <c r="V1589" s="22"/>
      <c r="W1589" s="22"/>
      <c r="X1589" s="22"/>
      <c r="Y1589" s="22"/>
      <c r="Z1589" s="22"/>
      <c r="AA1589" s="22"/>
      <c r="AB1589" s="22"/>
      <c r="AC1589" s="22"/>
      <c r="AD1589" s="22"/>
      <c r="AE1589" s="22"/>
      <c r="AF1589" s="22"/>
      <c r="AG1589" s="22"/>
      <c r="AH1589" s="22"/>
      <c r="AI1589" s="22"/>
      <c r="AJ1589" s="22"/>
      <c r="AK1589" s="22"/>
      <c r="AL1589" s="22"/>
      <c r="AM1589" s="22"/>
      <c r="AN1589" s="22"/>
      <c r="AO1589" s="22"/>
    </row>
    <row r="1590" ht="15.75" customHeight="1">
      <c r="A1590" s="22"/>
      <c r="B1590" s="22"/>
      <c r="C1590" s="22"/>
      <c r="D1590" s="22"/>
      <c r="E1590" s="22"/>
      <c r="F1590" s="22"/>
      <c r="G1590" s="130"/>
      <c r="H1590" s="22"/>
      <c r="I1590" s="22"/>
      <c r="J1590" s="22"/>
      <c r="K1590" s="22"/>
      <c r="L1590" s="22"/>
      <c r="M1590" s="22"/>
      <c r="N1590" s="22"/>
      <c r="O1590" s="22"/>
      <c r="P1590" s="22"/>
      <c r="Q1590" s="22"/>
      <c r="R1590" s="22"/>
      <c r="S1590" s="22"/>
      <c r="T1590" s="22"/>
      <c r="U1590" s="22"/>
      <c r="V1590" s="22"/>
      <c r="W1590" s="22"/>
      <c r="X1590" s="22"/>
      <c r="Y1590" s="22"/>
      <c r="Z1590" s="22"/>
      <c r="AA1590" s="22"/>
      <c r="AB1590" s="22"/>
      <c r="AC1590" s="22"/>
      <c r="AD1590" s="22"/>
      <c r="AE1590" s="22"/>
      <c r="AF1590" s="22"/>
      <c r="AG1590" s="22"/>
      <c r="AH1590" s="22"/>
      <c r="AI1590" s="22"/>
      <c r="AJ1590" s="22"/>
      <c r="AK1590" s="22"/>
      <c r="AL1590" s="22"/>
      <c r="AM1590" s="22"/>
      <c r="AN1590" s="22"/>
      <c r="AO1590" s="22"/>
    </row>
    <row r="1591" ht="15.75" customHeight="1">
      <c r="A1591" s="22"/>
      <c r="B1591" s="22"/>
      <c r="C1591" s="22"/>
      <c r="D1591" s="22"/>
      <c r="E1591" s="22"/>
      <c r="F1591" s="22"/>
      <c r="G1591" s="130"/>
      <c r="H1591" s="22"/>
      <c r="I1591" s="22"/>
      <c r="J1591" s="22"/>
      <c r="K1591" s="22"/>
      <c r="L1591" s="22"/>
      <c r="M1591" s="22"/>
      <c r="N1591" s="22"/>
      <c r="O1591" s="22"/>
      <c r="P1591" s="22"/>
      <c r="Q1591" s="22"/>
      <c r="R1591" s="22"/>
      <c r="S1591" s="22"/>
      <c r="T1591" s="22"/>
      <c r="U1591" s="22"/>
      <c r="V1591" s="22"/>
      <c r="W1591" s="22"/>
      <c r="X1591" s="22"/>
      <c r="Y1591" s="22"/>
      <c r="Z1591" s="22"/>
      <c r="AA1591" s="22"/>
      <c r="AB1591" s="22"/>
      <c r="AC1591" s="22"/>
      <c r="AD1591" s="22"/>
      <c r="AE1591" s="22"/>
      <c r="AF1591" s="22"/>
      <c r="AG1591" s="22"/>
      <c r="AH1591" s="22"/>
      <c r="AI1591" s="22"/>
      <c r="AJ1591" s="22"/>
      <c r="AK1591" s="22"/>
      <c r="AL1591" s="22"/>
      <c r="AM1591" s="22"/>
      <c r="AN1591" s="22"/>
      <c r="AO1591" s="22"/>
    </row>
    <row r="1592" ht="15.75" customHeight="1">
      <c r="A1592" s="22"/>
      <c r="B1592" s="22"/>
      <c r="C1592" s="22"/>
      <c r="D1592" s="22"/>
      <c r="E1592" s="22"/>
      <c r="F1592" s="22"/>
      <c r="G1592" s="130"/>
      <c r="H1592" s="22"/>
      <c r="I1592" s="22"/>
      <c r="J1592" s="22"/>
      <c r="K1592" s="22"/>
      <c r="L1592" s="22"/>
      <c r="M1592" s="22"/>
      <c r="N1592" s="22"/>
      <c r="O1592" s="22"/>
      <c r="P1592" s="22"/>
      <c r="Q1592" s="22"/>
      <c r="R1592" s="22"/>
      <c r="S1592" s="22"/>
      <c r="T1592" s="22"/>
      <c r="U1592" s="22"/>
      <c r="V1592" s="22"/>
      <c r="W1592" s="22"/>
      <c r="X1592" s="22"/>
      <c r="Y1592" s="22"/>
      <c r="Z1592" s="22"/>
      <c r="AA1592" s="22"/>
      <c r="AB1592" s="22"/>
      <c r="AC1592" s="22"/>
      <c r="AD1592" s="22"/>
      <c r="AE1592" s="22"/>
      <c r="AF1592" s="22"/>
      <c r="AG1592" s="22"/>
      <c r="AH1592" s="22"/>
      <c r="AI1592" s="22"/>
      <c r="AJ1592" s="22"/>
      <c r="AK1592" s="22"/>
      <c r="AL1592" s="22"/>
      <c r="AM1592" s="22"/>
      <c r="AN1592" s="22"/>
      <c r="AO1592" s="22"/>
    </row>
    <row r="1593" ht="15.75" customHeight="1">
      <c r="A1593" s="22"/>
      <c r="B1593" s="22"/>
      <c r="C1593" s="22"/>
      <c r="D1593" s="22"/>
      <c r="E1593" s="22"/>
      <c r="F1593" s="22"/>
      <c r="G1593" s="130"/>
      <c r="H1593" s="22"/>
      <c r="I1593" s="22"/>
      <c r="J1593" s="22"/>
      <c r="K1593" s="22"/>
      <c r="L1593" s="22"/>
      <c r="M1593" s="22"/>
      <c r="N1593" s="22"/>
      <c r="O1593" s="22"/>
      <c r="P1593" s="22"/>
      <c r="Q1593" s="22"/>
      <c r="R1593" s="22"/>
      <c r="S1593" s="22"/>
      <c r="T1593" s="22"/>
      <c r="U1593" s="22"/>
      <c r="V1593" s="22"/>
      <c r="W1593" s="22"/>
      <c r="X1593" s="22"/>
      <c r="Y1593" s="22"/>
      <c r="Z1593" s="22"/>
      <c r="AA1593" s="22"/>
      <c r="AB1593" s="22"/>
      <c r="AC1593" s="22"/>
      <c r="AD1593" s="22"/>
      <c r="AE1593" s="22"/>
      <c r="AF1593" s="22"/>
      <c r="AG1593" s="22"/>
      <c r="AH1593" s="22"/>
      <c r="AI1593" s="22"/>
      <c r="AJ1593" s="22"/>
      <c r="AK1593" s="22"/>
      <c r="AL1593" s="22"/>
      <c r="AM1593" s="22"/>
      <c r="AN1593" s="22"/>
      <c r="AO1593" s="22"/>
    </row>
    <row r="1594" ht="15.75" customHeight="1">
      <c r="A1594" s="22"/>
      <c r="B1594" s="22"/>
      <c r="C1594" s="22"/>
      <c r="D1594" s="22"/>
      <c r="E1594" s="22"/>
      <c r="F1594" s="22"/>
      <c r="G1594" s="130"/>
      <c r="H1594" s="22"/>
      <c r="I1594" s="22"/>
      <c r="J1594" s="22"/>
      <c r="K1594" s="22"/>
      <c r="L1594" s="22"/>
      <c r="M1594" s="22"/>
      <c r="N1594" s="22"/>
      <c r="O1594" s="22"/>
      <c r="P1594" s="22"/>
      <c r="Q1594" s="22"/>
      <c r="R1594" s="22"/>
      <c r="S1594" s="22"/>
      <c r="T1594" s="22"/>
      <c r="U1594" s="22"/>
      <c r="V1594" s="22"/>
      <c r="W1594" s="22"/>
      <c r="X1594" s="22"/>
      <c r="Y1594" s="22"/>
      <c r="Z1594" s="22"/>
      <c r="AA1594" s="22"/>
      <c r="AB1594" s="22"/>
      <c r="AC1594" s="22"/>
      <c r="AD1594" s="22"/>
      <c r="AE1594" s="22"/>
      <c r="AF1594" s="22"/>
      <c r="AG1594" s="22"/>
      <c r="AH1594" s="22"/>
      <c r="AI1594" s="22"/>
      <c r="AJ1594" s="22"/>
      <c r="AK1594" s="22"/>
      <c r="AL1594" s="22"/>
      <c r="AM1594" s="22"/>
      <c r="AN1594" s="22"/>
      <c r="AO1594" s="22"/>
    </row>
    <row r="1595" ht="15.75" customHeight="1">
      <c r="A1595" s="22"/>
      <c r="B1595" s="22"/>
      <c r="C1595" s="22"/>
      <c r="D1595" s="22"/>
      <c r="E1595" s="22"/>
      <c r="F1595" s="22"/>
      <c r="G1595" s="130"/>
      <c r="H1595" s="22"/>
      <c r="I1595" s="22"/>
      <c r="J1595" s="22"/>
      <c r="K1595" s="22"/>
      <c r="L1595" s="22"/>
      <c r="M1595" s="22"/>
      <c r="N1595" s="22"/>
      <c r="O1595" s="22"/>
      <c r="P1595" s="22"/>
      <c r="Q1595" s="22"/>
      <c r="R1595" s="22"/>
      <c r="S1595" s="22"/>
      <c r="T1595" s="22"/>
      <c r="U1595" s="22"/>
      <c r="V1595" s="22"/>
      <c r="W1595" s="22"/>
      <c r="X1595" s="22"/>
      <c r="Y1595" s="22"/>
      <c r="Z1595" s="22"/>
      <c r="AA1595" s="22"/>
      <c r="AB1595" s="22"/>
      <c r="AC1595" s="22"/>
      <c r="AD1595" s="22"/>
      <c r="AE1595" s="22"/>
      <c r="AF1595" s="22"/>
      <c r="AG1595" s="22"/>
      <c r="AH1595" s="22"/>
      <c r="AI1595" s="22"/>
      <c r="AJ1595" s="22"/>
      <c r="AK1595" s="22"/>
      <c r="AL1595" s="22"/>
      <c r="AM1595" s="22"/>
      <c r="AN1595" s="22"/>
      <c r="AO1595" s="22"/>
    </row>
    <row r="1596" ht="15.75" customHeight="1">
      <c r="A1596" s="22"/>
      <c r="B1596" s="22"/>
      <c r="C1596" s="22"/>
      <c r="D1596" s="22"/>
      <c r="E1596" s="22"/>
      <c r="F1596" s="22"/>
      <c r="G1596" s="130"/>
      <c r="H1596" s="22"/>
      <c r="I1596" s="22"/>
      <c r="J1596" s="22"/>
      <c r="K1596" s="22"/>
      <c r="L1596" s="22"/>
      <c r="M1596" s="22"/>
      <c r="N1596" s="22"/>
      <c r="O1596" s="22"/>
      <c r="P1596" s="22"/>
      <c r="Q1596" s="22"/>
      <c r="R1596" s="22"/>
      <c r="S1596" s="22"/>
      <c r="T1596" s="22"/>
      <c r="U1596" s="22"/>
      <c r="V1596" s="22"/>
      <c r="W1596" s="22"/>
      <c r="X1596" s="22"/>
      <c r="Y1596" s="22"/>
      <c r="Z1596" s="22"/>
      <c r="AA1596" s="22"/>
      <c r="AB1596" s="22"/>
      <c r="AC1596" s="22"/>
      <c r="AD1596" s="22"/>
      <c r="AE1596" s="22"/>
      <c r="AF1596" s="22"/>
      <c r="AG1596" s="22"/>
      <c r="AH1596" s="22"/>
      <c r="AI1596" s="22"/>
      <c r="AJ1596" s="22"/>
      <c r="AK1596" s="22"/>
      <c r="AL1596" s="22"/>
      <c r="AM1596" s="22"/>
      <c r="AN1596" s="22"/>
      <c r="AO1596" s="22"/>
    </row>
    <row r="1597" ht="15.75" customHeight="1">
      <c r="A1597" s="22"/>
      <c r="B1597" s="22"/>
      <c r="C1597" s="22"/>
      <c r="D1597" s="22"/>
      <c r="E1597" s="22"/>
      <c r="F1597" s="22"/>
      <c r="G1597" s="130"/>
      <c r="H1597" s="22"/>
      <c r="I1597" s="22"/>
      <c r="J1597" s="22"/>
      <c r="K1597" s="22"/>
      <c r="L1597" s="22"/>
      <c r="M1597" s="22"/>
      <c r="N1597" s="22"/>
      <c r="O1597" s="22"/>
      <c r="P1597" s="22"/>
      <c r="Q1597" s="22"/>
      <c r="R1597" s="22"/>
      <c r="S1597" s="22"/>
      <c r="T1597" s="22"/>
      <c r="U1597" s="22"/>
      <c r="V1597" s="22"/>
      <c r="W1597" s="22"/>
      <c r="X1597" s="22"/>
      <c r="Y1597" s="22"/>
      <c r="Z1597" s="22"/>
      <c r="AA1597" s="22"/>
      <c r="AB1597" s="22"/>
      <c r="AC1597" s="22"/>
      <c r="AD1597" s="22"/>
      <c r="AE1597" s="22"/>
      <c r="AF1597" s="22"/>
      <c r="AG1597" s="22"/>
      <c r="AH1597" s="22"/>
      <c r="AI1597" s="22"/>
      <c r="AJ1597" s="22"/>
      <c r="AK1597" s="22"/>
      <c r="AL1597" s="22"/>
      <c r="AM1597" s="22"/>
      <c r="AN1597" s="22"/>
      <c r="AO1597" s="22"/>
    </row>
    <row r="1598" ht="15.75" customHeight="1">
      <c r="A1598" s="22"/>
      <c r="B1598" s="22"/>
      <c r="C1598" s="22"/>
      <c r="D1598" s="22"/>
      <c r="E1598" s="22"/>
      <c r="F1598" s="22"/>
      <c r="G1598" s="130"/>
      <c r="H1598" s="22"/>
      <c r="I1598" s="22"/>
      <c r="J1598" s="22"/>
      <c r="K1598" s="22"/>
      <c r="L1598" s="22"/>
      <c r="M1598" s="22"/>
      <c r="N1598" s="22"/>
      <c r="O1598" s="22"/>
      <c r="P1598" s="22"/>
      <c r="Q1598" s="22"/>
      <c r="R1598" s="22"/>
      <c r="S1598" s="22"/>
      <c r="T1598" s="22"/>
      <c r="U1598" s="22"/>
      <c r="V1598" s="22"/>
      <c r="W1598" s="22"/>
      <c r="X1598" s="22"/>
      <c r="Y1598" s="22"/>
      <c r="Z1598" s="22"/>
      <c r="AA1598" s="22"/>
      <c r="AB1598" s="22"/>
      <c r="AC1598" s="22"/>
      <c r="AD1598" s="22"/>
      <c r="AE1598" s="22"/>
      <c r="AF1598" s="22"/>
      <c r="AG1598" s="22"/>
      <c r="AH1598" s="22"/>
      <c r="AI1598" s="22"/>
      <c r="AJ1598" s="22"/>
      <c r="AK1598" s="22"/>
      <c r="AL1598" s="22"/>
      <c r="AM1598" s="22"/>
      <c r="AN1598" s="22"/>
      <c r="AO1598" s="22"/>
    </row>
    <row r="1599" ht="15.75" customHeight="1">
      <c r="A1599" s="22"/>
      <c r="B1599" s="22"/>
      <c r="C1599" s="22"/>
      <c r="D1599" s="22"/>
      <c r="E1599" s="22"/>
      <c r="F1599" s="22"/>
      <c r="G1599" s="130"/>
      <c r="H1599" s="22"/>
      <c r="I1599" s="22"/>
      <c r="J1599" s="22"/>
      <c r="K1599" s="22"/>
      <c r="L1599" s="22"/>
      <c r="M1599" s="22"/>
      <c r="N1599" s="22"/>
      <c r="O1599" s="22"/>
      <c r="P1599" s="22"/>
      <c r="Q1599" s="22"/>
      <c r="R1599" s="22"/>
      <c r="S1599" s="22"/>
      <c r="T1599" s="22"/>
      <c r="U1599" s="22"/>
      <c r="V1599" s="22"/>
      <c r="W1599" s="22"/>
      <c r="X1599" s="22"/>
      <c r="Y1599" s="22"/>
      <c r="Z1599" s="22"/>
      <c r="AA1599" s="22"/>
      <c r="AB1599" s="22"/>
      <c r="AC1599" s="22"/>
      <c r="AD1599" s="22"/>
      <c r="AE1599" s="22"/>
      <c r="AF1599" s="22"/>
      <c r="AG1599" s="22"/>
      <c r="AH1599" s="22"/>
      <c r="AI1599" s="22"/>
      <c r="AJ1599" s="22"/>
      <c r="AK1599" s="22"/>
      <c r="AL1599" s="22"/>
      <c r="AM1599" s="22"/>
      <c r="AN1599" s="22"/>
      <c r="AO1599" s="22"/>
    </row>
    <row r="1600" ht="15.75" customHeight="1">
      <c r="A1600" s="22"/>
      <c r="B1600" s="22"/>
      <c r="C1600" s="22"/>
      <c r="D1600" s="22"/>
      <c r="E1600" s="22"/>
      <c r="F1600" s="22"/>
      <c r="G1600" s="130"/>
      <c r="H1600" s="22"/>
      <c r="I1600" s="22"/>
      <c r="J1600" s="22"/>
      <c r="K1600" s="22"/>
      <c r="L1600" s="22"/>
      <c r="M1600" s="22"/>
      <c r="N1600" s="22"/>
      <c r="O1600" s="22"/>
      <c r="P1600" s="22"/>
      <c r="Q1600" s="22"/>
      <c r="R1600" s="22"/>
      <c r="S1600" s="22"/>
      <c r="T1600" s="22"/>
      <c r="U1600" s="22"/>
      <c r="V1600" s="22"/>
      <c r="W1600" s="22"/>
      <c r="X1600" s="22"/>
      <c r="Y1600" s="22"/>
      <c r="Z1600" s="22"/>
      <c r="AA1600" s="22"/>
      <c r="AB1600" s="22"/>
      <c r="AC1600" s="22"/>
      <c r="AD1600" s="22"/>
      <c r="AE1600" s="22"/>
      <c r="AF1600" s="22"/>
      <c r="AG1600" s="22"/>
      <c r="AH1600" s="22"/>
      <c r="AI1600" s="22"/>
      <c r="AJ1600" s="22"/>
      <c r="AK1600" s="22"/>
      <c r="AL1600" s="22"/>
      <c r="AM1600" s="22"/>
      <c r="AN1600" s="22"/>
      <c r="AO1600" s="22"/>
    </row>
    <row r="1601" ht="15.75" customHeight="1">
      <c r="A1601" s="22"/>
      <c r="B1601" s="22"/>
      <c r="C1601" s="22"/>
      <c r="D1601" s="22"/>
      <c r="E1601" s="22"/>
      <c r="F1601" s="22"/>
      <c r="G1601" s="130"/>
      <c r="H1601" s="22"/>
      <c r="I1601" s="22"/>
      <c r="J1601" s="22"/>
      <c r="K1601" s="22"/>
      <c r="L1601" s="22"/>
      <c r="M1601" s="22"/>
      <c r="N1601" s="22"/>
      <c r="O1601" s="22"/>
      <c r="P1601" s="22"/>
      <c r="Q1601" s="22"/>
      <c r="R1601" s="22"/>
      <c r="S1601" s="22"/>
      <c r="T1601" s="22"/>
      <c r="U1601" s="22"/>
      <c r="V1601" s="22"/>
      <c r="W1601" s="22"/>
      <c r="X1601" s="22"/>
      <c r="Y1601" s="22"/>
      <c r="Z1601" s="22"/>
      <c r="AA1601" s="22"/>
      <c r="AB1601" s="22"/>
      <c r="AC1601" s="22"/>
      <c r="AD1601" s="22"/>
      <c r="AE1601" s="22"/>
      <c r="AF1601" s="22"/>
      <c r="AG1601" s="22"/>
      <c r="AH1601" s="22"/>
      <c r="AI1601" s="22"/>
      <c r="AJ1601" s="22"/>
      <c r="AK1601" s="22"/>
      <c r="AL1601" s="22"/>
      <c r="AM1601" s="22"/>
      <c r="AN1601" s="22"/>
      <c r="AO1601" s="22"/>
    </row>
    <row r="1602" ht="15.75" customHeight="1">
      <c r="A1602" s="22"/>
      <c r="B1602" s="22"/>
      <c r="C1602" s="22"/>
      <c r="D1602" s="22"/>
      <c r="E1602" s="22"/>
      <c r="F1602" s="22"/>
      <c r="G1602" s="130"/>
      <c r="H1602" s="22"/>
      <c r="I1602" s="22"/>
      <c r="J1602" s="22"/>
      <c r="K1602" s="22"/>
      <c r="L1602" s="22"/>
      <c r="M1602" s="22"/>
      <c r="N1602" s="22"/>
      <c r="O1602" s="22"/>
      <c r="P1602" s="22"/>
      <c r="Q1602" s="22"/>
      <c r="R1602" s="22"/>
      <c r="S1602" s="22"/>
      <c r="T1602" s="22"/>
      <c r="U1602" s="22"/>
      <c r="V1602" s="22"/>
      <c r="W1602" s="22"/>
      <c r="X1602" s="22"/>
      <c r="Y1602" s="22"/>
      <c r="Z1602" s="22"/>
      <c r="AA1602" s="22"/>
      <c r="AB1602" s="22"/>
      <c r="AC1602" s="22"/>
      <c r="AD1602" s="22"/>
      <c r="AE1602" s="22"/>
      <c r="AF1602" s="22"/>
      <c r="AG1602" s="22"/>
      <c r="AH1602" s="22"/>
      <c r="AI1602" s="22"/>
      <c r="AJ1602" s="22"/>
      <c r="AK1602" s="22"/>
      <c r="AL1602" s="22"/>
      <c r="AM1602" s="22"/>
      <c r="AN1602" s="22"/>
      <c r="AO1602" s="22"/>
    </row>
    <row r="1603" ht="15.75" customHeight="1">
      <c r="A1603" s="22"/>
      <c r="B1603" s="22"/>
      <c r="C1603" s="22"/>
      <c r="D1603" s="22"/>
      <c r="E1603" s="22"/>
      <c r="F1603" s="22"/>
      <c r="G1603" s="130"/>
      <c r="H1603" s="22"/>
      <c r="I1603" s="22"/>
      <c r="J1603" s="22"/>
      <c r="K1603" s="22"/>
      <c r="L1603" s="22"/>
      <c r="M1603" s="22"/>
      <c r="N1603" s="22"/>
      <c r="O1603" s="22"/>
      <c r="P1603" s="22"/>
      <c r="Q1603" s="22"/>
      <c r="R1603" s="22"/>
      <c r="S1603" s="22"/>
      <c r="T1603" s="22"/>
      <c r="U1603" s="22"/>
      <c r="V1603" s="22"/>
      <c r="W1603" s="22"/>
      <c r="X1603" s="22"/>
      <c r="Y1603" s="22"/>
      <c r="Z1603" s="22"/>
      <c r="AA1603" s="22"/>
      <c r="AB1603" s="22"/>
      <c r="AC1603" s="22"/>
      <c r="AD1603" s="22"/>
      <c r="AE1603" s="22"/>
      <c r="AF1603" s="22"/>
      <c r="AG1603" s="22"/>
      <c r="AH1603" s="22"/>
      <c r="AI1603" s="22"/>
      <c r="AJ1603" s="22"/>
      <c r="AK1603" s="22"/>
      <c r="AL1603" s="22"/>
      <c r="AM1603" s="22"/>
      <c r="AN1603" s="22"/>
      <c r="AO1603" s="22"/>
    </row>
    <row r="1604" ht="15.75" customHeight="1">
      <c r="A1604" s="22"/>
      <c r="B1604" s="22"/>
      <c r="C1604" s="22"/>
      <c r="D1604" s="22"/>
      <c r="E1604" s="22"/>
      <c r="F1604" s="22"/>
      <c r="G1604" s="130"/>
      <c r="H1604" s="22"/>
      <c r="I1604" s="22"/>
      <c r="J1604" s="22"/>
      <c r="K1604" s="22"/>
      <c r="L1604" s="22"/>
      <c r="M1604" s="22"/>
      <c r="N1604" s="22"/>
      <c r="O1604" s="22"/>
      <c r="P1604" s="22"/>
      <c r="Q1604" s="22"/>
      <c r="R1604" s="22"/>
      <c r="S1604" s="22"/>
      <c r="T1604" s="22"/>
      <c r="U1604" s="22"/>
      <c r="V1604" s="22"/>
      <c r="W1604" s="22"/>
      <c r="X1604" s="22"/>
      <c r="Y1604" s="22"/>
      <c r="Z1604" s="22"/>
      <c r="AA1604" s="22"/>
      <c r="AB1604" s="22"/>
      <c r="AC1604" s="22"/>
      <c r="AD1604" s="22"/>
      <c r="AE1604" s="22"/>
      <c r="AF1604" s="22"/>
      <c r="AG1604" s="22"/>
      <c r="AH1604" s="22"/>
      <c r="AI1604" s="22"/>
      <c r="AJ1604" s="22"/>
      <c r="AK1604" s="22"/>
      <c r="AL1604" s="22"/>
      <c r="AM1604" s="22"/>
      <c r="AN1604" s="22"/>
      <c r="AO1604" s="22"/>
    </row>
    <row r="1605" ht="15.75" customHeight="1">
      <c r="A1605" s="22"/>
      <c r="B1605" s="22"/>
      <c r="C1605" s="22"/>
      <c r="D1605" s="22"/>
      <c r="E1605" s="22"/>
      <c r="F1605" s="22"/>
      <c r="G1605" s="130"/>
      <c r="H1605" s="22"/>
      <c r="I1605" s="22"/>
      <c r="J1605" s="22"/>
      <c r="K1605" s="22"/>
      <c r="L1605" s="22"/>
      <c r="M1605" s="22"/>
      <c r="N1605" s="22"/>
      <c r="O1605" s="22"/>
      <c r="P1605" s="22"/>
      <c r="Q1605" s="22"/>
      <c r="R1605" s="22"/>
      <c r="S1605" s="22"/>
      <c r="T1605" s="22"/>
      <c r="U1605" s="22"/>
      <c r="V1605" s="22"/>
      <c r="W1605" s="22"/>
      <c r="X1605" s="22"/>
      <c r="Y1605" s="22"/>
      <c r="Z1605" s="22"/>
      <c r="AA1605" s="22"/>
      <c r="AB1605" s="22"/>
      <c r="AC1605" s="22"/>
      <c r="AD1605" s="22"/>
      <c r="AE1605" s="22"/>
      <c r="AF1605" s="22"/>
      <c r="AG1605" s="22"/>
      <c r="AH1605" s="22"/>
      <c r="AI1605" s="22"/>
      <c r="AJ1605" s="22"/>
      <c r="AK1605" s="22"/>
      <c r="AL1605" s="22"/>
      <c r="AM1605" s="22"/>
      <c r="AN1605" s="22"/>
      <c r="AO1605" s="22"/>
    </row>
    <row r="1606" ht="15.75" customHeight="1">
      <c r="A1606" s="22"/>
      <c r="B1606" s="22"/>
      <c r="C1606" s="22"/>
      <c r="D1606" s="22"/>
      <c r="E1606" s="22"/>
      <c r="F1606" s="22"/>
      <c r="G1606" s="130"/>
      <c r="H1606" s="22"/>
      <c r="I1606" s="22"/>
      <c r="J1606" s="22"/>
      <c r="K1606" s="22"/>
      <c r="L1606" s="22"/>
      <c r="M1606" s="22"/>
      <c r="N1606" s="22"/>
      <c r="O1606" s="22"/>
      <c r="P1606" s="22"/>
      <c r="Q1606" s="22"/>
      <c r="R1606" s="22"/>
      <c r="S1606" s="22"/>
      <c r="T1606" s="22"/>
      <c r="U1606" s="22"/>
      <c r="V1606" s="22"/>
      <c r="W1606" s="22"/>
      <c r="X1606" s="22"/>
      <c r="Y1606" s="22"/>
      <c r="Z1606" s="22"/>
      <c r="AA1606" s="22"/>
      <c r="AB1606" s="22"/>
      <c r="AC1606" s="22"/>
      <c r="AD1606" s="22"/>
      <c r="AE1606" s="22"/>
      <c r="AF1606" s="22"/>
      <c r="AG1606" s="22"/>
      <c r="AH1606" s="22"/>
      <c r="AI1606" s="22"/>
      <c r="AJ1606" s="22"/>
      <c r="AK1606" s="22"/>
      <c r="AL1606" s="22"/>
      <c r="AM1606" s="22"/>
      <c r="AN1606" s="22"/>
      <c r="AO1606" s="22"/>
    </row>
    <row r="1607" ht="15.75" customHeight="1">
      <c r="A1607" s="22"/>
      <c r="B1607" s="22"/>
      <c r="C1607" s="22"/>
      <c r="D1607" s="22"/>
      <c r="E1607" s="22"/>
      <c r="F1607" s="22"/>
      <c r="G1607" s="130"/>
      <c r="H1607" s="22"/>
      <c r="I1607" s="22"/>
      <c r="J1607" s="22"/>
      <c r="K1607" s="22"/>
      <c r="L1607" s="22"/>
      <c r="M1607" s="22"/>
      <c r="N1607" s="22"/>
      <c r="O1607" s="22"/>
      <c r="P1607" s="22"/>
      <c r="Q1607" s="22"/>
      <c r="R1607" s="22"/>
      <c r="S1607" s="22"/>
      <c r="T1607" s="22"/>
      <c r="U1607" s="22"/>
      <c r="V1607" s="22"/>
      <c r="W1607" s="22"/>
      <c r="X1607" s="22"/>
      <c r="Y1607" s="22"/>
      <c r="Z1607" s="22"/>
      <c r="AA1607" s="22"/>
      <c r="AB1607" s="22"/>
      <c r="AC1607" s="22"/>
      <c r="AD1607" s="22"/>
      <c r="AE1607" s="22"/>
      <c r="AF1607" s="22"/>
      <c r="AG1607" s="22"/>
      <c r="AH1607" s="22"/>
      <c r="AI1607" s="22"/>
      <c r="AJ1607" s="22"/>
      <c r="AK1607" s="22"/>
      <c r="AL1607" s="22"/>
      <c r="AM1607" s="22"/>
      <c r="AN1607" s="22"/>
      <c r="AO1607" s="22"/>
    </row>
    <row r="1608" ht="15.75" customHeight="1">
      <c r="A1608" s="22"/>
      <c r="B1608" s="22"/>
      <c r="C1608" s="22"/>
      <c r="D1608" s="22"/>
      <c r="E1608" s="22"/>
      <c r="F1608" s="22"/>
      <c r="G1608" s="130"/>
      <c r="H1608" s="22"/>
      <c r="I1608" s="22"/>
      <c r="J1608" s="22"/>
      <c r="K1608" s="22"/>
      <c r="L1608" s="22"/>
      <c r="M1608" s="22"/>
      <c r="N1608" s="22"/>
      <c r="O1608" s="22"/>
      <c r="P1608" s="22"/>
      <c r="Q1608" s="22"/>
      <c r="R1608" s="22"/>
      <c r="S1608" s="22"/>
      <c r="T1608" s="22"/>
      <c r="U1608" s="22"/>
      <c r="V1608" s="22"/>
      <c r="W1608" s="22"/>
      <c r="X1608" s="22"/>
      <c r="Y1608" s="22"/>
      <c r="Z1608" s="22"/>
      <c r="AA1608" s="22"/>
      <c r="AB1608" s="22"/>
      <c r="AC1608" s="22"/>
      <c r="AD1608" s="22"/>
      <c r="AE1608" s="22"/>
      <c r="AF1608" s="22"/>
      <c r="AG1608" s="22"/>
      <c r="AH1608" s="22"/>
      <c r="AI1608" s="22"/>
      <c r="AJ1608" s="22"/>
      <c r="AK1608" s="22"/>
      <c r="AL1608" s="22"/>
      <c r="AM1608" s="22"/>
      <c r="AN1608" s="22"/>
      <c r="AO1608" s="22"/>
    </row>
    <row r="1609" ht="15.75" customHeight="1">
      <c r="A1609" s="22"/>
      <c r="B1609" s="22"/>
      <c r="C1609" s="22"/>
      <c r="D1609" s="22"/>
      <c r="E1609" s="22"/>
      <c r="F1609" s="22"/>
      <c r="G1609" s="130"/>
      <c r="H1609" s="22"/>
      <c r="I1609" s="22"/>
      <c r="J1609" s="22"/>
      <c r="K1609" s="22"/>
      <c r="L1609" s="22"/>
      <c r="M1609" s="22"/>
      <c r="N1609" s="22"/>
      <c r="O1609" s="22"/>
      <c r="P1609" s="22"/>
      <c r="Q1609" s="22"/>
      <c r="R1609" s="22"/>
      <c r="S1609" s="22"/>
      <c r="T1609" s="22"/>
      <c r="U1609" s="22"/>
      <c r="V1609" s="22"/>
      <c r="W1609" s="22"/>
      <c r="X1609" s="22"/>
      <c r="Y1609" s="22"/>
      <c r="Z1609" s="22"/>
      <c r="AA1609" s="22"/>
      <c r="AB1609" s="22"/>
      <c r="AC1609" s="22"/>
      <c r="AD1609" s="22"/>
      <c r="AE1609" s="22"/>
      <c r="AF1609" s="22"/>
      <c r="AG1609" s="22"/>
      <c r="AH1609" s="22"/>
      <c r="AI1609" s="22"/>
      <c r="AJ1609" s="22"/>
      <c r="AK1609" s="22"/>
      <c r="AL1609" s="22"/>
      <c r="AM1609" s="22"/>
      <c r="AN1609" s="22"/>
      <c r="AO1609" s="22"/>
    </row>
    <row r="1610" ht="15.75" customHeight="1">
      <c r="A1610" s="22"/>
      <c r="B1610" s="22"/>
      <c r="C1610" s="22"/>
      <c r="D1610" s="22"/>
      <c r="E1610" s="22"/>
      <c r="F1610" s="22"/>
      <c r="G1610" s="130"/>
      <c r="H1610" s="22"/>
      <c r="I1610" s="22"/>
      <c r="J1610" s="22"/>
      <c r="K1610" s="22"/>
      <c r="L1610" s="22"/>
      <c r="M1610" s="22"/>
      <c r="N1610" s="22"/>
      <c r="O1610" s="22"/>
      <c r="P1610" s="22"/>
      <c r="Q1610" s="22"/>
      <c r="R1610" s="22"/>
      <c r="S1610" s="22"/>
      <c r="T1610" s="22"/>
      <c r="U1610" s="22"/>
      <c r="V1610" s="22"/>
      <c r="W1610" s="22"/>
      <c r="X1610" s="22"/>
      <c r="Y1610" s="22"/>
      <c r="Z1610" s="22"/>
      <c r="AA1610" s="22"/>
      <c r="AB1610" s="22"/>
      <c r="AC1610" s="22"/>
      <c r="AD1610" s="22"/>
      <c r="AE1610" s="22"/>
      <c r="AF1610" s="22"/>
      <c r="AG1610" s="22"/>
      <c r="AH1610" s="22"/>
      <c r="AI1610" s="22"/>
      <c r="AJ1610" s="22"/>
      <c r="AK1610" s="22"/>
      <c r="AL1610" s="22"/>
      <c r="AM1610" s="22"/>
      <c r="AN1610" s="22"/>
      <c r="AO1610" s="22"/>
    </row>
    <row r="1611" ht="15.75" customHeight="1">
      <c r="A1611" s="22"/>
      <c r="B1611" s="22"/>
      <c r="C1611" s="22"/>
      <c r="D1611" s="22"/>
      <c r="E1611" s="22"/>
      <c r="F1611" s="22"/>
      <c r="G1611" s="130"/>
      <c r="H1611" s="22"/>
      <c r="I1611" s="22"/>
      <c r="J1611" s="22"/>
      <c r="K1611" s="22"/>
      <c r="L1611" s="22"/>
      <c r="M1611" s="22"/>
      <c r="N1611" s="22"/>
      <c r="O1611" s="22"/>
      <c r="P1611" s="22"/>
      <c r="Q1611" s="22"/>
      <c r="R1611" s="22"/>
      <c r="S1611" s="22"/>
      <c r="T1611" s="22"/>
      <c r="U1611" s="22"/>
      <c r="V1611" s="22"/>
      <c r="W1611" s="22"/>
      <c r="X1611" s="22"/>
      <c r="Y1611" s="22"/>
      <c r="Z1611" s="22"/>
      <c r="AA1611" s="22"/>
      <c r="AB1611" s="22"/>
      <c r="AC1611" s="22"/>
      <c r="AD1611" s="22"/>
      <c r="AE1611" s="22"/>
      <c r="AF1611" s="22"/>
      <c r="AG1611" s="22"/>
      <c r="AH1611" s="22"/>
      <c r="AI1611" s="22"/>
      <c r="AJ1611" s="22"/>
      <c r="AK1611" s="22"/>
      <c r="AL1611" s="22"/>
      <c r="AM1611" s="22"/>
      <c r="AN1611" s="22"/>
      <c r="AO1611" s="22"/>
    </row>
    <row r="1612" ht="15.75" customHeight="1">
      <c r="A1612" s="22"/>
      <c r="B1612" s="22"/>
      <c r="C1612" s="22"/>
      <c r="D1612" s="22"/>
      <c r="E1612" s="22"/>
      <c r="F1612" s="22"/>
      <c r="G1612" s="130"/>
      <c r="H1612" s="22"/>
      <c r="I1612" s="22"/>
      <c r="J1612" s="22"/>
      <c r="K1612" s="22"/>
      <c r="L1612" s="22"/>
      <c r="M1612" s="22"/>
      <c r="N1612" s="22"/>
      <c r="O1612" s="22"/>
      <c r="P1612" s="22"/>
      <c r="Q1612" s="22"/>
      <c r="R1612" s="22"/>
      <c r="S1612" s="22"/>
      <c r="T1612" s="22"/>
      <c r="U1612" s="22"/>
      <c r="V1612" s="22"/>
      <c r="W1612" s="22"/>
      <c r="X1612" s="22"/>
      <c r="Y1612" s="22"/>
      <c r="Z1612" s="22"/>
      <c r="AA1612" s="22"/>
      <c r="AB1612" s="22"/>
      <c r="AC1612" s="22"/>
      <c r="AD1612" s="22"/>
      <c r="AE1612" s="22"/>
      <c r="AF1612" s="22"/>
      <c r="AG1612" s="22"/>
      <c r="AH1612" s="22"/>
      <c r="AI1612" s="22"/>
      <c r="AJ1612" s="22"/>
      <c r="AK1612" s="22"/>
      <c r="AL1612" s="22"/>
      <c r="AM1612" s="22"/>
      <c r="AN1612" s="22"/>
      <c r="AO1612" s="22"/>
    </row>
    <row r="1613" ht="15.75" customHeight="1">
      <c r="A1613" s="22"/>
      <c r="B1613" s="22"/>
      <c r="C1613" s="22"/>
      <c r="D1613" s="22"/>
      <c r="E1613" s="22"/>
      <c r="F1613" s="22"/>
      <c r="G1613" s="130"/>
      <c r="H1613" s="22"/>
      <c r="I1613" s="22"/>
      <c r="J1613" s="22"/>
      <c r="K1613" s="22"/>
      <c r="L1613" s="22"/>
      <c r="M1613" s="22"/>
      <c r="N1613" s="22"/>
      <c r="O1613" s="22"/>
      <c r="P1613" s="22"/>
      <c r="Q1613" s="22"/>
      <c r="R1613" s="22"/>
      <c r="S1613" s="22"/>
      <c r="T1613" s="22"/>
      <c r="U1613" s="22"/>
      <c r="V1613" s="22"/>
      <c r="W1613" s="22"/>
      <c r="X1613" s="22"/>
      <c r="Y1613" s="22"/>
      <c r="Z1613" s="22"/>
      <c r="AA1613" s="22"/>
      <c r="AB1613" s="22"/>
      <c r="AC1613" s="22"/>
      <c r="AD1613" s="22"/>
      <c r="AE1613" s="22"/>
      <c r="AF1613" s="22"/>
      <c r="AG1613" s="22"/>
      <c r="AH1613" s="22"/>
      <c r="AI1613" s="22"/>
      <c r="AJ1613" s="22"/>
      <c r="AK1613" s="22"/>
      <c r="AL1613" s="22"/>
      <c r="AM1613" s="22"/>
      <c r="AN1613" s="22"/>
      <c r="AO1613" s="22"/>
    </row>
    <row r="1614" ht="15.75" customHeight="1">
      <c r="A1614" s="22"/>
      <c r="B1614" s="22"/>
      <c r="C1614" s="22"/>
      <c r="D1614" s="22"/>
      <c r="E1614" s="22"/>
      <c r="F1614" s="22"/>
      <c r="G1614" s="130"/>
      <c r="H1614" s="22"/>
      <c r="I1614" s="22"/>
      <c r="J1614" s="22"/>
      <c r="K1614" s="22"/>
      <c r="L1614" s="22"/>
      <c r="M1614" s="22"/>
      <c r="N1614" s="22"/>
      <c r="O1614" s="22"/>
      <c r="P1614" s="22"/>
      <c r="Q1614" s="22"/>
      <c r="R1614" s="22"/>
      <c r="S1614" s="22"/>
      <c r="T1614" s="22"/>
      <c r="U1614" s="22"/>
      <c r="V1614" s="22"/>
      <c r="W1614" s="22"/>
      <c r="X1614" s="22"/>
      <c r="Y1614" s="22"/>
      <c r="Z1614" s="22"/>
      <c r="AA1614" s="22"/>
      <c r="AB1614" s="22"/>
      <c r="AC1614" s="22"/>
      <c r="AD1614" s="22"/>
      <c r="AE1614" s="22"/>
      <c r="AF1614" s="22"/>
      <c r="AG1614" s="22"/>
      <c r="AH1614" s="22"/>
      <c r="AI1614" s="22"/>
      <c r="AJ1614" s="22"/>
      <c r="AK1614" s="22"/>
      <c r="AL1614" s="22"/>
      <c r="AM1614" s="22"/>
      <c r="AN1614" s="22"/>
      <c r="AO1614" s="22"/>
    </row>
    <row r="1615" ht="15.75" customHeight="1">
      <c r="A1615" s="22"/>
      <c r="B1615" s="22"/>
      <c r="C1615" s="22"/>
      <c r="D1615" s="22"/>
      <c r="E1615" s="22"/>
      <c r="F1615" s="22"/>
      <c r="G1615" s="130"/>
      <c r="H1615" s="22"/>
      <c r="I1615" s="22"/>
      <c r="J1615" s="22"/>
      <c r="K1615" s="22"/>
      <c r="L1615" s="22"/>
      <c r="M1615" s="22"/>
      <c r="N1615" s="22"/>
      <c r="O1615" s="22"/>
      <c r="P1615" s="22"/>
      <c r="Q1615" s="22"/>
      <c r="R1615" s="22"/>
      <c r="S1615" s="22"/>
      <c r="T1615" s="22"/>
      <c r="U1615" s="22"/>
      <c r="V1615" s="22"/>
      <c r="W1615" s="22"/>
      <c r="X1615" s="22"/>
      <c r="Y1615" s="22"/>
      <c r="Z1615" s="22"/>
      <c r="AA1615" s="22"/>
      <c r="AB1615" s="22"/>
      <c r="AC1615" s="22"/>
      <c r="AD1615" s="22"/>
      <c r="AE1615" s="22"/>
      <c r="AF1615" s="22"/>
      <c r="AG1615" s="22"/>
      <c r="AH1615" s="22"/>
      <c r="AI1615" s="22"/>
      <c r="AJ1615" s="22"/>
      <c r="AK1615" s="22"/>
      <c r="AL1615" s="22"/>
      <c r="AM1615" s="22"/>
      <c r="AN1615" s="22"/>
      <c r="AO1615" s="22"/>
    </row>
    <row r="1616" ht="15.75" customHeight="1">
      <c r="A1616" s="22"/>
      <c r="B1616" s="22"/>
      <c r="C1616" s="22"/>
      <c r="D1616" s="22"/>
      <c r="E1616" s="22"/>
      <c r="F1616" s="22"/>
      <c r="G1616" s="130"/>
      <c r="H1616" s="22"/>
      <c r="I1616" s="22"/>
      <c r="J1616" s="22"/>
      <c r="K1616" s="22"/>
      <c r="L1616" s="22"/>
      <c r="M1616" s="22"/>
      <c r="N1616" s="22"/>
      <c r="O1616" s="22"/>
      <c r="P1616" s="22"/>
      <c r="Q1616" s="22"/>
      <c r="R1616" s="22"/>
      <c r="S1616" s="22"/>
      <c r="T1616" s="22"/>
      <c r="U1616" s="22"/>
      <c r="V1616" s="22"/>
      <c r="W1616" s="22"/>
      <c r="X1616" s="22"/>
      <c r="Y1616" s="22"/>
      <c r="Z1616" s="22"/>
      <c r="AA1616" s="22"/>
      <c r="AB1616" s="22"/>
      <c r="AC1616" s="22"/>
      <c r="AD1616" s="22"/>
      <c r="AE1616" s="22"/>
      <c r="AF1616" s="22"/>
      <c r="AG1616" s="22"/>
      <c r="AH1616" s="22"/>
      <c r="AI1616" s="22"/>
      <c r="AJ1616" s="22"/>
      <c r="AK1616" s="22"/>
      <c r="AL1616" s="22"/>
      <c r="AM1616" s="22"/>
      <c r="AN1616" s="22"/>
      <c r="AO1616" s="22"/>
    </row>
    <row r="1617" ht="15.75" customHeight="1">
      <c r="A1617" s="22"/>
      <c r="B1617" s="22"/>
      <c r="C1617" s="22"/>
      <c r="D1617" s="22"/>
      <c r="E1617" s="22"/>
      <c r="F1617" s="22"/>
      <c r="G1617" s="130"/>
      <c r="H1617" s="22"/>
      <c r="I1617" s="22"/>
      <c r="J1617" s="22"/>
      <c r="K1617" s="22"/>
      <c r="L1617" s="22"/>
      <c r="M1617" s="22"/>
      <c r="N1617" s="22"/>
      <c r="O1617" s="22"/>
      <c r="P1617" s="22"/>
      <c r="Q1617" s="22"/>
      <c r="R1617" s="22"/>
      <c r="S1617" s="22"/>
      <c r="T1617" s="22"/>
      <c r="U1617" s="22"/>
      <c r="V1617" s="22"/>
      <c r="W1617" s="22"/>
      <c r="X1617" s="22"/>
      <c r="Y1617" s="22"/>
      <c r="Z1617" s="22"/>
      <c r="AA1617" s="22"/>
      <c r="AB1617" s="22"/>
      <c r="AC1617" s="22"/>
      <c r="AD1617" s="22"/>
      <c r="AE1617" s="22"/>
      <c r="AF1617" s="22"/>
      <c r="AG1617" s="22"/>
      <c r="AH1617" s="22"/>
      <c r="AI1617" s="22"/>
      <c r="AJ1617" s="22"/>
      <c r="AK1617" s="22"/>
      <c r="AL1617" s="22"/>
      <c r="AM1617" s="22"/>
      <c r="AN1617" s="22"/>
      <c r="AO1617" s="22"/>
    </row>
    <row r="1618" ht="15.75" customHeight="1">
      <c r="A1618" s="22"/>
      <c r="B1618" s="22"/>
      <c r="C1618" s="22"/>
      <c r="D1618" s="22"/>
      <c r="E1618" s="22"/>
      <c r="F1618" s="22"/>
      <c r="G1618" s="130"/>
      <c r="H1618" s="22"/>
      <c r="I1618" s="22"/>
      <c r="J1618" s="22"/>
      <c r="K1618" s="22"/>
      <c r="L1618" s="22"/>
      <c r="M1618" s="22"/>
      <c r="N1618" s="22"/>
      <c r="O1618" s="22"/>
      <c r="P1618" s="22"/>
      <c r="Q1618" s="22"/>
      <c r="R1618" s="22"/>
      <c r="S1618" s="22"/>
      <c r="T1618" s="22"/>
      <c r="U1618" s="22"/>
      <c r="V1618" s="22"/>
      <c r="W1618" s="22"/>
      <c r="X1618" s="22"/>
      <c r="Y1618" s="22"/>
      <c r="Z1618" s="22"/>
      <c r="AA1618" s="22"/>
      <c r="AB1618" s="22"/>
      <c r="AC1618" s="22"/>
      <c r="AD1618" s="22"/>
      <c r="AE1618" s="22"/>
      <c r="AF1618" s="22"/>
      <c r="AG1618" s="22"/>
      <c r="AH1618" s="22"/>
      <c r="AI1618" s="22"/>
      <c r="AJ1618" s="22"/>
      <c r="AK1618" s="22"/>
      <c r="AL1618" s="22"/>
      <c r="AM1618" s="22"/>
      <c r="AN1618" s="22"/>
      <c r="AO1618" s="22"/>
    </row>
    <row r="1619" ht="15.75" customHeight="1">
      <c r="A1619" s="22"/>
      <c r="B1619" s="22"/>
      <c r="C1619" s="22"/>
      <c r="D1619" s="22"/>
      <c r="E1619" s="22"/>
      <c r="F1619" s="22"/>
      <c r="G1619" s="130"/>
      <c r="H1619" s="22"/>
      <c r="I1619" s="22"/>
      <c r="J1619" s="22"/>
      <c r="K1619" s="22"/>
      <c r="L1619" s="22"/>
      <c r="M1619" s="22"/>
      <c r="N1619" s="22"/>
      <c r="O1619" s="22"/>
      <c r="P1619" s="22"/>
      <c r="Q1619" s="22"/>
      <c r="R1619" s="22"/>
      <c r="S1619" s="22"/>
      <c r="T1619" s="22"/>
      <c r="U1619" s="22"/>
      <c r="V1619" s="22"/>
      <c r="W1619" s="22"/>
      <c r="X1619" s="22"/>
      <c r="Y1619" s="22"/>
      <c r="Z1619" s="22"/>
      <c r="AA1619" s="22"/>
      <c r="AB1619" s="22"/>
      <c r="AC1619" s="22"/>
      <c r="AD1619" s="22"/>
      <c r="AE1619" s="22"/>
      <c r="AF1619" s="22"/>
      <c r="AG1619" s="22"/>
      <c r="AH1619" s="22"/>
      <c r="AI1619" s="22"/>
      <c r="AJ1619" s="22"/>
      <c r="AK1619" s="22"/>
      <c r="AL1619" s="22"/>
      <c r="AM1619" s="22"/>
      <c r="AN1619" s="22"/>
      <c r="AO1619" s="22"/>
    </row>
  </sheetData>
  <customSheetViews>
    <customSheetView guid="{A5F5BAF9-2DFE-4C7A-8D06-58036917C61A}" filter="1" showAutoFilter="1">
      <autoFilter ref="$G$6:$G$1619"/>
      <extLst>
        <ext uri="GoogleSheetsCustomDataVersion1">
          <go:sheetsCustomData xmlns:go="http://customooxmlschemas.google.com/" filterViewId="615718097"/>
        </ext>
      </extLst>
    </customSheetView>
  </customSheetViews>
  <conditionalFormatting sqref="G1:G144 G146:G554 G556:G632 G634:G1619">
    <cfRule type="notContainsBlanks" dxfId="0" priority="1">
      <formula>LEN(TRIM(G1))&gt;0</formula>
    </cfRule>
  </conditionalFormatting>
  <hyperlinks>
    <hyperlink r:id="rId1" ref="F7"/>
    <hyperlink r:id="rId2" ref="F9"/>
    <hyperlink r:id="rId3" ref="F10"/>
    <hyperlink r:id="rId4" ref="F12"/>
    <hyperlink r:id="rId5" ref="F17"/>
    <hyperlink r:id="rId6" ref="F18"/>
    <hyperlink r:id="rId7" ref="F19"/>
    <hyperlink r:id="rId8" ref="F20"/>
    <hyperlink r:id="rId9" ref="F22"/>
    <hyperlink r:id="rId10" ref="F24"/>
    <hyperlink r:id="rId11" ref="F25"/>
    <hyperlink r:id="rId12" ref="F29"/>
    <hyperlink r:id="rId13" ref="F31"/>
    <hyperlink r:id="rId14" ref="F32"/>
    <hyperlink r:id="rId15" ref="F40"/>
    <hyperlink r:id="rId16" ref="F45"/>
    <hyperlink r:id="rId17" ref="F46"/>
    <hyperlink r:id="rId18" ref="F47"/>
    <hyperlink r:id="rId19" ref="F48"/>
    <hyperlink r:id="rId20" ref="F49"/>
    <hyperlink r:id="rId21" ref="F50"/>
    <hyperlink r:id="rId22" ref="F52"/>
    <hyperlink r:id="rId23" ref="F53"/>
    <hyperlink r:id="rId24" ref="F54"/>
    <hyperlink r:id="rId25" ref="F57"/>
    <hyperlink r:id="rId26" ref="F59"/>
    <hyperlink r:id="rId27" ref="F60"/>
    <hyperlink r:id="rId28" ref="F61"/>
    <hyperlink r:id="rId29" ref="F62"/>
    <hyperlink r:id="rId30" ref="F64"/>
    <hyperlink r:id="rId31" ref="F65"/>
    <hyperlink r:id="rId32" ref="F69"/>
    <hyperlink r:id="rId33" ref="F70"/>
    <hyperlink r:id="rId34" ref="F75"/>
    <hyperlink r:id="rId35" ref="F77"/>
    <hyperlink r:id="rId36" ref="F79"/>
    <hyperlink r:id="rId37" ref="F81"/>
    <hyperlink r:id="rId38" ref="F82"/>
    <hyperlink r:id="rId39" ref="F83"/>
    <hyperlink r:id="rId40" ref="F85"/>
    <hyperlink r:id="rId41" ref="F87"/>
    <hyperlink r:id="rId42" ref="F88"/>
    <hyperlink r:id="rId43" ref="F89"/>
    <hyperlink r:id="rId44" ref="F95"/>
    <hyperlink r:id="rId45" ref="F96"/>
    <hyperlink r:id="rId46" ref="F97"/>
    <hyperlink r:id="rId47" ref="F103"/>
    <hyperlink r:id="rId48" ref="F104"/>
    <hyperlink r:id="rId49" ref="F108"/>
    <hyperlink r:id="rId50" ref="F109"/>
    <hyperlink r:id="rId51" ref="F110"/>
    <hyperlink r:id="rId52" ref="F112"/>
    <hyperlink r:id="rId53" ref="F114"/>
    <hyperlink r:id="rId54" ref="F115"/>
    <hyperlink r:id="rId55" ref="F117"/>
    <hyperlink r:id="rId56" ref="F118"/>
    <hyperlink r:id="rId57" ref="F119"/>
    <hyperlink r:id="rId58" ref="F120"/>
    <hyperlink r:id="rId59" ref="F122"/>
    <hyperlink r:id="rId60" ref="F124"/>
    <hyperlink r:id="rId61" ref="F126"/>
    <hyperlink r:id="rId62" ref="F129"/>
    <hyperlink r:id="rId63" ref="F130"/>
    <hyperlink r:id="rId64" ref="F131"/>
    <hyperlink r:id="rId65" ref="F133"/>
    <hyperlink r:id="rId66" ref="G133"/>
    <hyperlink r:id="rId67" ref="F134"/>
    <hyperlink r:id="rId68" ref="F135"/>
    <hyperlink r:id="rId69" ref="F138"/>
    <hyperlink r:id="rId70" ref="F144"/>
    <hyperlink r:id="rId71" ref="F145"/>
    <hyperlink r:id="rId72" ref="F147"/>
    <hyperlink r:id="rId73" ref="F148"/>
    <hyperlink r:id="rId74" ref="F149"/>
    <hyperlink r:id="rId75" ref="F150"/>
    <hyperlink r:id="rId76" ref="F151"/>
    <hyperlink r:id="rId77" ref="G151"/>
    <hyperlink r:id="rId78" ref="F152"/>
    <hyperlink r:id="rId79" ref="F153"/>
    <hyperlink r:id="rId80" ref="F155"/>
    <hyperlink r:id="rId81" ref="F156"/>
    <hyperlink r:id="rId82" ref="G156"/>
    <hyperlink r:id="rId83" ref="F157"/>
    <hyperlink r:id="rId84" ref="F158"/>
    <hyperlink r:id="rId85" ref="G158"/>
    <hyperlink r:id="rId86" ref="F159"/>
    <hyperlink r:id="rId87" ref="G159"/>
    <hyperlink r:id="rId88" ref="F160"/>
    <hyperlink r:id="rId89" ref="F161"/>
    <hyperlink r:id="rId90" ref="F163"/>
    <hyperlink r:id="rId91" ref="F164"/>
    <hyperlink r:id="rId92" ref="F165"/>
    <hyperlink r:id="rId93" ref="G165"/>
    <hyperlink r:id="rId94" ref="F166"/>
    <hyperlink r:id="rId95" ref="F167"/>
    <hyperlink r:id="rId96" ref="F168"/>
    <hyperlink r:id="rId97" ref="G168"/>
    <hyperlink r:id="rId98" ref="F169"/>
    <hyperlink r:id="rId99" ref="G169"/>
    <hyperlink r:id="rId100" ref="F170"/>
    <hyperlink r:id="rId101" ref="F171"/>
    <hyperlink r:id="rId102" ref="G171"/>
    <hyperlink r:id="rId103" ref="F172"/>
    <hyperlink r:id="rId104" ref="F173"/>
    <hyperlink r:id="rId105" ref="F174"/>
    <hyperlink r:id="rId106" ref="F175"/>
    <hyperlink r:id="rId107" ref="F179"/>
    <hyperlink r:id="rId108" ref="F180"/>
    <hyperlink r:id="rId109" ref="G180"/>
    <hyperlink r:id="rId110" ref="F181"/>
    <hyperlink r:id="rId111" ref="F182"/>
    <hyperlink r:id="rId112" ref="F183"/>
    <hyperlink r:id="rId113" ref="F184"/>
    <hyperlink r:id="rId114" ref="F185"/>
    <hyperlink r:id="rId115" ref="F186"/>
    <hyperlink r:id="rId116" ref="F187"/>
    <hyperlink r:id="rId117" ref="F188"/>
    <hyperlink r:id="rId118" ref="F189"/>
    <hyperlink r:id="rId119" ref="F191"/>
    <hyperlink r:id="rId120" ref="F192"/>
    <hyperlink r:id="rId121" ref="F195"/>
    <hyperlink r:id="rId122" ref="F196"/>
    <hyperlink r:id="rId123" ref="F198"/>
    <hyperlink r:id="rId124" ref="F199"/>
    <hyperlink r:id="rId125" ref="F200"/>
    <hyperlink r:id="rId126" ref="F201"/>
    <hyperlink r:id="rId127" ref="F202"/>
    <hyperlink r:id="rId128" ref="F203"/>
    <hyperlink r:id="rId129" ref="F204"/>
    <hyperlink r:id="rId130" ref="F205"/>
    <hyperlink r:id="rId131" ref="F207"/>
    <hyperlink r:id="rId132" ref="F208"/>
    <hyperlink r:id="rId133" ref="F209"/>
    <hyperlink r:id="rId134" ref="F210"/>
    <hyperlink r:id="rId135" ref="F211"/>
    <hyperlink r:id="rId136" ref="F213"/>
    <hyperlink r:id="rId137" ref="F214"/>
    <hyperlink r:id="rId138" ref="F215"/>
    <hyperlink r:id="rId139" ref="F217"/>
    <hyperlink r:id="rId140" ref="F218"/>
    <hyperlink r:id="rId141" ref="F222"/>
    <hyperlink r:id="rId142" ref="F223"/>
    <hyperlink r:id="rId143" ref="F225"/>
    <hyperlink r:id="rId144" ref="F226"/>
    <hyperlink r:id="rId145" ref="G226"/>
    <hyperlink r:id="rId146" ref="F227"/>
    <hyperlink r:id="rId147" ref="G227"/>
    <hyperlink r:id="rId148" ref="F228"/>
    <hyperlink r:id="rId149" ref="F229"/>
    <hyperlink r:id="rId150" ref="F230"/>
    <hyperlink r:id="rId151" ref="F231"/>
    <hyperlink r:id="rId152" ref="F232"/>
    <hyperlink r:id="rId153" ref="F234"/>
    <hyperlink r:id="rId154" ref="F235"/>
    <hyperlink r:id="rId155" ref="F236"/>
    <hyperlink r:id="rId156" ref="F237"/>
    <hyperlink r:id="rId157" ref="F238"/>
    <hyperlink r:id="rId158" ref="F239"/>
    <hyperlink r:id="rId159" ref="F241"/>
    <hyperlink r:id="rId160" ref="F242"/>
    <hyperlink r:id="rId161" ref="F246"/>
    <hyperlink r:id="rId162" ref="F248"/>
    <hyperlink r:id="rId163" ref="F250"/>
    <hyperlink r:id="rId164" ref="G250"/>
    <hyperlink r:id="rId165" ref="F251"/>
    <hyperlink r:id="rId166" ref="F252"/>
    <hyperlink r:id="rId167" ref="F253"/>
    <hyperlink r:id="rId168" ref="F256"/>
    <hyperlink r:id="rId169" ref="F257"/>
    <hyperlink r:id="rId170" ref="F263"/>
    <hyperlink r:id="rId171" ref="G263"/>
    <hyperlink r:id="rId172" ref="F264"/>
    <hyperlink r:id="rId173" ref="F265"/>
    <hyperlink r:id="rId174" ref="F266"/>
    <hyperlink r:id="rId175" ref="F268"/>
    <hyperlink r:id="rId176" ref="F269"/>
    <hyperlink r:id="rId177" ref="F271"/>
    <hyperlink r:id="rId178" ref="F273"/>
    <hyperlink r:id="rId179" ref="G273"/>
    <hyperlink r:id="rId180" ref="F274"/>
    <hyperlink r:id="rId181" ref="F275"/>
    <hyperlink r:id="rId182" ref="F276"/>
    <hyperlink r:id="rId183" ref="F277"/>
    <hyperlink r:id="rId184" ref="F278"/>
    <hyperlink r:id="rId185" ref="F280"/>
    <hyperlink r:id="rId186" ref="F282"/>
    <hyperlink r:id="rId187" ref="F283"/>
    <hyperlink r:id="rId188" ref="F285"/>
    <hyperlink r:id="rId189" ref="F287"/>
    <hyperlink r:id="rId190" ref="F288"/>
    <hyperlink r:id="rId191" ref="F289"/>
    <hyperlink r:id="rId192" ref="F292"/>
    <hyperlink r:id="rId193" ref="F293"/>
    <hyperlink r:id="rId194" ref="F294"/>
    <hyperlink r:id="rId195" ref="F297"/>
    <hyperlink r:id="rId196" ref="F298"/>
    <hyperlink r:id="rId197" ref="F299"/>
    <hyperlink r:id="rId198" ref="F300"/>
    <hyperlink r:id="rId199" ref="G300"/>
    <hyperlink r:id="rId200" ref="F301"/>
    <hyperlink r:id="rId201" ref="F302"/>
    <hyperlink r:id="rId202" ref="F303"/>
    <hyperlink r:id="rId203" ref="F305"/>
    <hyperlink r:id="rId204" ref="G305"/>
    <hyperlink r:id="rId205" ref="F309"/>
    <hyperlink r:id="rId206" ref="F310"/>
    <hyperlink r:id="rId207" ref="F314"/>
    <hyperlink r:id="rId208" ref="F316"/>
    <hyperlink r:id="rId209" ref="G316"/>
    <hyperlink r:id="rId210" ref="F320"/>
    <hyperlink r:id="rId211" ref="F322"/>
    <hyperlink r:id="rId212" ref="F323"/>
    <hyperlink r:id="rId213" ref="F324"/>
    <hyperlink r:id="rId214" ref="F325"/>
    <hyperlink r:id="rId215" ref="F328"/>
    <hyperlink r:id="rId216" ref="F329"/>
    <hyperlink r:id="rId217" ref="F330"/>
    <hyperlink r:id="rId218" ref="F335"/>
    <hyperlink r:id="rId219" ref="F337"/>
    <hyperlink r:id="rId220" ref="F338"/>
    <hyperlink r:id="rId221" ref="F339"/>
    <hyperlink r:id="rId222" ref="G339"/>
    <hyperlink r:id="rId223" ref="F342"/>
    <hyperlink r:id="rId224" ref="G342"/>
    <hyperlink r:id="rId225" ref="F343"/>
    <hyperlink r:id="rId226" ref="F345"/>
    <hyperlink r:id="rId227" ref="G345"/>
    <hyperlink r:id="rId228" ref="F346"/>
    <hyperlink r:id="rId229" ref="F349"/>
    <hyperlink r:id="rId230" ref="G349"/>
    <hyperlink r:id="rId231" ref="F350"/>
    <hyperlink r:id="rId232" ref="F351"/>
    <hyperlink r:id="rId233" ref="F352"/>
    <hyperlink r:id="rId234" ref="F353"/>
    <hyperlink r:id="rId235" ref="F354"/>
    <hyperlink r:id="rId236" ref="F355"/>
    <hyperlink r:id="rId237" ref="F357"/>
    <hyperlink r:id="rId238" ref="F359"/>
    <hyperlink r:id="rId239" ref="F360"/>
    <hyperlink r:id="rId240" ref="F361"/>
    <hyperlink r:id="rId241" ref="F362"/>
    <hyperlink r:id="rId242" ref="F363"/>
    <hyperlink r:id="rId243" ref="F364"/>
    <hyperlink r:id="rId244" ref="F365"/>
    <hyperlink r:id="rId245" ref="G365"/>
    <hyperlink r:id="rId246" ref="F366"/>
    <hyperlink r:id="rId247" ref="F368"/>
    <hyperlink r:id="rId248" ref="F369"/>
    <hyperlink r:id="rId249" ref="F370"/>
    <hyperlink r:id="rId250" ref="F371"/>
    <hyperlink r:id="rId251" ref="F372"/>
    <hyperlink r:id="rId252" ref="F374"/>
    <hyperlink r:id="rId253" ref="G374"/>
    <hyperlink r:id="rId254" ref="F375"/>
    <hyperlink r:id="rId255" ref="F378"/>
    <hyperlink r:id="rId256" ref="G378"/>
    <hyperlink r:id="rId257" ref="F379"/>
    <hyperlink r:id="rId258" ref="F381"/>
    <hyperlink r:id="rId259" ref="F382"/>
    <hyperlink r:id="rId260" ref="F383"/>
    <hyperlink r:id="rId261" ref="F384"/>
    <hyperlink r:id="rId262" ref="F387"/>
    <hyperlink r:id="rId263" ref="F389"/>
    <hyperlink r:id="rId264" ref="F390"/>
    <hyperlink r:id="rId265" ref="G390"/>
    <hyperlink r:id="rId266" ref="F393"/>
    <hyperlink r:id="rId267" ref="F395"/>
    <hyperlink r:id="rId268" ref="F396"/>
    <hyperlink r:id="rId269" ref="G396"/>
    <hyperlink r:id="rId270" ref="F397"/>
    <hyperlink r:id="rId271" ref="F398"/>
    <hyperlink r:id="rId272" ref="G398"/>
    <hyperlink r:id="rId273" ref="F400"/>
    <hyperlink r:id="rId274" ref="F401"/>
    <hyperlink r:id="rId275" ref="F402"/>
    <hyperlink r:id="rId276" ref="F403"/>
    <hyperlink r:id="rId277" ref="F404"/>
    <hyperlink r:id="rId278" ref="F405"/>
    <hyperlink r:id="rId279" ref="G405"/>
    <hyperlink r:id="rId280" ref="F406"/>
    <hyperlink r:id="rId281" ref="F407"/>
    <hyperlink r:id="rId282" ref="F408"/>
    <hyperlink r:id="rId283" ref="F409"/>
    <hyperlink r:id="rId284" ref="F410"/>
    <hyperlink r:id="rId285" ref="F412"/>
    <hyperlink r:id="rId286" ref="F413"/>
    <hyperlink r:id="rId287" ref="F414"/>
    <hyperlink r:id="rId288" ref="F416"/>
    <hyperlink r:id="rId289" ref="F417"/>
    <hyperlink r:id="rId290" ref="F418"/>
    <hyperlink r:id="rId291" ref="F419"/>
    <hyperlink r:id="rId292" ref="F420"/>
    <hyperlink r:id="rId293" ref="F421"/>
    <hyperlink r:id="rId294" ref="F422"/>
    <hyperlink r:id="rId295" ref="F423"/>
    <hyperlink r:id="rId296" ref="F424"/>
    <hyperlink r:id="rId297" ref="F427"/>
    <hyperlink r:id="rId298" ref="F428"/>
    <hyperlink r:id="rId299" ref="F429"/>
    <hyperlink r:id="rId300" ref="F431"/>
    <hyperlink r:id="rId301" ref="F432"/>
    <hyperlink r:id="rId302" ref="F433"/>
    <hyperlink r:id="rId303" ref="F434"/>
    <hyperlink r:id="rId304" ref="F435"/>
    <hyperlink r:id="rId305" ref="F437"/>
    <hyperlink r:id="rId306" ref="F438"/>
    <hyperlink r:id="rId307" ref="F439"/>
    <hyperlink r:id="rId308" ref="F440"/>
    <hyperlink r:id="rId309" ref="F441"/>
    <hyperlink r:id="rId310" ref="F442"/>
    <hyperlink r:id="rId311" ref="F443"/>
    <hyperlink r:id="rId312" ref="F444"/>
    <hyperlink r:id="rId313" ref="F445"/>
    <hyperlink r:id="rId314" ref="F446"/>
    <hyperlink r:id="rId315" ref="F448"/>
    <hyperlink r:id="rId316" ref="F450"/>
    <hyperlink r:id="rId317" ref="F451"/>
    <hyperlink r:id="rId318" ref="F452"/>
    <hyperlink r:id="rId319" ref="F453"/>
    <hyperlink r:id="rId320" ref="F454"/>
    <hyperlink r:id="rId321" ref="F455"/>
    <hyperlink r:id="rId322" ref="F456"/>
    <hyperlink r:id="rId323" ref="F457"/>
    <hyperlink r:id="rId324" ref="F458"/>
    <hyperlink r:id="rId325" ref="F459"/>
    <hyperlink r:id="rId326" ref="F460"/>
    <hyperlink r:id="rId327" ref="F461"/>
    <hyperlink r:id="rId328" ref="F462"/>
    <hyperlink r:id="rId329" ref="F463"/>
    <hyperlink r:id="rId330" ref="F464"/>
    <hyperlink r:id="rId331" ref="F465"/>
    <hyperlink r:id="rId332" ref="F467"/>
    <hyperlink r:id="rId333" ref="F470"/>
    <hyperlink r:id="rId334" ref="G470"/>
    <hyperlink r:id="rId335" ref="F471"/>
    <hyperlink r:id="rId336" ref="G471"/>
    <hyperlink r:id="rId337" ref="F472"/>
    <hyperlink r:id="rId338" ref="F474"/>
    <hyperlink r:id="rId339" ref="F475"/>
    <hyperlink r:id="rId340" ref="F476"/>
    <hyperlink r:id="rId341" ref="G476"/>
    <hyperlink r:id="rId342" ref="F478"/>
    <hyperlink r:id="rId343" ref="F479"/>
    <hyperlink r:id="rId344" ref="F480"/>
    <hyperlink r:id="rId345" ref="F482"/>
    <hyperlink r:id="rId346" ref="F483"/>
    <hyperlink r:id="rId347" ref="F485"/>
    <hyperlink r:id="rId348" ref="G485"/>
    <hyperlink r:id="rId349" ref="F486"/>
    <hyperlink r:id="rId350" ref="F488"/>
    <hyperlink r:id="rId351" ref="F489"/>
    <hyperlink r:id="rId352" ref="F491"/>
    <hyperlink r:id="rId353" ref="F492"/>
    <hyperlink r:id="rId354" ref="G492"/>
    <hyperlink r:id="rId355" ref="F494"/>
    <hyperlink r:id="rId356" ref="F495"/>
    <hyperlink r:id="rId357" ref="F496"/>
    <hyperlink r:id="rId358" ref="F497"/>
    <hyperlink r:id="rId359" ref="F498"/>
    <hyperlink r:id="rId360" ref="F500"/>
    <hyperlink r:id="rId361" ref="F502"/>
    <hyperlink r:id="rId362" ref="F503"/>
    <hyperlink r:id="rId363" ref="F504"/>
    <hyperlink r:id="rId364" ref="G504"/>
    <hyperlink r:id="rId365" ref="F505"/>
    <hyperlink r:id="rId366" ref="F506"/>
    <hyperlink r:id="rId367" ref="F507"/>
    <hyperlink r:id="rId368" ref="G507"/>
    <hyperlink r:id="rId369" ref="F509"/>
    <hyperlink r:id="rId370" ref="G509"/>
    <hyperlink r:id="rId371" ref="F510"/>
    <hyperlink r:id="rId372" ref="G510"/>
    <hyperlink r:id="rId373" ref="F512"/>
    <hyperlink r:id="rId374" ref="F514"/>
    <hyperlink r:id="rId375" ref="F517"/>
    <hyperlink r:id="rId376" ref="F518"/>
    <hyperlink r:id="rId377" ref="F520"/>
    <hyperlink r:id="rId378" ref="F521"/>
    <hyperlink r:id="rId379" ref="F522"/>
    <hyperlink r:id="rId380" ref="F523"/>
    <hyperlink r:id="rId381" ref="F524"/>
    <hyperlink r:id="rId382" ref="F525"/>
    <hyperlink r:id="rId383" ref="F527"/>
    <hyperlink r:id="rId384" ref="F528"/>
    <hyperlink r:id="rId385" ref="F529"/>
    <hyperlink r:id="rId386" ref="F531"/>
    <hyperlink r:id="rId387" ref="F532"/>
    <hyperlink r:id="rId388" ref="G532"/>
    <hyperlink r:id="rId389" ref="F534"/>
    <hyperlink r:id="rId390" ref="F536"/>
    <hyperlink r:id="rId391" ref="F537"/>
    <hyperlink r:id="rId392" ref="G537"/>
    <hyperlink r:id="rId393" ref="F540"/>
    <hyperlink r:id="rId394" ref="F541"/>
    <hyperlink r:id="rId395" ref="F542"/>
    <hyperlink r:id="rId396" ref="F543"/>
    <hyperlink r:id="rId397" ref="F545"/>
    <hyperlink r:id="rId398" ref="F549"/>
    <hyperlink r:id="rId399" ref="F550"/>
    <hyperlink r:id="rId400" ref="F551"/>
    <hyperlink r:id="rId401" ref="F552"/>
    <hyperlink r:id="rId402" ref="G553"/>
    <hyperlink r:id="rId403" ref="F556"/>
    <hyperlink r:id="rId404" ref="F558"/>
    <hyperlink r:id="rId405" ref="F560"/>
    <hyperlink r:id="rId406" ref="F562"/>
    <hyperlink r:id="rId407" ref="F563"/>
    <hyperlink r:id="rId408" ref="F564"/>
    <hyperlink r:id="rId409" ref="F566"/>
    <hyperlink r:id="rId410" ref="F567"/>
    <hyperlink r:id="rId411" ref="F568"/>
    <hyperlink r:id="rId412" ref="F569"/>
    <hyperlink r:id="rId413" ref="F571"/>
    <hyperlink r:id="rId414" ref="F572"/>
    <hyperlink r:id="rId415" ref="G572"/>
    <hyperlink r:id="rId416" ref="F573"/>
    <hyperlink r:id="rId417" ref="F574"/>
    <hyperlink r:id="rId418" ref="F575"/>
    <hyperlink r:id="rId419" ref="F576"/>
    <hyperlink r:id="rId420" ref="F577"/>
    <hyperlink r:id="rId421" ref="F578"/>
    <hyperlink r:id="rId422" ref="F579"/>
    <hyperlink r:id="rId423" ref="G579"/>
    <hyperlink r:id="rId424" ref="F581"/>
    <hyperlink r:id="rId425" ref="F582"/>
    <hyperlink r:id="rId426" ref="F583"/>
    <hyperlink r:id="rId427" ref="F584"/>
    <hyperlink r:id="rId428" ref="F585"/>
    <hyperlink r:id="rId429" ref="G586"/>
    <hyperlink r:id="rId430" ref="G587"/>
    <hyperlink r:id="rId431" ref="F588"/>
    <hyperlink r:id="rId432" ref="F589"/>
    <hyperlink r:id="rId433" ref="F590"/>
    <hyperlink r:id="rId434" ref="F591"/>
    <hyperlink r:id="rId435" ref="F592"/>
    <hyperlink r:id="rId436" ref="F593"/>
    <hyperlink r:id="rId437" ref="F595"/>
    <hyperlink r:id="rId438" ref="F596"/>
    <hyperlink r:id="rId439" ref="F597"/>
    <hyperlink r:id="rId440" ref="F598"/>
    <hyperlink r:id="rId441" ref="F599"/>
    <hyperlink r:id="rId442" ref="F601"/>
    <hyperlink r:id="rId443" ref="F602"/>
    <hyperlink r:id="rId444" ref="F603"/>
    <hyperlink r:id="rId445" ref="F604"/>
    <hyperlink r:id="rId446" ref="F605"/>
    <hyperlink r:id="rId447" ref="F606"/>
    <hyperlink r:id="rId448" ref="F607"/>
    <hyperlink r:id="rId449" ref="F608"/>
    <hyperlink r:id="rId450" ref="G613"/>
  </hyperlinks>
  <printOptions/>
  <pageMargins bottom="0.75" footer="0.0" header="0.0" left="0.7" right="0.7" top="0.75"/>
  <pageSetup orientation="landscape"/>
  <drawing r:id="rId45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 t="s">
        <v>1</v>
      </c>
      <c r="B1" s="6">
        <v>7.0</v>
      </c>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row>
    <row r="2">
      <c r="A2" s="1" t="s">
        <v>4</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row>
    <row r="3">
      <c r="A3" s="1" t="s">
        <v>5</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row>
    <row r="4">
      <c r="A4" s="12" t="s">
        <v>6</v>
      </c>
      <c r="B4" s="13">
        <v>14.0</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row>
    <row r="5">
      <c r="A5" s="14" t="s">
        <v>7</v>
      </c>
      <c r="B5" s="17" t="s">
        <v>8</v>
      </c>
      <c r="C5" s="14" t="s">
        <v>9</v>
      </c>
      <c r="D5" s="14" t="s">
        <v>10</v>
      </c>
      <c r="E5" s="14" t="s">
        <v>11</v>
      </c>
      <c r="F5" s="14" t="s">
        <v>12</v>
      </c>
      <c r="G5" s="14" t="s">
        <v>13</v>
      </c>
      <c r="H5" s="14" t="s">
        <v>14</v>
      </c>
      <c r="I5" s="14" t="s">
        <v>15</v>
      </c>
      <c r="J5" s="14" t="s">
        <v>16</v>
      </c>
      <c r="K5" s="14" t="s">
        <v>17</v>
      </c>
      <c r="L5" s="14" t="s">
        <v>18</v>
      </c>
      <c r="M5" s="14" t="s">
        <v>19</v>
      </c>
      <c r="N5" s="14" t="s">
        <v>20</v>
      </c>
      <c r="O5" s="14" t="s">
        <v>21</v>
      </c>
      <c r="P5" s="14" t="s">
        <v>22</v>
      </c>
      <c r="Q5" s="14" t="s">
        <v>23</v>
      </c>
      <c r="R5" s="14" t="s">
        <v>24</v>
      </c>
      <c r="S5" s="14" t="s">
        <v>25</v>
      </c>
      <c r="T5" s="14" t="s">
        <v>26</v>
      </c>
      <c r="U5" s="14" t="s">
        <v>27</v>
      </c>
      <c r="V5" s="14" t="s">
        <v>28</v>
      </c>
      <c r="W5" s="14" t="s">
        <v>29</v>
      </c>
      <c r="X5" s="14" t="s">
        <v>30</v>
      </c>
      <c r="Y5" s="14" t="s">
        <v>31</v>
      </c>
      <c r="Z5" s="14" t="s">
        <v>51</v>
      </c>
      <c r="AA5" s="14" t="s">
        <v>32</v>
      </c>
      <c r="AB5" s="14" t="s">
        <v>33</v>
      </c>
      <c r="AC5" s="14" t="s">
        <v>34</v>
      </c>
      <c r="AD5" s="14" t="s">
        <v>35</v>
      </c>
      <c r="AE5" s="14" t="s">
        <v>36</v>
      </c>
      <c r="AF5" s="14" t="s">
        <v>37</v>
      </c>
      <c r="AG5" s="14" t="s">
        <v>38</v>
      </c>
      <c r="AH5" s="14" t="s">
        <v>39</v>
      </c>
      <c r="AI5" s="14" t="s">
        <v>40</v>
      </c>
      <c r="AJ5" s="14" t="s">
        <v>41</v>
      </c>
      <c r="AK5" s="14" t="s">
        <v>42</v>
      </c>
      <c r="AL5" s="14" t="s">
        <v>43</v>
      </c>
      <c r="AM5" s="14" t="s">
        <v>60</v>
      </c>
      <c r="AN5" s="14" t="s">
        <v>62</v>
      </c>
      <c r="AO5" s="14" t="s">
        <v>63</v>
      </c>
      <c r="AP5" s="2" t="s">
        <v>81</v>
      </c>
      <c r="AQ5" s="2" t="s">
        <v>84</v>
      </c>
    </row>
    <row r="6">
      <c r="A6" s="19">
        <v>2.0</v>
      </c>
      <c r="B6" s="28" t="s">
        <v>85</v>
      </c>
      <c r="C6" s="20" t="s">
        <v>86</v>
      </c>
      <c r="D6" s="29" t="s">
        <v>88</v>
      </c>
      <c r="E6" s="20" t="s">
        <v>49</v>
      </c>
      <c r="F6" s="29" t="s">
        <v>69</v>
      </c>
      <c r="G6" s="29">
        <v>7.947114578E9</v>
      </c>
      <c r="H6" s="20" t="s">
        <v>91</v>
      </c>
      <c r="I6" s="20" t="s">
        <v>92</v>
      </c>
      <c r="J6" s="20" t="s">
        <v>92</v>
      </c>
      <c r="K6" s="20" t="s">
        <v>55</v>
      </c>
      <c r="L6" s="20" t="s">
        <v>56</v>
      </c>
      <c r="M6" s="20" t="s">
        <v>57</v>
      </c>
      <c r="N6" s="20" t="s">
        <v>58</v>
      </c>
      <c r="O6" s="19">
        <v>799.0</v>
      </c>
      <c r="P6" s="19">
        <v>1099.0</v>
      </c>
      <c r="Q6" s="20" t="s">
        <v>59</v>
      </c>
      <c r="R6" s="20" t="s">
        <v>58</v>
      </c>
      <c r="S6" s="20" t="s">
        <v>58</v>
      </c>
      <c r="T6" s="20"/>
      <c r="U6" s="20"/>
      <c r="V6" s="20" t="s">
        <v>61</v>
      </c>
      <c r="W6" s="20" t="s">
        <v>58</v>
      </c>
      <c r="X6" s="20" t="s">
        <v>58</v>
      </c>
      <c r="Y6" s="20" t="s">
        <v>58</v>
      </c>
      <c r="Z6" s="20" t="s">
        <v>58</v>
      </c>
      <c r="AA6" s="20" t="s">
        <v>58</v>
      </c>
      <c r="AB6" s="20" t="s">
        <v>58</v>
      </c>
      <c r="AC6" s="20" t="s">
        <v>58</v>
      </c>
      <c r="AD6" s="20" t="s">
        <v>58</v>
      </c>
      <c r="AE6" s="20" t="s">
        <v>58</v>
      </c>
      <c r="AF6" s="20" t="s">
        <v>61</v>
      </c>
      <c r="AG6" s="20" t="s">
        <v>61</v>
      </c>
      <c r="AH6" s="20" t="s">
        <v>58</v>
      </c>
      <c r="AI6" s="19">
        <v>50.0</v>
      </c>
      <c r="AJ6" s="19">
        <v>1500.0</v>
      </c>
      <c r="AK6" s="19">
        <v>50.0</v>
      </c>
      <c r="AL6" s="19">
        <v>0.0</v>
      </c>
      <c r="AM6" s="20"/>
      <c r="AN6" s="19">
        <v>799.0</v>
      </c>
      <c r="AO6" s="19">
        <v>1099.0</v>
      </c>
      <c r="AP6" s="26" t="s">
        <v>65</v>
      </c>
      <c r="AQ6" s="19"/>
    </row>
    <row r="7">
      <c r="A7" s="19">
        <v>3.0</v>
      </c>
      <c r="B7" s="28" t="s">
        <v>105</v>
      </c>
      <c r="C7" s="20" t="s">
        <v>106</v>
      </c>
      <c r="D7" s="29" t="s">
        <v>110</v>
      </c>
      <c r="E7" s="20" t="s">
        <v>49</v>
      </c>
      <c r="F7" s="29" t="s">
        <v>69</v>
      </c>
      <c r="G7" s="29" t="s">
        <v>113</v>
      </c>
      <c r="H7" s="20" t="s">
        <v>115</v>
      </c>
      <c r="I7" s="20" t="s">
        <v>116</v>
      </c>
      <c r="J7" s="20" t="s">
        <v>116</v>
      </c>
      <c r="K7" s="20" t="s">
        <v>55</v>
      </c>
      <c r="L7" s="20" t="s">
        <v>56</v>
      </c>
      <c r="M7" s="20" t="s">
        <v>57</v>
      </c>
      <c r="N7" s="20" t="s">
        <v>58</v>
      </c>
      <c r="O7" s="19">
        <v>294.0</v>
      </c>
      <c r="P7" s="20"/>
      <c r="Q7" s="20" t="s">
        <v>59</v>
      </c>
      <c r="R7" s="20" t="s">
        <v>58</v>
      </c>
      <c r="S7" s="20" t="s">
        <v>58</v>
      </c>
      <c r="T7" s="20"/>
      <c r="U7" s="20"/>
      <c r="V7" s="20" t="s">
        <v>61</v>
      </c>
      <c r="W7" s="20" t="s">
        <v>58</v>
      </c>
      <c r="X7" s="20" t="s">
        <v>58</v>
      </c>
      <c r="Y7" s="20" t="s">
        <v>58</v>
      </c>
      <c r="Z7" s="20" t="s">
        <v>58</v>
      </c>
      <c r="AA7" s="20" t="s">
        <v>58</v>
      </c>
      <c r="AB7" s="20" t="s">
        <v>58</v>
      </c>
      <c r="AC7" s="20" t="s">
        <v>58</v>
      </c>
      <c r="AD7" s="20" t="s">
        <v>58</v>
      </c>
      <c r="AE7" s="20" t="s">
        <v>58</v>
      </c>
      <c r="AF7" s="20" t="s">
        <v>61</v>
      </c>
      <c r="AG7" s="20" t="s">
        <v>61</v>
      </c>
      <c r="AH7" s="20" t="s">
        <v>58</v>
      </c>
      <c r="AI7" s="19">
        <v>10.0</v>
      </c>
      <c r="AJ7" s="19">
        <v>250.0</v>
      </c>
      <c r="AK7" s="19">
        <v>10.0</v>
      </c>
      <c r="AL7" s="19">
        <v>0.0</v>
      </c>
      <c r="AM7" s="20"/>
      <c r="AN7" s="19">
        <v>294.0</v>
      </c>
      <c r="AO7" s="19">
        <v>0.0</v>
      </c>
      <c r="AP7" s="26" t="s">
        <v>65</v>
      </c>
      <c r="AQ7" s="19"/>
    </row>
    <row r="8">
      <c r="A8" s="19">
        <v>4.0</v>
      </c>
      <c r="B8" s="28" t="s">
        <v>137</v>
      </c>
      <c r="C8" s="20" t="s">
        <v>139</v>
      </c>
      <c r="D8" s="29" t="s">
        <v>141</v>
      </c>
      <c r="E8" s="20" t="s">
        <v>49</v>
      </c>
      <c r="F8" s="29" t="s">
        <v>89</v>
      </c>
      <c r="G8" s="29" t="s">
        <v>146</v>
      </c>
      <c r="H8" s="20" t="s">
        <v>118</v>
      </c>
      <c r="I8" s="20" t="s">
        <v>92</v>
      </c>
      <c r="J8" s="20" t="s">
        <v>92</v>
      </c>
      <c r="K8" s="20" t="s">
        <v>55</v>
      </c>
      <c r="L8" s="20" t="s">
        <v>56</v>
      </c>
      <c r="M8" s="20" t="s">
        <v>57</v>
      </c>
      <c r="N8" s="20" t="s">
        <v>58</v>
      </c>
      <c r="O8" s="19">
        <v>500.0</v>
      </c>
      <c r="P8" s="19">
        <v>700.0</v>
      </c>
      <c r="Q8" s="20" t="s">
        <v>59</v>
      </c>
      <c r="R8" s="20" t="s">
        <v>58</v>
      </c>
      <c r="S8" s="20" t="s">
        <v>58</v>
      </c>
      <c r="T8" s="20"/>
      <c r="U8" s="20"/>
      <c r="V8" s="20" t="s">
        <v>61</v>
      </c>
      <c r="W8" s="20" t="s">
        <v>58</v>
      </c>
      <c r="X8" s="20" t="s">
        <v>58</v>
      </c>
      <c r="Y8" s="20" t="s">
        <v>58</v>
      </c>
      <c r="Z8" s="20" t="s">
        <v>58</v>
      </c>
      <c r="AA8" s="20" t="s">
        <v>58</v>
      </c>
      <c r="AB8" s="20" t="s">
        <v>58</v>
      </c>
      <c r="AC8" s="20" t="s">
        <v>58</v>
      </c>
      <c r="AD8" s="20" t="s">
        <v>58</v>
      </c>
      <c r="AE8" s="20" t="s">
        <v>58</v>
      </c>
      <c r="AF8" s="20" t="s">
        <v>61</v>
      </c>
      <c r="AG8" s="20" t="s">
        <v>61</v>
      </c>
      <c r="AH8" s="20" t="s">
        <v>58</v>
      </c>
      <c r="AI8" s="19">
        <v>250.0</v>
      </c>
      <c r="AJ8" s="19">
        <v>5000.0</v>
      </c>
      <c r="AK8" s="19">
        <v>250.0</v>
      </c>
      <c r="AL8" s="19">
        <v>0.0</v>
      </c>
      <c r="AM8" s="20"/>
      <c r="AN8" s="19">
        <v>500.0</v>
      </c>
      <c r="AO8" s="19">
        <v>700.0</v>
      </c>
      <c r="AP8" s="26" t="s">
        <v>65</v>
      </c>
      <c r="AQ8" s="19"/>
    </row>
    <row r="9">
      <c r="A9" s="19">
        <v>5.0</v>
      </c>
      <c r="B9" s="28" t="s">
        <v>108</v>
      </c>
      <c r="C9" s="29"/>
      <c r="D9" s="29" t="s">
        <v>158</v>
      </c>
      <c r="E9" s="20" t="s">
        <v>49</v>
      </c>
      <c r="F9" s="29" t="s">
        <v>89</v>
      </c>
      <c r="G9" s="29" t="s">
        <v>159</v>
      </c>
      <c r="H9" s="20" t="s">
        <v>118</v>
      </c>
      <c r="I9" s="20" t="s">
        <v>92</v>
      </c>
      <c r="J9" s="20" t="s">
        <v>92</v>
      </c>
      <c r="K9" s="20" t="s">
        <v>55</v>
      </c>
      <c r="L9" s="20" t="s">
        <v>56</v>
      </c>
      <c r="M9" s="20" t="s">
        <v>57</v>
      </c>
      <c r="N9" s="20" t="s">
        <v>58</v>
      </c>
      <c r="O9" s="19">
        <v>699.0</v>
      </c>
      <c r="P9" s="19">
        <v>899.0</v>
      </c>
      <c r="Q9" s="20" t="s">
        <v>59</v>
      </c>
      <c r="R9" s="20" t="s">
        <v>58</v>
      </c>
      <c r="S9" s="20" t="s">
        <v>58</v>
      </c>
      <c r="T9" s="20" t="s">
        <v>162</v>
      </c>
      <c r="U9" s="20" t="s">
        <v>126</v>
      </c>
      <c r="V9" s="20" t="s">
        <v>61</v>
      </c>
      <c r="W9" s="20" t="s">
        <v>58</v>
      </c>
      <c r="X9" s="20" t="s">
        <v>58</v>
      </c>
      <c r="Y9" s="20" t="s">
        <v>58</v>
      </c>
      <c r="Z9" s="20" t="s">
        <v>58</v>
      </c>
      <c r="AA9" s="20" t="s">
        <v>58</v>
      </c>
      <c r="AB9" s="20" t="s">
        <v>58</v>
      </c>
      <c r="AC9" s="20" t="s">
        <v>58</v>
      </c>
      <c r="AD9" s="20" t="s">
        <v>58</v>
      </c>
      <c r="AE9" s="20" t="s">
        <v>58</v>
      </c>
      <c r="AF9" s="20" t="s">
        <v>61</v>
      </c>
      <c r="AG9" s="20" t="s">
        <v>61</v>
      </c>
      <c r="AH9" s="20" t="s">
        <v>58</v>
      </c>
      <c r="AI9" s="19">
        <v>50.0</v>
      </c>
      <c r="AJ9" s="19">
        <v>2000.0</v>
      </c>
      <c r="AK9" s="19">
        <v>50.0</v>
      </c>
      <c r="AL9" s="19">
        <v>0.0</v>
      </c>
      <c r="AM9" s="20" t="s">
        <v>132</v>
      </c>
      <c r="AN9" s="19">
        <v>699.0</v>
      </c>
      <c r="AO9" s="19">
        <v>899.0</v>
      </c>
      <c r="AP9" s="26" t="s">
        <v>65</v>
      </c>
      <c r="AQ9" s="19"/>
    </row>
    <row r="10">
      <c r="A10" s="31">
        <v>6.0</v>
      </c>
      <c r="B10" s="32" t="s">
        <v>174</v>
      </c>
      <c r="C10" s="32" t="s">
        <v>175</v>
      </c>
      <c r="D10" s="21" t="s">
        <v>176</v>
      </c>
      <c r="E10" s="32" t="s">
        <v>49</v>
      </c>
      <c r="F10" s="40" t="s">
        <v>177</v>
      </c>
      <c r="G10" s="32" t="s">
        <v>187</v>
      </c>
      <c r="H10" s="32" t="s">
        <v>91</v>
      </c>
      <c r="I10" s="32" t="s">
        <v>92</v>
      </c>
      <c r="J10" s="32" t="s">
        <v>92</v>
      </c>
      <c r="K10" s="32" t="s">
        <v>55</v>
      </c>
      <c r="L10" s="32" t="s">
        <v>56</v>
      </c>
      <c r="M10" s="32" t="s">
        <v>57</v>
      </c>
      <c r="N10" s="32" t="s">
        <v>58</v>
      </c>
      <c r="O10" s="31">
        <v>350.0</v>
      </c>
      <c r="P10" s="31">
        <v>700.0</v>
      </c>
      <c r="Q10" s="32" t="s">
        <v>59</v>
      </c>
      <c r="R10" s="32" t="s">
        <v>58</v>
      </c>
      <c r="S10" s="32" t="s">
        <v>58</v>
      </c>
      <c r="T10" s="32"/>
      <c r="U10" s="32"/>
      <c r="V10" s="32" t="s">
        <v>61</v>
      </c>
      <c r="W10" s="32" t="s">
        <v>58</v>
      </c>
      <c r="X10" s="32" t="s">
        <v>58</v>
      </c>
      <c r="Y10" s="32" t="s">
        <v>58</v>
      </c>
      <c r="Z10" s="32" t="s">
        <v>58</v>
      </c>
      <c r="AA10" s="32" t="s">
        <v>58</v>
      </c>
      <c r="AB10" s="32" t="s">
        <v>58</v>
      </c>
      <c r="AC10" s="32" t="s">
        <v>58</v>
      </c>
      <c r="AD10" s="32" t="s">
        <v>58</v>
      </c>
      <c r="AE10" s="32" t="s">
        <v>58</v>
      </c>
      <c r="AF10" s="32" t="s">
        <v>61</v>
      </c>
      <c r="AG10" s="32" t="s">
        <v>61</v>
      </c>
      <c r="AH10" s="32" t="s">
        <v>58</v>
      </c>
      <c r="AI10" s="31">
        <v>50.0</v>
      </c>
      <c r="AJ10" s="31">
        <v>5000.0</v>
      </c>
      <c r="AK10" s="31">
        <v>50.0</v>
      </c>
      <c r="AL10" s="31">
        <v>0.0</v>
      </c>
      <c r="AM10" s="32"/>
      <c r="AN10" s="31">
        <v>350.0</v>
      </c>
      <c r="AO10" s="31">
        <v>700.0</v>
      </c>
      <c r="AP10" s="34" t="s">
        <v>65</v>
      </c>
      <c r="AQ10" s="21">
        <v>2.0</v>
      </c>
    </row>
    <row r="11">
      <c r="A11" s="31">
        <v>7.0</v>
      </c>
      <c r="B11" s="32" t="s">
        <v>207</v>
      </c>
      <c r="C11" s="32" t="s">
        <v>208</v>
      </c>
      <c r="D11" s="21" t="s">
        <v>210</v>
      </c>
      <c r="E11" s="32" t="s">
        <v>49</v>
      </c>
      <c r="F11" s="35" t="s">
        <v>211</v>
      </c>
      <c r="G11" s="21">
        <v>9.667603072E9</v>
      </c>
      <c r="H11" s="32" t="s">
        <v>118</v>
      </c>
      <c r="I11" s="32" t="s">
        <v>92</v>
      </c>
      <c r="J11" s="32" t="s">
        <v>92</v>
      </c>
      <c r="K11" s="32" t="s">
        <v>55</v>
      </c>
      <c r="L11" s="32" t="s">
        <v>56</v>
      </c>
      <c r="M11" s="32" t="s">
        <v>57</v>
      </c>
      <c r="N11" s="32" t="s">
        <v>58</v>
      </c>
      <c r="O11" s="31">
        <v>450.0</v>
      </c>
      <c r="P11" s="31">
        <v>650.0</v>
      </c>
      <c r="Q11" s="32" t="s">
        <v>59</v>
      </c>
      <c r="R11" s="32" t="s">
        <v>58</v>
      </c>
      <c r="S11" s="32" t="s">
        <v>58</v>
      </c>
      <c r="T11" s="32"/>
      <c r="U11" s="32"/>
      <c r="V11" s="32" t="s">
        <v>61</v>
      </c>
      <c r="W11" s="32" t="s">
        <v>58</v>
      </c>
      <c r="X11" s="32" t="s">
        <v>58</v>
      </c>
      <c r="Y11" s="32" t="s">
        <v>58</v>
      </c>
      <c r="Z11" s="32" t="s">
        <v>58</v>
      </c>
      <c r="AA11" s="32" t="s">
        <v>58</v>
      </c>
      <c r="AB11" s="32" t="s">
        <v>58</v>
      </c>
      <c r="AC11" s="32" t="s">
        <v>58</v>
      </c>
      <c r="AD11" s="32" t="s">
        <v>58</v>
      </c>
      <c r="AE11" s="32" t="s">
        <v>58</v>
      </c>
      <c r="AF11" s="32" t="s">
        <v>61</v>
      </c>
      <c r="AG11" s="32" t="s">
        <v>61</v>
      </c>
      <c r="AH11" s="32" t="s">
        <v>58</v>
      </c>
      <c r="AI11" s="31">
        <v>30.0</v>
      </c>
      <c r="AJ11" s="31">
        <v>250.0</v>
      </c>
      <c r="AK11" s="31">
        <v>30.0</v>
      </c>
      <c r="AL11" s="31">
        <v>0.0</v>
      </c>
      <c r="AM11" s="32"/>
      <c r="AN11" s="31">
        <v>450.0</v>
      </c>
      <c r="AO11" s="31">
        <v>650.0</v>
      </c>
      <c r="AP11" s="34" t="s">
        <v>65</v>
      </c>
      <c r="AQ11" s="21">
        <v>2.0</v>
      </c>
    </row>
    <row r="12">
      <c r="A12" s="19">
        <v>8.0</v>
      </c>
      <c r="B12" s="28" t="s">
        <v>228</v>
      </c>
      <c r="C12" s="20"/>
      <c r="D12" s="29" t="s">
        <v>229</v>
      </c>
      <c r="E12" s="20" t="s">
        <v>49</v>
      </c>
      <c r="F12" s="29" t="s">
        <v>69</v>
      </c>
      <c r="G12" s="29" t="s">
        <v>69</v>
      </c>
      <c r="H12" s="20" t="s">
        <v>91</v>
      </c>
      <c r="I12" s="20" t="s">
        <v>92</v>
      </c>
      <c r="J12" s="20" t="s">
        <v>92</v>
      </c>
      <c r="K12" s="20" t="s">
        <v>55</v>
      </c>
      <c r="L12" s="20" t="s">
        <v>56</v>
      </c>
      <c r="M12" s="20" t="s">
        <v>57</v>
      </c>
      <c r="N12" s="20" t="s">
        <v>58</v>
      </c>
      <c r="O12" s="19">
        <v>1100.0</v>
      </c>
      <c r="P12" s="19">
        <v>1750.0</v>
      </c>
      <c r="Q12" s="20" t="s">
        <v>59</v>
      </c>
      <c r="R12" s="20" t="s">
        <v>58</v>
      </c>
      <c r="S12" s="20" t="s">
        <v>58</v>
      </c>
      <c r="T12" s="20"/>
      <c r="U12" s="20"/>
      <c r="V12" s="20" t="s">
        <v>61</v>
      </c>
      <c r="W12" s="20" t="s">
        <v>58</v>
      </c>
      <c r="X12" s="20" t="s">
        <v>58</v>
      </c>
      <c r="Y12" s="20" t="s">
        <v>58</v>
      </c>
      <c r="Z12" s="20" t="s">
        <v>58</v>
      </c>
      <c r="AA12" s="20" t="s">
        <v>58</v>
      </c>
      <c r="AB12" s="20" t="s">
        <v>58</v>
      </c>
      <c r="AC12" s="20" t="s">
        <v>58</v>
      </c>
      <c r="AD12" s="20" t="s">
        <v>58</v>
      </c>
      <c r="AE12" s="20" t="s">
        <v>58</v>
      </c>
      <c r="AF12" s="20" t="s">
        <v>61</v>
      </c>
      <c r="AG12" s="20" t="s">
        <v>61</v>
      </c>
      <c r="AH12" s="20" t="s">
        <v>58</v>
      </c>
      <c r="AI12" s="19">
        <v>50.0</v>
      </c>
      <c r="AJ12" s="19">
        <v>1200.0</v>
      </c>
      <c r="AK12" s="19">
        <v>50.0</v>
      </c>
      <c r="AL12" s="19">
        <v>0.0</v>
      </c>
      <c r="AM12" s="20"/>
      <c r="AN12" s="19">
        <v>1100.0</v>
      </c>
      <c r="AO12" s="19">
        <v>1750.0</v>
      </c>
      <c r="AP12" s="26" t="s">
        <v>65</v>
      </c>
      <c r="AQ12" s="19"/>
    </row>
    <row r="13">
      <c r="A13" s="31">
        <v>9.0</v>
      </c>
      <c r="B13" s="32" t="s">
        <v>238</v>
      </c>
      <c r="C13" s="32" t="s">
        <v>239</v>
      </c>
      <c r="D13" s="21" t="s">
        <v>240</v>
      </c>
      <c r="E13" s="32" t="s">
        <v>49</v>
      </c>
      <c r="F13" s="40" t="s">
        <v>241</v>
      </c>
      <c r="G13" s="32" t="s">
        <v>251</v>
      </c>
      <c r="H13" s="32" t="s">
        <v>91</v>
      </c>
      <c r="I13" s="32" t="s">
        <v>92</v>
      </c>
      <c r="J13" s="32" t="s">
        <v>92</v>
      </c>
      <c r="K13" s="32" t="s">
        <v>55</v>
      </c>
      <c r="L13" s="32" t="s">
        <v>56</v>
      </c>
      <c r="M13" s="32" t="s">
        <v>57</v>
      </c>
      <c r="N13" s="32" t="s">
        <v>58</v>
      </c>
      <c r="O13" s="31">
        <v>500.0</v>
      </c>
      <c r="P13" s="31">
        <v>700.0</v>
      </c>
      <c r="Q13" s="32" t="s">
        <v>59</v>
      </c>
      <c r="R13" s="32" t="s">
        <v>58</v>
      </c>
      <c r="S13" s="32" t="s">
        <v>58</v>
      </c>
      <c r="T13" s="32"/>
      <c r="U13" s="32"/>
      <c r="V13" s="32" t="s">
        <v>61</v>
      </c>
      <c r="W13" s="32" t="s">
        <v>58</v>
      </c>
      <c r="X13" s="32" t="s">
        <v>58</v>
      </c>
      <c r="Y13" s="32" t="s">
        <v>58</v>
      </c>
      <c r="Z13" s="32" t="s">
        <v>58</v>
      </c>
      <c r="AA13" s="32" t="s">
        <v>58</v>
      </c>
      <c r="AB13" s="32" t="s">
        <v>58</v>
      </c>
      <c r="AC13" s="32" t="s">
        <v>58</v>
      </c>
      <c r="AD13" s="32" t="s">
        <v>58</v>
      </c>
      <c r="AE13" s="32" t="s">
        <v>58</v>
      </c>
      <c r="AF13" s="32" t="s">
        <v>61</v>
      </c>
      <c r="AG13" s="32" t="s">
        <v>61</v>
      </c>
      <c r="AH13" s="32" t="s">
        <v>58</v>
      </c>
      <c r="AI13" s="31">
        <v>100.0</v>
      </c>
      <c r="AJ13" s="31">
        <v>5000.0</v>
      </c>
      <c r="AK13" s="31">
        <v>100.0</v>
      </c>
      <c r="AL13" s="31">
        <v>0.0</v>
      </c>
      <c r="AM13" s="32"/>
      <c r="AN13" s="31">
        <v>500.0</v>
      </c>
      <c r="AO13" s="31">
        <v>700.0</v>
      </c>
      <c r="AP13" s="34" t="s">
        <v>65</v>
      </c>
      <c r="AQ13" s="21">
        <v>2.0</v>
      </c>
    </row>
    <row r="14">
      <c r="A14" s="19">
        <v>10.0</v>
      </c>
      <c r="B14" s="28" t="s">
        <v>257</v>
      </c>
      <c r="C14" s="29"/>
      <c r="D14" s="29" t="s">
        <v>259</v>
      </c>
      <c r="E14" s="20" t="s">
        <v>49</v>
      </c>
      <c r="F14" s="29" t="s">
        <v>69</v>
      </c>
      <c r="G14" s="29" t="s">
        <v>69</v>
      </c>
      <c r="H14" s="20" t="s">
        <v>118</v>
      </c>
      <c r="I14" s="20" t="s">
        <v>92</v>
      </c>
      <c r="J14" s="20" t="s">
        <v>92</v>
      </c>
      <c r="K14" s="20" t="s">
        <v>55</v>
      </c>
      <c r="L14" s="20" t="s">
        <v>56</v>
      </c>
      <c r="M14" s="20" t="s">
        <v>57</v>
      </c>
      <c r="N14" s="20" t="s">
        <v>58</v>
      </c>
      <c r="O14" s="19">
        <v>2000.0</v>
      </c>
      <c r="P14" s="19">
        <v>2300.0</v>
      </c>
      <c r="Q14" s="20" t="s">
        <v>59</v>
      </c>
      <c r="R14" s="20" t="s">
        <v>58</v>
      </c>
      <c r="S14" s="20" t="s">
        <v>58</v>
      </c>
      <c r="T14" s="20"/>
      <c r="U14" s="20"/>
      <c r="V14" s="20" t="s">
        <v>61</v>
      </c>
      <c r="W14" s="20" t="s">
        <v>58</v>
      </c>
      <c r="X14" s="20" t="s">
        <v>58</v>
      </c>
      <c r="Y14" s="20" t="s">
        <v>58</v>
      </c>
      <c r="Z14" s="20" t="s">
        <v>58</v>
      </c>
      <c r="AA14" s="20" t="s">
        <v>58</v>
      </c>
      <c r="AB14" s="20" t="s">
        <v>58</v>
      </c>
      <c r="AC14" s="20" t="s">
        <v>58</v>
      </c>
      <c r="AD14" s="20" t="s">
        <v>58</v>
      </c>
      <c r="AE14" s="20" t="s">
        <v>58</v>
      </c>
      <c r="AF14" s="20" t="s">
        <v>61</v>
      </c>
      <c r="AG14" s="20" t="s">
        <v>61</v>
      </c>
      <c r="AH14" s="20" t="s">
        <v>58</v>
      </c>
      <c r="AI14" s="19">
        <v>0.0</v>
      </c>
      <c r="AJ14" s="19">
        <v>0.0</v>
      </c>
      <c r="AK14" s="19">
        <v>0.0</v>
      </c>
      <c r="AL14" s="19">
        <v>0.0</v>
      </c>
      <c r="AM14" s="20"/>
      <c r="AN14" s="19">
        <v>2000.0</v>
      </c>
      <c r="AO14" s="19">
        <v>2300.0</v>
      </c>
      <c r="AP14" s="26" t="s">
        <v>65</v>
      </c>
      <c r="AQ14" s="19"/>
    </row>
    <row r="15">
      <c r="A15" s="19">
        <v>11.0</v>
      </c>
      <c r="B15" s="28" t="s">
        <v>268</v>
      </c>
      <c r="C15" s="29"/>
      <c r="D15" s="29" t="s">
        <v>269</v>
      </c>
      <c r="E15" s="20" t="s">
        <v>49</v>
      </c>
      <c r="F15" s="29" t="s">
        <v>69</v>
      </c>
      <c r="G15" s="29" t="s">
        <v>69</v>
      </c>
      <c r="H15" s="20" t="s">
        <v>271</v>
      </c>
      <c r="I15" s="20" t="s">
        <v>92</v>
      </c>
      <c r="J15" s="20" t="s">
        <v>74</v>
      </c>
      <c r="K15" s="20" t="s">
        <v>55</v>
      </c>
      <c r="L15" s="20" t="s">
        <v>56</v>
      </c>
      <c r="M15" s="20" t="s">
        <v>57</v>
      </c>
      <c r="N15" s="20" t="s">
        <v>58</v>
      </c>
      <c r="O15" s="19">
        <v>450.0</v>
      </c>
      <c r="P15" s="19">
        <v>600.0</v>
      </c>
      <c r="Q15" s="20" t="s">
        <v>59</v>
      </c>
      <c r="R15" s="20" t="s">
        <v>58</v>
      </c>
      <c r="S15" s="20" t="s">
        <v>58</v>
      </c>
      <c r="T15" s="20"/>
      <c r="U15" s="20"/>
      <c r="V15" s="20" t="s">
        <v>61</v>
      </c>
      <c r="W15" s="20" t="s">
        <v>58</v>
      </c>
      <c r="X15" s="20" t="s">
        <v>58</v>
      </c>
      <c r="Y15" s="20" t="s">
        <v>58</v>
      </c>
      <c r="Z15" s="20" t="s">
        <v>58</v>
      </c>
      <c r="AA15" s="20" t="s">
        <v>58</v>
      </c>
      <c r="AB15" s="20" t="s">
        <v>58</v>
      </c>
      <c r="AC15" s="20" t="s">
        <v>58</v>
      </c>
      <c r="AD15" s="20" t="s">
        <v>58</v>
      </c>
      <c r="AE15" s="20" t="s">
        <v>58</v>
      </c>
      <c r="AF15" s="20" t="s">
        <v>61</v>
      </c>
      <c r="AG15" s="20" t="s">
        <v>61</v>
      </c>
      <c r="AH15" s="20" t="s">
        <v>58</v>
      </c>
      <c r="AI15" s="19">
        <v>200.0</v>
      </c>
      <c r="AJ15" s="19">
        <v>5000.0</v>
      </c>
      <c r="AK15" s="19">
        <v>200.0</v>
      </c>
      <c r="AL15" s="19">
        <v>0.0</v>
      </c>
      <c r="AM15" s="20"/>
      <c r="AN15" s="19">
        <v>450.0</v>
      </c>
      <c r="AO15" s="19">
        <v>600.0</v>
      </c>
      <c r="AP15" s="26" t="s">
        <v>65</v>
      </c>
      <c r="AQ15" s="19"/>
    </row>
    <row r="16">
      <c r="A16" s="31">
        <v>54.0</v>
      </c>
      <c r="B16" s="32" t="s">
        <v>174</v>
      </c>
      <c r="C16" s="21" t="s">
        <v>289</v>
      </c>
      <c r="D16" s="21" t="s">
        <v>289</v>
      </c>
      <c r="E16" s="32" t="s">
        <v>49</v>
      </c>
      <c r="F16" s="40" t="s">
        <v>177</v>
      </c>
      <c r="G16" s="32" t="s">
        <v>187</v>
      </c>
      <c r="H16" s="32" t="s">
        <v>91</v>
      </c>
      <c r="I16" s="32" t="s">
        <v>92</v>
      </c>
      <c r="J16" s="32" t="s">
        <v>92</v>
      </c>
      <c r="K16" s="32" t="s">
        <v>55</v>
      </c>
      <c r="L16" s="32" t="s">
        <v>56</v>
      </c>
      <c r="M16" s="32" t="s">
        <v>57</v>
      </c>
      <c r="N16" s="32" t="s">
        <v>58</v>
      </c>
      <c r="O16" s="31">
        <v>350.0</v>
      </c>
      <c r="P16" s="31">
        <v>700.0</v>
      </c>
      <c r="Q16" s="32" t="s">
        <v>59</v>
      </c>
      <c r="R16" s="32" t="s">
        <v>58</v>
      </c>
      <c r="S16" s="32" t="s">
        <v>58</v>
      </c>
      <c r="T16" s="32"/>
      <c r="U16" s="32"/>
      <c r="V16" s="32" t="s">
        <v>61</v>
      </c>
      <c r="W16" s="32" t="s">
        <v>58</v>
      </c>
      <c r="X16" s="32" t="s">
        <v>58</v>
      </c>
      <c r="Y16" s="32" t="s">
        <v>58</v>
      </c>
      <c r="Z16" s="32" t="s">
        <v>58</v>
      </c>
      <c r="AA16" s="32" t="s">
        <v>58</v>
      </c>
      <c r="AB16" s="32" t="s">
        <v>58</v>
      </c>
      <c r="AC16" s="32" t="s">
        <v>58</v>
      </c>
      <c r="AD16" s="32" t="s">
        <v>58</v>
      </c>
      <c r="AE16" s="32" t="s">
        <v>58</v>
      </c>
      <c r="AF16" s="32" t="s">
        <v>61</v>
      </c>
      <c r="AG16" s="32" t="s">
        <v>61</v>
      </c>
      <c r="AH16" s="32" t="s">
        <v>58</v>
      </c>
      <c r="AI16" s="31">
        <v>50.0</v>
      </c>
      <c r="AJ16" s="31">
        <v>5000.0</v>
      </c>
      <c r="AK16" s="31">
        <v>50.0</v>
      </c>
      <c r="AL16" s="31">
        <v>0.0</v>
      </c>
      <c r="AM16" s="32"/>
      <c r="AN16" s="31">
        <v>350.0</v>
      </c>
      <c r="AO16" s="31">
        <v>700.0</v>
      </c>
      <c r="AP16" s="34" t="s">
        <v>65</v>
      </c>
      <c r="AQ16" s="21">
        <v>2.0</v>
      </c>
    </row>
    <row r="17">
      <c r="A17" s="31">
        <v>64.0</v>
      </c>
      <c r="B17" s="32" t="s">
        <v>174</v>
      </c>
      <c r="C17" s="21"/>
      <c r="D17" s="21" t="s">
        <v>289</v>
      </c>
      <c r="E17" s="32" t="s">
        <v>49</v>
      </c>
      <c r="F17" s="40" t="s">
        <v>177</v>
      </c>
      <c r="G17" s="32" t="s">
        <v>187</v>
      </c>
      <c r="H17" s="32" t="s">
        <v>91</v>
      </c>
      <c r="I17" s="32" t="s">
        <v>92</v>
      </c>
      <c r="J17" s="32" t="s">
        <v>92</v>
      </c>
      <c r="K17" s="32" t="s">
        <v>55</v>
      </c>
      <c r="L17" s="32" t="s">
        <v>56</v>
      </c>
      <c r="M17" s="32" t="s">
        <v>57</v>
      </c>
      <c r="N17" s="32" t="s">
        <v>58</v>
      </c>
      <c r="O17" s="31">
        <v>350.0</v>
      </c>
      <c r="P17" s="31">
        <v>700.0</v>
      </c>
      <c r="Q17" s="32" t="s">
        <v>59</v>
      </c>
      <c r="R17" s="32" t="s">
        <v>58</v>
      </c>
      <c r="S17" s="32" t="s">
        <v>58</v>
      </c>
      <c r="T17" s="32"/>
      <c r="U17" s="32"/>
      <c r="V17" s="32" t="s">
        <v>61</v>
      </c>
      <c r="W17" s="32" t="s">
        <v>58</v>
      </c>
      <c r="X17" s="32" t="s">
        <v>58</v>
      </c>
      <c r="Y17" s="32" t="s">
        <v>58</v>
      </c>
      <c r="Z17" s="32" t="s">
        <v>58</v>
      </c>
      <c r="AA17" s="32" t="s">
        <v>58</v>
      </c>
      <c r="AB17" s="32" t="s">
        <v>58</v>
      </c>
      <c r="AC17" s="32" t="s">
        <v>58</v>
      </c>
      <c r="AD17" s="32" t="s">
        <v>58</v>
      </c>
      <c r="AE17" s="32" t="s">
        <v>58</v>
      </c>
      <c r="AF17" s="32" t="s">
        <v>61</v>
      </c>
      <c r="AG17" s="32" t="s">
        <v>61</v>
      </c>
      <c r="AH17" s="32" t="s">
        <v>58</v>
      </c>
      <c r="AI17" s="31">
        <v>50.0</v>
      </c>
      <c r="AJ17" s="31">
        <v>5000.0</v>
      </c>
      <c r="AK17" s="31">
        <v>50.0</v>
      </c>
      <c r="AL17" s="31">
        <v>0.0</v>
      </c>
      <c r="AM17" s="32"/>
      <c r="AN17" s="31">
        <v>350.0</v>
      </c>
      <c r="AO17" s="31">
        <v>700.0</v>
      </c>
      <c r="AP17" s="34" t="s">
        <v>65</v>
      </c>
      <c r="AQ17" s="21">
        <v>2.0</v>
      </c>
    </row>
    <row r="18">
      <c r="A18" s="31">
        <v>75.0</v>
      </c>
      <c r="B18" s="32" t="s">
        <v>238</v>
      </c>
      <c r="C18" s="21"/>
      <c r="D18" s="21" t="s">
        <v>240</v>
      </c>
      <c r="E18" s="32" t="s">
        <v>49</v>
      </c>
      <c r="F18" s="40" t="s">
        <v>241</v>
      </c>
      <c r="G18" s="32" t="s">
        <v>251</v>
      </c>
      <c r="H18" s="32" t="s">
        <v>91</v>
      </c>
      <c r="I18" s="32" t="s">
        <v>92</v>
      </c>
      <c r="J18" s="32" t="s">
        <v>92</v>
      </c>
      <c r="K18" s="32" t="s">
        <v>55</v>
      </c>
      <c r="L18" s="32" t="s">
        <v>56</v>
      </c>
      <c r="M18" s="32" t="s">
        <v>57</v>
      </c>
      <c r="N18" s="32" t="s">
        <v>58</v>
      </c>
      <c r="O18" s="31">
        <v>500.0</v>
      </c>
      <c r="P18" s="31">
        <v>700.0</v>
      </c>
      <c r="Q18" s="32" t="s">
        <v>59</v>
      </c>
      <c r="R18" s="32" t="s">
        <v>58</v>
      </c>
      <c r="S18" s="32" t="s">
        <v>58</v>
      </c>
      <c r="T18" s="32"/>
      <c r="U18" s="32"/>
      <c r="V18" s="32" t="s">
        <v>61</v>
      </c>
      <c r="W18" s="32" t="s">
        <v>58</v>
      </c>
      <c r="X18" s="32" t="s">
        <v>58</v>
      </c>
      <c r="Y18" s="32" t="s">
        <v>58</v>
      </c>
      <c r="Z18" s="32" t="s">
        <v>58</v>
      </c>
      <c r="AA18" s="32" t="s">
        <v>58</v>
      </c>
      <c r="AB18" s="32" t="s">
        <v>58</v>
      </c>
      <c r="AC18" s="32" t="s">
        <v>58</v>
      </c>
      <c r="AD18" s="32" t="s">
        <v>58</v>
      </c>
      <c r="AE18" s="32" t="s">
        <v>58</v>
      </c>
      <c r="AF18" s="32" t="s">
        <v>61</v>
      </c>
      <c r="AG18" s="32" t="s">
        <v>61</v>
      </c>
      <c r="AH18" s="32" t="s">
        <v>58</v>
      </c>
      <c r="AI18" s="31">
        <v>100.0</v>
      </c>
      <c r="AJ18" s="31">
        <v>5000.0</v>
      </c>
      <c r="AK18" s="31">
        <v>100.0</v>
      </c>
      <c r="AL18" s="31">
        <v>0.0</v>
      </c>
      <c r="AM18" s="32"/>
      <c r="AN18" s="31">
        <v>500.0</v>
      </c>
      <c r="AO18" s="31">
        <v>700.0</v>
      </c>
      <c r="AP18" s="34" t="s">
        <v>65</v>
      </c>
      <c r="AQ18" s="21">
        <v>2.0</v>
      </c>
    </row>
    <row r="19">
      <c r="A19" s="32" t="s">
        <v>328</v>
      </c>
      <c r="B19" s="32" t="s">
        <v>108</v>
      </c>
      <c r="C19" s="32" t="s">
        <v>111</v>
      </c>
      <c r="D19" s="32" t="s">
        <v>112</v>
      </c>
      <c r="E19" s="32" t="s">
        <v>49</v>
      </c>
      <c r="F19" s="32" t="s">
        <v>331</v>
      </c>
      <c r="G19" s="32" t="s">
        <v>332</v>
      </c>
      <c r="H19" s="32" t="s">
        <v>118</v>
      </c>
      <c r="I19" s="32" t="s">
        <v>92</v>
      </c>
      <c r="J19" s="32" t="s">
        <v>92</v>
      </c>
      <c r="K19" s="32" t="s">
        <v>55</v>
      </c>
      <c r="L19" s="32" t="s">
        <v>56</v>
      </c>
      <c r="M19" s="32" t="s">
        <v>57</v>
      </c>
      <c r="N19" s="32" t="s">
        <v>333</v>
      </c>
      <c r="O19" s="32" t="s">
        <v>334</v>
      </c>
      <c r="P19" s="32" t="s">
        <v>335</v>
      </c>
      <c r="Q19" s="32" t="s">
        <v>59</v>
      </c>
      <c r="R19" s="32" t="s">
        <v>333</v>
      </c>
      <c r="S19" s="32" t="s">
        <v>333</v>
      </c>
      <c r="T19" s="32" t="s">
        <v>275</v>
      </c>
      <c r="U19" s="32" t="s">
        <v>342</v>
      </c>
      <c r="V19" s="32" t="s">
        <v>344</v>
      </c>
      <c r="W19" s="32" t="s">
        <v>333</v>
      </c>
      <c r="X19" s="32" t="s">
        <v>333</v>
      </c>
      <c r="Y19" s="32" t="s">
        <v>333</v>
      </c>
      <c r="Z19" s="32" t="s">
        <v>333</v>
      </c>
      <c r="AA19" s="32" t="s">
        <v>333</v>
      </c>
      <c r="AB19" s="32" t="s">
        <v>333</v>
      </c>
      <c r="AC19" s="32"/>
      <c r="AD19" s="32" t="s">
        <v>333</v>
      </c>
      <c r="AE19" s="32" t="s">
        <v>333</v>
      </c>
      <c r="AF19" s="32" t="s">
        <v>333</v>
      </c>
      <c r="AG19" s="32" t="s">
        <v>344</v>
      </c>
      <c r="AH19" s="32" t="s">
        <v>344</v>
      </c>
      <c r="AI19" s="32" t="s">
        <v>333</v>
      </c>
      <c r="AJ19" s="32"/>
      <c r="AK19" s="32" t="s">
        <v>347</v>
      </c>
      <c r="AL19" s="32" t="s">
        <v>348</v>
      </c>
      <c r="AM19" s="32" t="s">
        <v>347</v>
      </c>
      <c r="AN19" s="32" t="s">
        <v>349</v>
      </c>
      <c r="AO19" s="32" t="s">
        <v>132</v>
      </c>
      <c r="AP19" s="21" t="s">
        <v>65</v>
      </c>
      <c r="AQ19" s="21">
        <v>2.0</v>
      </c>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9"/>
    </row>
    <row r="2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9"/>
    </row>
    <row r="2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9"/>
    </row>
    <row r="2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9"/>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9"/>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9"/>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9"/>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9"/>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9"/>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9"/>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9"/>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9"/>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9"/>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9"/>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9"/>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9"/>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9"/>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9"/>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9"/>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9"/>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9"/>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9"/>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9"/>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9"/>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9"/>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c r="AQ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c r="AO907" s="20"/>
      <c r="AP907" s="20"/>
      <c r="AQ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c r="AO908" s="20"/>
      <c r="AP908" s="20"/>
      <c r="AQ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c r="AO909" s="20"/>
      <c r="AP909" s="20"/>
      <c r="AQ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c r="AM910" s="20"/>
      <c r="AN910" s="20"/>
      <c r="AO910" s="20"/>
      <c r="AP910" s="20"/>
      <c r="AQ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c r="AM911" s="20"/>
      <c r="AN911" s="20"/>
      <c r="AO911" s="20"/>
      <c r="AP911" s="20"/>
      <c r="AQ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c r="AM912" s="20"/>
      <c r="AN912" s="20"/>
      <c r="AO912" s="20"/>
      <c r="AP912" s="20"/>
      <c r="AQ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c r="AM913" s="20"/>
      <c r="AN913" s="20"/>
      <c r="AO913" s="20"/>
      <c r="AP913" s="20"/>
      <c r="AQ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c r="AM914" s="20"/>
      <c r="AN914" s="20"/>
      <c r="AO914" s="20"/>
      <c r="AP914" s="20"/>
      <c r="AQ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c r="AM915" s="20"/>
      <c r="AN915" s="20"/>
      <c r="AO915" s="20"/>
      <c r="AP915" s="20"/>
      <c r="AQ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c r="AM916" s="20"/>
      <c r="AN916" s="20"/>
      <c r="AO916" s="20"/>
      <c r="AP916" s="20"/>
      <c r="AQ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c r="AM917" s="20"/>
      <c r="AN917" s="20"/>
      <c r="AO917" s="20"/>
      <c r="AP917" s="20"/>
      <c r="AQ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c r="AM918" s="20"/>
      <c r="AN918" s="20"/>
      <c r="AO918" s="20"/>
      <c r="AP918" s="20"/>
      <c r="AQ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c r="AM919" s="20"/>
      <c r="AN919" s="20"/>
      <c r="AO919" s="20"/>
      <c r="AP919" s="20"/>
      <c r="AQ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c r="AM920" s="20"/>
      <c r="AN920" s="20"/>
      <c r="AO920" s="20"/>
      <c r="AP920" s="20"/>
      <c r="AQ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c r="AM921" s="20"/>
      <c r="AN921" s="20"/>
      <c r="AO921" s="20"/>
      <c r="AP921" s="20"/>
      <c r="AQ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c r="AM922" s="20"/>
      <c r="AN922" s="20"/>
      <c r="AO922" s="20"/>
      <c r="AP922" s="20"/>
      <c r="AQ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c r="AM923" s="20"/>
      <c r="AN923" s="20"/>
      <c r="AO923" s="20"/>
      <c r="AP923" s="20"/>
      <c r="AQ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c r="AM924" s="20"/>
      <c r="AN924" s="20"/>
      <c r="AO924" s="20"/>
      <c r="AP924" s="20"/>
      <c r="AQ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c r="AM925" s="20"/>
      <c r="AN925" s="20"/>
      <c r="AO925" s="20"/>
      <c r="AP925" s="20"/>
      <c r="AQ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c r="AM926" s="20"/>
      <c r="AN926" s="20"/>
      <c r="AO926" s="20"/>
      <c r="AP926" s="20"/>
      <c r="AQ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c r="AM927" s="20"/>
      <c r="AN927" s="20"/>
      <c r="AO927" s="20"/>
      <c r="AP927" s="20"/>
      <c r="AQ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c r="AM928" s="20"/>
      <c r="AN928" s="20"/>
      <c r="AO928" s="20"/>
      <c r="AP928" s="20"/>
      <c r="AQ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c r="AM929" s="20"/>
      <c r="AN929" s="20"/>
      <c r="AO929" s="20"/>
      <c r="AP929" s="20"/>
      <c r="AQ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c r="AM930" s="20"/>
      <c r="AN930" s="20"/>
      <c r="AO930" s="20"/>
      <c r="AP930" s="20"/>
      <c r="AQ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c r="AM931" s="20"/>
      <c r="AN931" s="20"/>
      <c r="AO931" s="20"/>
      <c r="AP931" s="20"/>
      <c r="AQ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c r="AM932" s="20"/>
      <c r="AN932" s="20"/>
      <c r="AO932" s="20"/>
      <c r="AP932" s="20"/>
      <c r="AQ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c r="AM933" s="20"/>
      <c r="AN933" s="20"/>
      <c r="AO933" s="20"/>
      <c r="AP933" s="20"/>
      <c r="AQ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c r="AM934" s="20"/>
      <c r="AN934" s="20"/>
      <c r="AO934" s="20"/>
      <c r="AP934" s="20"/>
      <c r="AQ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c r="AM935" s="20"/>
      <c r="AN935" s="20"/>
      <c r="AO935" s="20"/>
      <c r="AP935" s="20"/>
      <c r="AQ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c r="AM936" s="20"/>
      <c r="AN936" s="20"/>
      <c r="AO936" s="20"/>
      <c r="AP936" s="20"/>
      <c r="AQ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c r="AM937" s="20"/>
      <c r="AN937" s="20"/>
      <c r="AO937" s="20"/>
      <c r="AP937" s="20"/>
      <c r="AQ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c r="AM938" s="20"/>
      <c r="AN938" s="20"/>
      <c r="AO938" s="20"/>
      <c r="AP938" s="20"/>
      <c r="AQ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c r="AM939" s="20"/>
      <c r="AN939" s="20"/>
      <c r="AO939" s="20"/>
      <c r="AP939" s="20"/>
      <c r="AQ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c r="AM940" s="20"/>
      <c r="AN940" s="20"/>
      <c r="AO940" s="20"/>
      <c r="AP940" s="20"/>
      <c r="AQ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c r="AM941" s="20"/>
      <c r="AN941" s="20"/>
      <c r="AO941" s="20"/>
      <c r="AP941" s="20"/>
      <c r="AQ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c r="AM942" s="20"/>
      <c r="AN942" s="20"/>
      <c r="AO942" s="20"/>
      <c r="AP942" s="20"/>
      <c r="AQ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c r="AM943" s="20"/>
      <c r="AN943" s="20"/>
      <c r="AO943" s="20"/>
      <c r="AP943" s="20"/>
      <c r="AQ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c r="AM944" s="20"/>
      <c r="AN944" s="20"/>
      <c r="AO944" s="20"/>
      <c r="AP944" s="20"/>
      <c r="AQ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c r="AM945" s="20"/>
      <c r="AN945" s="20"/>
      <c r="AO945" s="20"/>
      <c r="AP945" s="20"/>
      <c r="AQ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c r="AM946" s="20"/>
      <c r="AN946" s="20"/>
      <c r="AO946" s="20"/>
      <c r="AP946" s="20"/>
      <c r="AQ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c r="AM947" s="20"/>
      <c r="AN947" s="20"/>
      <c r="AO947" s="20"/>
      <c r="AP947" s="20"/>
      <c r="AQ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c r="AM948" s="20"/>
      <c r="AN948" s="20"/>
      <c r="AO948" s="20"/>
      <c r="AP948" s="20"/>
      <c r="AQ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c r="AM949" s="20"/>
      <c r="AN949" s="20"/>
      <c r="AO949" s="20"/>
      <c r="AP949" s="20"/>
      <c r="AQ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c r="AM950" s="20"/>
      <c r="AN950" s="20"/>
      <c r="AO950" s="20"/>
      <c r="AP950" s="20"/>
      <c r="AQ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c r="AM951" s="20"/>
      <c r="AN951" s="20"/>
      <c r="AO951" s="20"/>
      <c r="AP951" s="20"/>
      <c r="AQ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c r="AM952" s="20"/>
      <c r="AN952" s="20"/>
      <c r="AO952" s="20"/>
      <c r="AP952" s="20"/>
      <c r="AQ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c r="AM953" s="20"/>
      <c r="AN953" s="20"/>
      <c r="AO953" s="20"/>
      <c r="AP953" s="20"/>
      <c r="AQ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c r="AM954" s="20"/>
      <c r="AN954" s="20"/>
      <c r="AO954" s="20"/>
      <c r="AP954" s="20"/>
      <c r="AQ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c r="AM955" s="20"/>
      <c r="AN955" s="20"/>
      <c r="AO955" s="20"/>
      <c r="AP955" s="20"/>
      <c r="AQ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c r="AM956" s="20"/>
      <c r="AN956" s="20"/>
      <c r="AO956" s="20"/>
      <c r="AP956" s="20"/>
      <c r="AQ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c r="AM957" s="20"/>
      <c r="AN957" s="20"/>
      <c r="AO957" s="20"/>
      <c r="AP957" s="20"/>
      <c r="AQ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c r="AM958" s="20"/>
      <c r="AN958" s="20"/>
      <c r="AO958" s="20"/>
      <c r="AP958" s="20"/>
      <c r="AQ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c r="AM959" s="20"/>
      <c r="AN959" s="20"/>
      <c r="AO959" s="20"/>
      <c r="AP959" s="20"/>
      <c r="AQ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c r="AM960" s="20"/>
      <c r="AN960" s="20"/>
      <c r="AO960" s="20"/>
      <c r="AP960" s="20"/>
      <c r="AQ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c r="AM961" s="20"/>
      <c r="AN961" s="20"/>
      <c r="AO961" s="20"/>
      <c r="AP961" s="20"/>
      <c r="AQ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c r="AM962" s="20"/>
      <c r="AN962" s="20"/>
      <c r="AO962" s="20"/>
      <c r="AP962" s="20"/>
      <c r="AQ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c r="AM963" s="20"/>
      <c r="AN963" s="20"/>
      <c r="AO963" s="20"/>
      <c r="AP963" s="20"/>
      <c r="AQ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c r="AM964" s="20"/>
      <c r="AN964" s="20"/>
      <c r="AO964" s="20"/>
      <c r="AP964" s="20"/>
      <c r="AQ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c r="AM965" s="20"/>
      <c r="AN965" s="20"/>
      <c r="AO965" s="20"/>
      <c r="AP965" s="20"/>
      <c r="AQ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c r="AM966" s="20"/>
      <c r="AN966" s="20"/>
      <c r="AO966" s="20"/>
      <c r="AP966" s="20"/>
      <c r="AQ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c r="AM968" s="20"/>
      <c r="AN968" s="20"/>
      <c r="AO968" s="20"/>
      <c r="AP968" s="20"/>
      <c r="AQ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c r="AM969" s="20"/>
      <c r="AN969" s="20"/>
      <c r="AO969" s="20"/>
      <c r="AP969" s="20"/>
      <c r="AQ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c r="AM970" s="20"/>
      <c r="AN970" s="20"/>
      <c r="AO970" s="20"/>
      <c r="AP970" s="20"/>
      <c r="AQ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c r="AM971" s="20"/>
      <c r="AN971" s="20"/>
      <c r="AO971" s="20"/>
      <c r="AP971" s="20"/>
      <c r="AQ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c r="AM972" s="20"/>
      <c r="AN972" s="20"/>
      <c r="AO972" s="20"/>
      <c r="AP972" s="20"/>
      <c r="AQ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c r="AM973" s="20"/>
      <c r="AN973" s="20"/>
      <c r="AO973" s="20"/>
      <c r="AP973" s="20"/>
      <c r="AQ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c r="AM974" s="20"/>
      <c r="AN974" s="20"/>
      <c r="AO974" s="20"/>
      <c r="AP974" s="20"/>
      <c r="AQ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c r="AM975" s="20"/>
      <c r="AN975" s="20"/>
      <c r="AO975" s="20"/>
      <c r="AP975" s="20"/>
      <c r="AQ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c r="AM976" s="20"/>
      <c r="AN976" s="20"/>
      <c r="AO976" s="20"/>
      <c r="AP976" s="20"/>
      <c r="AQ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c r="AM977" s="20"/>
      <c r="AN977" s="20"/>
      <c r="AO977" s="20"/>
      <c r="AP977" s="20"/>
      <c r="AQ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c r="AM978" s="20"/>
      <c r="AN978" s="20"/>
      <c r="AO978" s="20"/>
      <c r="AP978" s="20"/>
      <c r="AQ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c r="AM979" s="20"/>
      <c r="AN979" s="20"/>
      <c r="AO979" s="20"/>
      <c r="AP979" s="20"/>
      <c r="AQ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c r="AM980" s="20"/>
      <c r="AN980" s="20"/>
      <c r="AO980" s="20"/>
      <c r="AP980" s="20"/>
      <c r="AQ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c r="AM981" s="20"/>
      <c r="AN981" s="20"/>
      <c r="AO981" s="20"/>
      <c r="AP981" s="20"/>
      <c r="AQ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c r="AM982" s="20"/>
      <c r="AN982" s="20"/>
      <c r="AO982" s="20"/>
      <c r="AP982" s="20"/>
      <c r="AQ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c r="AM983" s="20"/>
      <c r="AN983" s="20"/>
      <c r="AO983" s="20"/>
      <c r="AP983" s="20"/>
      <c r="AQ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c r="AM984" s="20"/>
      <c r="AN984" s="20"/>
      <c r="AO984" s="20"/>
      <c r="AP984" s="20"/>
      <c r="AQ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c r="AM985" s="20"/>
      <c r="AN985" s="20"/>
      <c r="AO985" s="20"/>
      <c r="AP985" s="20"/>
      <c r="AQ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c r="AM986" s="20"/>
      <c r="AN986" s="20"/>
      <c r="AO986" s="20"/>
      <c r="AP986" s="20"/>
      <c r="AQ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c r="AM987" s="20"/>
      <c r="AN987" s="20"/>
      <c r="AO987" s="20"/>
      <c r="AP987" s="20"/>
      <c r="AQ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c r="AM988" s="20"/>
      <c r="AN988" s="20"/>
      <c r="AO988" s="20"/>
      <c r="AP988" s="20"/>
      <c r="AQ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c r="AM989" s="20"/>
      <c r="AN989" s="20"/>
      <c r="AO989" s="20"/>
      <c r="AP989" s="20"/>
      <c r="AQ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c r="AM990" s="20"/>
      <c r="AN990" s="20"/>
      <c r="AO990" s="20"/>
      <c r="AP990" s="20"/>
      <c r="AQ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c r="AM991" s="20"/>
      <c r="AN991" s="20"/>
      <c r="AO991" s="20"/>
      <c r="AP991" s="20"/>
      <c r="AQ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c r="AM992" s="20"/>
      <c r="AN992" s="20"/>
      <c r="AO992" s="20"/>
      <c r="AP992" s="20"/>
      <c r="AQ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c r="AM993" s="20"/>
      <c r="AN993" s="20"/>
      <c r="AO993" s="20"/>
      <c r="AP993" s="20"/>
      <c r="AQ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c r="AM994" s="20"/>
      <c r="AN994" s="20"/>
      <c r="AO994" s="20"/>
      <c r="AP994" s="20"/>
      <c r="AQ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c r="AM995" s="20"/>
      <c r="AN995" s="20"/>
      <c r="AO995" s="20"/>
      <c r="AP995" s="20"/>
      <c r="AQ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c r="AM996" s="20"/>
      <c r="AN996" s="20"/>
      <c r="AO996" s="20"/>
      <c r="AP996" s="20"/>
      <c r="AQ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c r="AM997" s="20"/>
      <c r="AN997" s="20"/>
      <c r="AO997" s="20"/>
      <c r="AP997" s="20"/>
      <c r="AQ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c r="AM998" s="20"/>
      <c r="AN998" s="20"/>
      <c r="AO998" s="20"/>
      <c r="AP998" s="20"/>
      <c r="AQ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c r="AL999" s="20"/>
      <c r="AM999" s="20"/>
      <c r="AN999" s="20"/>
      <c r="AO999" s="20"/>
      <c r="AP999" s="20"/>
      <c r="AQ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c r="AL1000" s="20"/>
      <c r="AM1000" s="20"/>
      <c r="AN1000" s="20"/>
      <c r="AO1000" s="20"/>
      <c r="AP1000" s="20"/>
      <c r="AQ1000" s="20"/>
    </row>
    <row r="1001">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c r="AA1001" s="20"/>
      <c r="AB1001" s="20"/>
      <c r="AC1001" s="20"/>
      <c r="AD1001" s="20"/>
      <c r="AE1001" s="20"/>
      <c r="AF1001" s="20"/>
      <c r="AG1001" s="20"/>
      <c r="AH1001" s="20"/>
      <c r="AI1001" s="20"/>
      <c r="AJ1001" s="20"/>
      <c r="AK1001" s="20"/>
      <c r="AL1001" s="20"/>
      <c r="AM1001" s="20"/>
      <c r="AN1001" s="20"/>
      <c r="AO1001" s="20"/>
      <c r="AP1001" s="20"/>
      <c r="AQ1001" s="20"/>
    </row>
    <row r="1002">
      <c r="A1002" s="20"/>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c r="AA1002" s="20"/>
      <c r="AB1002" s="20"/>
      <c r="AC1002" s="20"/>
      <c r="AD1002" s="20"/>
      <c r="AE1002" s="20"/>
      <c r="AF1002" s="20"/>
      <c r="AG1002" s="20"/>
      <c r="AH1002" s="20"/>
      <c r="AI1002" s="20"/>
      <c r="AJ1002" s="20"/>
      <c r="AK1002" s="20"/>
      <c r="AL1002" s="20"/>
      <c r="AM1002" s="20"/>
      <c r="AN1002" s="20"/>
      <c r="AO1002" s="20"/>
      <c r="AP1002" s="20"/>
      <c r="AQ1002" s="20"/>
    </row>
  </sheetData>
  <hyperlinks>
    <hyperlink r:id="rId1" ref="F10"/>
    <hyperlink r:id="rId2" ref="F11"/>
    <hyperlink r:id="rId3" ref="F13"/>
    <hyperlink r:id="rId4" ref="F16"/>
    <hyperlink r:id="rId5" ref="F17"/>
    <hyperlink r:id="rId6" ref="F18"/>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2">
        <v>16.0</v>
      </c>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row>
    <row r="2">
      <c r="A2" s="1" t="s">
        <v>3</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row>
    <row r="3">
      <c r="A3" s="1" t="s">
        <v>5</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row>
    <row r="4">
      <c r="A4" s="9" t="s">
        <v>6</v>
      </c>
      <c r="B4" s="9">
        <v>153.0</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row>
    <row r="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2"/>
      <c r="AQ5" s="1"/>
    </row>
    <row r="6">
      <c r="A6" s="14" t="s">
        <v>7</v>
      </c>
      <c r="B6" s="14" t="s">
        <v>8</v>
      </c>
      <c r="C6" s="14" t="s">
        <v>9</v>
      </c>
      <c r="D6" s="14" t="s">
        <v>10</v>
      </c>
      <c r="E6" s="14" t="s">
        <v>11</v>
      </c>
      <c r="F6" s="14" t="s">
        <v>12</v>
      </c>
      <c r="G6" s="14" t="s">
        <v>13</v>
      </c>
      <c r="H6" s="14" t="s">
        <v>14</v>
      </c>
      <c r="I6" s="14" t="s">
        <v>15</v>
      </c>
      <c r="J6" s="14" t="s">
        <v>16</v>
      </c>
      <c r="K6" s="14" t="s">
        <v>17</v>
      </c>
      <c r="L6" s="14" t="s">
        <v>18</v>
      </c>
      <c r="M6" s="14" t="s">
        <v>19</v>
      </c>
      <c r="N6" s="14" t="s">
        <v>20</v>
      </c>
      <c r="O6" s="14" t="s">
        <v>21</v>
      </c>
      <c r="P6" s="14" t="s">
        <v>22</v>
      </c>
      <c r="Q6" s="14" t="s">
        <v>23</v>
      </c>
      <c r="R6" s="14" t="s">
        <v>24</v>
      </c>
      <c r="S6" s="14" t="s">
        <v>25</v>
      </c>
      <c r="T6" s="14" t="s">
        <v>26</v>
      </c>
      <c r="U6" s="14" t="s">
        <v>27</v>
      </c>
      <c r="V6" s="14" t="s">
        <v>28</v>
      </c>
      <c r="W6" s="14" t="s">
        <v>29</v>
      </c>
      <c r="X6" s="14" t="s">
        <v>30</v>
      </c>
      <c r="Y6" s="14" t="s">
        <v>31</v>
      </c>
      <c r="Z6" s="14" t="s">
        <v>51</v>
      </c>
      <c r="AA6" s="14" t="s">
        <v>32</v>
      </c>
      <c r="AB6" s="14" t="s">
        <v>33</v>
      </c>
      <c r="AC6" s="14" t="s">
        <v>34</v>
      </c>
      <c r="AD6" s="14" t="s">
        <v>35</v>
      </c>
      <c r="AE6" s="14" t="s">
        <v>36</v>
      </c>
      <c r="AF6" s="14" t="s">
        <v>37</v>
      </c>
      <c r="AG6" s="14" t="s">
        <v>38</v>
      </c>
      <c r="AH6" s="14" t="s">
        <v>39</v>
      </c>
      <c r="AI6" s="14" t="s">
        <v>40</v>
      </c>
      <c r="AJ6" s="14" t="s">
        <v>41</v>
      </c>
      <c r="AK6" s="14" t="s">
        <v>42</v>
      </c>
      <c r="AL6" s="14" t="s">
        <v>43</v>
      </c>
      <c r="AM6" s="14" t="s">
        <v>60</v>
      </c>
      <c r="AN6" s="14" t="s">
        <v>62</v>
      </c>
      <c r="AO6" s="14" t="s">
        <v>63</v>
      </c>
      <c r="AP6" s="2" t="s">
        <v>44</v>
      </c>
      <c r="AQ6" s="2" t="s">
        <v>4</v>
      </c>
    </row>
    <row r="7">
      <c r="A7" s="19">
        <v>1.0</v>
      </c>
      <c r="B7" s="20" t="s">
        <v>64</v>
      </c>
      <c r="C7" s="20" t="s">
        <v>66</v>
      </c>
      <c r="D7" s="20" t="s">
        <v>67</v>
      </c>
      <c r="E7" s="20" t="s">
        <v>49</v>
      </c>
      <c r="F7" s="23" t="s">
        <v>69</v>
      </c>
      <c r="G7" s="23">
        <v>7.947134398E9</v>
      </c>
      <c r="H7" s="20" t="s">
        <v>72</v>
      </c>
      <c r="I7" s="20" t="s">
        <v>73</v>
      </c>
      <c r="J7" s="20" t="s">
        <v>74</v>
      </c>
      <c r="K7" s="20" t="s">
        <v>55</v>
      </c>
      <c r="L7" s="20" t="s">
        <v>56</v>
      </c>
      <c r="M7" s="20" t="s">
        <v>57</v>
      </c>
      <c r="N7" s="20" t="s">
        <v>58</v>
      </c>
      <c r="O7" s="19">
        <v>2999.0</v>
      </c>
      <c r="P7" s="19">
        <v>2999.0</v>
      </c>
      <c r="Q7" s="20" t="s">
        <v>59</v>
      </c>
      <c r="R7" s="20" t="s">
        <v>58</v>
      </c>
      <c r="S7" s="20" t="s">
        <v>58</v>
      </c>
      <c r="T7" s="25"/>
      <c r="U7" s="25"/>
      <c r="V7" s="20" t="s">
        <v>61</v>
      </c>
      <c r="W7" s="20" t="s">
        <v>58</v>
      </c>
      <c r="X7" s="20" t="s">
        <v>58</v>
      </c>
      <c r="Y7" s="20" t="s">
        <v>58</v>
      </c>
      <c r="Z7" s="20" t="s">
        <v>58</v>
      </c>
      <c r="AA7" s="20" t="s">
        <v>58</v>
      </c>
      <c r="AB7" s="20" t="s">
        <v>58</v>
      </c>
      <c r="AC7" s="20" t="s">
        <v>58</v>
      </c>
      <c r="AD7" s="20" t="s">
        <v>58</v>
      </c>
      <c r="AE7" s="20" t="s">
        <v>58</v>
      </c>
      <c r="AF7" s="20" t="s">
        <v>61</v>
      </c>
      <c r="AG7" s="20" t="s">
        <v>61</v>
      </c>
      <c r="AH7" s="20" t="s">
        <v>58</v>
      </c>
      <c r="AI7" s="19">
        <v>50.0</v>
      </c>
      <c r="AJ7" s="19">
        <v>1500.0</v>
      </c>
      <c r="AK7" s="19">
        <v>50.0</v>
      </c>
      <c r="AL7" s="19">
        <v>0.0</v>
      </c>
      <c r="AM7" s="25"/>
      <c r="AN7" s="19">
        <v>2999.0</v>
      </c>
      <c r="AO7" s="19">
        <v>2999.0</v>
      </c>
      <c r="AP7" s="26" t="s">
        <v>65</v>
      </c>
      <c r="AQ7" s="19"/>
    </row>
    <row r="8">
      <c r="A8" s="19">
        <v>2.0</v>
      </c>
      <c r="B8" s="20" t="s">
        <v>68</v>
      </c>
      <c r="C8" s="20" t="s">
        <v>70</v>
      </c>
      <c r="D8" s="25"/>
      <c r="E8" s="20" t="s">
        <v>49</v>
      </c>
      <c r="F8" s="23" t="s">
        <v>69</v>
      </c>
      <c r="G8" s="23">
        <v>7.947112952E9</v>
      </c>
      <c r="H8" s="20" t="s">
        <v>75</v>
      </c>
      <c r="I8" s="20" t="s">
        <v>76</v>
      </c>
      <c r="J8" s="20" t="s">
        <v>76</v>
      </c>
      <c r="K8" s="20" t="s">
        <v>55</v>
      </c>
      <c r="L8" s="20" t="s">
        <v>56</v>
      </c>
      <c r="M8" s="20" t="s">
        <v>57</v>
      </c>
      <c r="N8" s="20" t="s">
        <v>58</v>
      </c>
      <c r="O8" s="19">
        <v>3000.0</v>
      </c>
      <c r="P8" s="19">
        <v>3500.0</v>
      </c>
      <c r="Q8" s="20" t="s">
        <v>59</v>
      </c>
      <c r="R8" s="20" t="s">
        <v>58</v>
      </c>
      <c r="S8" s="20" t="s">
        <v>58</v>
      </c>
      <c r="T8" s="25"/>
      <c r="U8" s="25"/>
      <c r="V8" s="20" t="s">
        <v>61</v>
      </c>
      <c r="W8" s="20" t="s">
        <v>58</v>
      </c>
      <c r="X8" s="20" t="s">
        <v>58</v>
      </c>
      <c r="Y8" s="20" t="s">
        <v>58</v>
      </c>
      <c r="Z8" s="20" t="s">
        <v>58</v>
      </c>
      <c r="AA8" s="20" t="s">
        <v>58</v>
      </c>
      <c r="AB8" s="20" t="s">
        <v>58</v>
      </c>
      <c r="AC8" s="20" t="s">
        <v>58</v>
      </c>
      <c r="AD8" s="20" t="s">
        <v>58</v>
      </c>
      <c r="AE8" s="20" t="s">
        <v>58</v>
      </c>
      <c r="AF8" s="20" t="s">
        <v>61</v>
      </c>
      <c r="AG8" s="20" t="s">
        <v>61</v>
      </c>
      <c r="AH8" s="20" t="s">
        <v>58</v>
      </c>
      <c r="AI8" s="19">
        <v>150.0</v>
      </c>
      <c r="AJ8" s="19">
        <v>1500.0</v>
      </c>
      <c r="AK8" s="19">
        <v>150.0</v>
      </c>
      <c r="AL8" s="19">
        <v>0.0</v>
      </c>
      <c r="AM8" s="25"/>
      <c r="AN8" s="19">
        <v>3000.0</v>
      </c>
      <c r="AO8" s="19">
        <v>3500.0</v>
      </c>
      <c r="AP8" s="26" t="s">
        <v>65</v>
      </c>
      <c r="AQ8" s="19"/>
    </row>
    <row r="9">
      <c r="A9" s="19">
        <v>3.0</v>
      </c>
      <c r="B9" s="20" t="s">
        <v>93</v>
      </c>
      <c r="C9" s="20" t="s">
        <v>94</v>
      </c>
      <c r="D9" s="20" t="s">
        <v>95</v>
      </c>
      <c r="E9" s="20" t="s">
        <v>49</v>
      </c>
      <c r="F9" s="30" t="s">
        <v>100</v>
      </c>
      <c r="G9" s="23" t="s">
        <v>69</v>
      </c>
      <c r="H9" s="20" t="s">
        <v>107</v>
      </c>
      <c r="I9" s="20" t="s">
        <v>109</v>
      </c>
      <c r="J9" s="20" t="s">
        <v>74</v>
      </c>
      <c r="K9" s="20" t="s">
        <v>55</v>
      </c>
      <c r="L9" s="20" t="s">
        <v>56</v>
      </c>
      <c r="M9" s="20" t="s">
        <v>57</v>
      </c>
      <c r="N9" s="20" t="s">
        <v>58</v>
      </c>
      <c r="O9" s="19">
        <v>1000.0</v>
      </c>
      <c r="P9" s="25"/>
      <c r="Q9" s="20" t="s">
        <v>59</v>
      </c>
      <c r="R9" s="20" t="s">
        <v>58</v>
      </c>
      <c r="S9" s="20" t="s">
        <v>58</v>
      </c>
      <c r="T9" s="25"/>
      <c r="U9" s="25"/>
      <c r="V9" s="20" t="s">
        <v>61</v>
      </c>
      <c r="W9" s="20" t="s">
        <v>58</v>
      </c>
      <c r="X9" s="20" t="s">
        <v>58</v>
      </c>
      <c r="Y9" s="20" t="s">
        <v>58</v>
      </c>
      <c r="Z9" s="20" t="s">
        <v>58</v>
      </c>
      <c r="AA9" s="20" t="s">
        <v>58</v>
      </c>
      <c r="AB9" s="20" t="s">
        <v>58</v>
      </c>
      <c r="AC9" s="20" t="s">
        <v>58</v>
      </c>
      <c r="AD9" s="20" t="s">
        <v>58</v>
      </c>
      <c r="AE9" s="20" t="s">
        <v>58</v>
      </c>
      <c r="AF9" s="20" t="s">
        <v>61</v>
      </c>
      <c r="AG9" s="20" t="s">
        <v>61</v>
      </c>
      <c r="AH9" s="20" t="s">
        <v>58</v>
      </c>
      <c r="AI9" s="19">
        <v>100.0</v>
      </c>
      <c r="AJ9" s="19">
        <v>50000.0</v>
      </c>
      <c r="AK9" s="19">
        <v>100.0</v>
      </c>
      <c r="AL9" s="19">
        <v>0.0</v>
      </c>
      <c r="AM9" s="25"/>
      <c r="AN9" s="19">
        <v>1000.0</v>
      </c>
      <c r="AO9" s="19">
        <v>0.0</v>
      </c>
      <c r="AP9" s="26" t="s">
        <v>65</v>
      </c>
      <c r="AQ9" s="19"/>
    </row>
    <row r="10">
      <c r="A10" s="19">
        <v>4.0</v>
      </c>
      <c r="B10" s="20" t="s">
        <v>128</v>
      </c>
      <c r="C10" s="20" t="s">
        <v>129</v>
      </c>
      <c r="D10" s="20" t="s">
        <v>130</v>
      </c>
      <c r="E10" s="20" t="s">
        <v>49</v>
      </c>
      <c r="F10" s="30" t="s">
        <v>131</v>
      </c>
      <c r="G10" s="23" t="s">
        <v>69</v>
      </c>
      <c r="H10" s="20" t="s">
        <v>142</v>
      </c>
      <c r="I10" s="20" t="s">
        <v>144</v>
      </c>
      <c r="J10" s="20" t="s">
        <v>74</v>
      </c>
      <c r="K10" s="20" t="s">
        <v>55</v>
      </c>
      <c r="L10" s="20" t="s">
        <v>56</v>
      </c>
      <c r="M10" s="20" t="s">
        <v>57</v>
      </c>
      <c r="N10" s="20" t="s">
        <v>58</v>
      </c>
      <c r="O10" s="19">
        <v>1600.0</v>
      </c>
      <c r="P10" s="19">
        <v>1900.0</v>
      </c>
      <c r="Q10" s="20" t="s">
        <v>59</v>
      </c>
      <c r="R10" s="20" t="s">
        <v>58</v>
      </c>
      <c r="S10" s="20" t="s">
        <v>58</v>
      </c>
      <c r="T10" s="20" t="s">
        <v>149</v>
      </c>
      <c r="U10" s="25"/>
      <c r="V10" s="20" t="s">
        <v>61</v>
      </c>
      <c r="W10" s="20" t="s">
        <v>58</v>
      </c>
      <c r="X10" s="20" t="s">
        <v>58</v>
      </c>
      <c r="Y10" s="20" t="s">
        <v>58</v>
      </c>
      <c r="Z10" s="20" t="s">
        <v>58</v>
      </c>
      <c r="AA10" s="20" t="s">
        <v>58</v>
      </c>
      <c r="AB10" s="20" t="s">
        <v>58</v>
      </c>
      <c r="AC10" s="20" t="s">
        <v>58</v>
      </c>
      <c r="AD10" s="20" t="s">
        <v>58</v>
      </c>
      <c r="AE10" s="20" t="s">
        <v>58</v>
      </c>
      <c r="AF10" s="20" t="s">
        <v>61</v>
      </c>
      <c r="AG10" s="20" t="s">
        <v>61</v>
      </c>
      <c r="AH10" s="20" t="s">
        <v>58</v>
      </c>
      <c r="AI10" s="19">
        <v>50.0</v>
      </c>
      <c r="AJ10" s="19">
        <v>2000.0</v>
      </c>
      <c r="AK10" s="19">
        <v>50.0</v>
      </c>
      <c r="AL10" s="19">
        <v>0.0</v>
      </c>
      <c r="AM10" s="25"/>
      <c r="AN10" s="19">
        <v>1600.0</v>
      </c>
      <c r="AO10" s="19">
        <v>1900.0</v>
      </c>
      <c r="AP10" s="26" t="s">
        <v>65</v>
      </c>
      <c r="AQ10" s="19"/>
    </row>
    <row r="11">
      <c r="A11" s="31">
        <v>5.0</v>
      </c>
      <c r="B11" s="32" t="s">
        <v>151</v>
      </c>
      <c r="C11" s="32" t="s">
        <v>152</v>
      </c>
      <c r="D11" s="32" t="s">
        <v>153</v>
      </c>
      <c r="E11" s="32" t="s">
        <v>49</v>
      </c>
      <c r="F11" s="37" t="s">
        <v>155</v>
      </c>
      <c r="G11" s="38" t="s">
        <v>163</v>
      </c>
      <c r="H11" s="32" t="s">
        <v>123</v>
      </c>
      <c r="I11" s="32" t="s">
        <v>124</v>
      </c>
      <c r="J11" s="32" t="s">
        <v>74</v>
      </c>
      <c r="K11" s="32" t="s">
        <v>55</v>
      </c>
      <c r="L11" s="32" t="s">
        <v>56</v>
      </c>
      <c r="M11" s="32" t="s">
        <v>57</v>
      </c>
      <c r="N11" s="32" t="s">
        <v>58</v>
      </c>
      <c r="O11" s="31">
        <v>500.0</v>
      </c>
      <c r="P11" s="31">
        <v>700.0</v>
      </c>
      <c r="Q11" s="32" t="s">
        <v>59</v>
      </c>
      <c r="R11" s="32" t="s">
        <v>58</v>
      </c>
      <c r="S11" s="32" t="s">
        <v>58</v>
      </c>
      <c r="T11" s="32" t="s">
        <v>169</v>
      </c>
      <c r="U11" s="39"/>
      <c r="V11" s="32" t="s">
        <v>61</v>
      </c>
      <c r="W11" s="32" t="s">
        <v>58</v>
      </c>
      <c r="X11" s="32" t="s">
        <v>58</v>
      </c>
      <c r="Y11" s="32" t="s">
        <v>58</v>
      </c>
      <c r="Z11" s="32" t="s">
        <v>58</v>
      </c>
      <c r="AA11" s="32" t="s">
        <v>58</v>
      </c>
      <c r="AB11" s="32" t="s">
        <v>58</v>
      </c>
      <c r="AC11" s="32" t="s">
        <v>58</v>
      </c>
      <c r="AD11" s="32" t="s">
        <v>58</v>
      </c>
      <c r="AE11" s="32" t="s">
        <v>58</v>
      </c>
      <c r="AF11" s="32" t="s">
        <v>61</v>
      </c>
      <c r="AG11" s="32" t="s">
        <v>61</v>
      </c>
      <c r="AH11" s="32" t="s">
        <v>58</v>
      </c>
      <c r="AI11" s="31">
        <v>50.0</v>
      </c>
      <c r="AJ11" s="31">
        <v>5000.0</v>
      </c>
      <c r="AK11" s="31">
        <v>50.0</v>
      </c>
      <c r="AL11" s="31">
        <v>0.0</v>
      </c>
      <c r="AM11" s="32" t="s">
        <v>179</v>
      </c>
      <c r="AN11" s="31">
        <v>500.0</v>
      </c>
      <c r="AO11" s="31">
        <v>700.0</v>
      </c>
      <c r="AP11" s="34" t="s">
        <v>65</v>
      </c>
      <c r="AQ11" s="21">
        <v>2.0</v>
      </c>
    </row>
    <row r="12">
      <c r="A12" s="19">
        <v>6.0</v>
      </c>
      <c r="B12" s="20" t="s">
        <v>181</v>
      </c>
      <c r="C12" s="20" t="s">
        <v>182</v>
      </c>
      <c r="D12" s="25"/>
      <c r="E12" s="20" t="s">
        <v>49</v>
      </c>
      <c r="F12" s="23" t="s">
        <v>69</v>
      </c>
      <c r="G12" s="23" t="s">
        <v>185</v>
      </c>
      <c r="H12" s="20" t="s">
        <v>75</v>
      </c>
      <c r="I12" s="20" t="s">
        <v>76</v>
      </c>
      <c r="J12" s="20" t="s">
        <v>76</v>
      </c>
      <c r="K12" s="20" t="s">
        <v>55</v>
      </c>
      <c r="L12" s="20" t="s">
        <v>56</v>
      </c>
      <c r="M12" s="20" t="s">
        <v>57</v>
      </c>
      <c r="N12" s="20" t="s">
        <v>58</v>
      </c>
      <c r="O12" s="19">
        <v>1000.0</v>
      </c>
      <c r="P12" s="19">
        <v>1900.0</v>
      </c>
      <c r="Q12" s="20" t="s">
        <v>59</v>
      </c>
      <c r="R12" s="20" t="s">
        <v>58</v>
      </c>
      <c r="S12" s="20" t="s">
        <v>58</v>
      </c>
      <c r="T12" s="25"/>
      <c r="U12" s="25"/>
      <c r="V12" s="20" t="s">
        <v>61</v>
      </c>
      <c r="W12" s="20" t="s">
        <v>58</v>
      </c>
      <c r="X12" s="20" t="s">
        <v>58</v>
      </c>
      <c r="Y12" s="20" t="s">
        <v>58</v>
      </c>
      <c r="Z12" s="20" t="s">
        <v>58</v>
      </c>
      <c r="AA12" s="20" t="s">
        <v>58</v>
      </c>
      <c r="AB12" s="20" t="s">
        <v>58</v>
      </c>
      <c r="AC12" s="20" t="s">
        <v>58</v>
      </c>
      <c r="AD12" s="20" t="s">
        <v>58</v>
      </c>
      <c r="AE12" s="20" t="s">
        <v>58</v>
      </c>
      <c r="AF12" s="20" t="s">
        <v>61</v>
      </c>
      <c r="AG12" s="20" t="s">
        <v>61</v>
      </c>
      <c r="AH12" s="20" t="s">
        <v>58</v>
      </c>
      <c r="AI12" s="19">
        <v>20.0</v>
      </c>
      <c r="AJ12" s="19">
        <v>500.0</v>
      </c>
      <c r="AK12" s="19">
        <v>20.0</v>
      </c>
      <c r="AL12" s="19">
        <v>0.0</v>
      </c>
      <c r="AM12" s="25"/>
      <c r="AN12" s="19">
        <v>1000.0</v>
      </c>
      <c r="AO12" s="19">
        <v>1900.0</v>
      </c>
      <c r="AP12" s="26" t="s">
        <v>65</v>
      </c>
      <c r="AQ12" s="19"/>
    </row>
    <row r="13">
      <c r="A13" s="31">
        <v>7.0</v>
      </c>
      <c r="B13" s="32" t="s">
        <v>193</v>
      </c>
      <c r="C13" s="32" t="s">
        <v>195</v>
      </c>
      <c r="D13" s="32" t="s">
        <v>197</v>
      </c>
      <c r="E13" s="32" t="s">
        <v>49</v>
      </c>
      <c r="F13" s="37" t="s">
        <v>199</v>
      </c>
      <c r="G13" s="38" t="s">
        <v>212</v>
      </c>
      <c r="H13" s="32" t="s">
        <v>75</v>
      </c>
      <c r="I13" s="32" t="s">
        <v>76</v>
      </c>
      <c r="J13" s="32" t="s">
        <v>76</v>
      </c>
      <c r="K13" s="32" t="s">
        <v>55</v>
      </c>
      <c r="L13" s="32" t="s">
        <v>56</v>
      </c>
      <c r="M13" s="32" t="s">
        <v>57</v>
      </c>
      <c r="N13" s="32" t="s">
        <v>58</v>
      </c>
      <c r="O13" s="31">
        <v>1000.0</v>
      </c>
      <c r="P13" s="31">
        <v>1200.0</v>
      </c>
      <c r="Q13" s="32" t="s">
        <v>59</v>
      </c>
      <c r="R13" s="32" t="s">
        <v>58</v>
      </c>
      <c r="S13" s="32" t="s">
        <v>58</v>
      </c>
      <c r="T13" s="32" t="s">
        <v>214</v>
      </c>
      <c r="U13" s="32" t="s">
        <v>215</v>
      </c>
      <c r="V13" s="32" t="s">
        <v>61</v>
      </c>
      <c r="W13" s="32" t="s">
        <v>58</v>
      </c>
      <c r="X13" s="32" t="s">
        <v>58</v>
      </c>
      <c r="Y13" s="32" t="s">
        <v>58</v>
      </c>
      <c r="Z13" s="32" t="s">
        <v>58</v>
      </c>
      <c r="AA13" s="32" t="s">
        <v>58</v>
      </c>
      <c r="AB13" s="32" t="s">
        <v>58</v>
      </c>
      <c r="AC13" s="32" t="s">
        <v>58</v>
      </c>
      <c r="AD13" s="32" t="s">
        <v>58</v>
      </c>
      <c r="AE13" s="32" t="s">
        <v>58</v>
      </c>
      <c r="AF13" s="32" t="s">
        <v>61</v>
      </c>
      <c r="AG13" s="32" t="s">
        <v>61</v>
      </c>
      <c r="AH13" s="32" t="s">
        <v>58</v>
      </c>
      <c r="AI13" s="31">
        <v>50.0</v>
      </c>
      <c r="AJ13" s="31">
        <v>1000.0</v>
      </c>
      <c r="AK13" s="31">
        <v>50.0</v>
      </c>
      <c r="AL13" s="31">
        <v>0.0</v>
      </c>
      <c r="AM13" s="39"/>
      <c r="AN13" s="31">
        <v>1000.0</v>
      </c>
      <c r="AO13" s="31">
        <v>1200.0</v>
      </c>
      <c r="AP13" s="34" t="s">
        <v>65</v>
      </c>
      <c r="AQ13" s="21">
        <v>2.0</v>
      </c>
    </row>
    <row r="14">
      <c r="A14" s="19">
        <v>8.0</v>
      </c>
      <c r="B14" s="20" t="s">
        <v>220</v>
      </c>
      <c r="C14" s="20" t="s">
        <v>221</v>
      </c>
      <c r="D14" s="25"/>
      <c r="E14" s="20" t="s">
        <v>49</v>
      </c>
      <c r="F14" s="23" t="s">
        <v>69</v>
      </c>
      <c r="G14" s="23" t="s">
        <v>222</v>
      </c>
      <c r="H14" s="20" t="s">
        <v>75</v>
      </c>
      <c r="I14" s="20" t="s">
        <v>76</v>
      </c>
      <c r="J14" s="20" t="s">
        <v>76</v>
      </c>
      <c r="K14" s="20" t="s">
        <v>55</v>
      </c>
      <c r="L14" s="20" t="s">
        <v>56</v>
      </c>
      <c r="M14" s="20" t="s">
        <v>57</v>
      </c>
      <c r="N14" s="20" t="s">
        <v>58</v>
      </c>
      <c r="O14" s="19">
        <v>700.0</v>
      </c>
      <c r="P14" s="19">
        <v>900.0</v>
      </c>
      <c r="Q14" s="20" t="s">
        <v>59</v>
      </c>
      <c r="R14" s="20" t="s">
        <v>58</v>
      </c>
      <c r="S14" s="20" t="s">
        <v>58</v>
      </c>
      <c r="T14" s="25"/>
      <c r="U14" s="25"/>
      <c r="V14" s="20" t="s">
        <v>61</v>
      </c>
      <c r="W14" s="20" t="s">
        <v>58</v>
      </c>
      <c r="X14" s="20" t="s">
        <v>58</v>
      </c>
      <c r="Y14" s="20" t="s">
        <v>58</v>
      </c>
      <c r="Z14" s="20" t="s">
        <v>58</v>
      </c>
      <c r="AA14" s="20" t="s">
        <v>58</v>
      </c>
      <c r="AB14" s="20" t="s">
        <v>58</v>
      </c>
      <c r="AC14" s="20" t="s">
        <v>58</v>
      </c>
      <c r="AD14" s="20" t="s">
        <v>58</v>
      </c>
      <c r="AE14" s="20" t="s">
        <v>58</v>
      </c>
      <c r="AF14" s="20" t="s">
        <v>61</v>
      </c>
      <c r="AG14" s="20" t="s">
        <v>61</v>
      </c>
      <c r="AH14" s="20" t="s">
        <v>58</v>
      </c>
      <c r="AI14" s="19">
        <v>50.0</v>
      </c>
      <c r="AJ14" s="19">
        <v>400.0</v>
      </c>
      <c r="AK14" s="19">
        <v>50.0</v>
      </c>
      <c r="AL14" s="19">
        <v>0.0</v>
      </c>
      <c r="AM14" s="25"/>
      <c r="AN14" s="19">
        <v>700.0</v>
      </c>
      <c r="AO14" s="19">
        <v>900.0</v>
      </c>
      <c r="AP14" s="26" t="s">
        <v>65</v>
      </c>
      <c r="AQ14" s="19"/>
    </row>
    <row r="15">
      <c r="A15" s="31">
        <v>9.0</v>
      </c>
      <c r="B15" s="32" t="s">
        <v>231</v>
      </c>
      <c r="C15" s="32" t="s">
        <v>232</v>
      </c>
      <c r="D15" s="39"/>
      <c r="E15" s="32" t="s">
        <v>49</v>
      </c>
      <c r="F15" s="37" t="s">
        <v>233</v>
      </c>
      <c r="G15" s="38">
        <v>9.911243304E9</v>
      </c>
      <c r="H15" s="32" t="s">
        <v>75</v>
      </c>
      <c r="I15" s="32" t="s">
        <v>76</v>
      </c>
      <c r="J15" s="32" t="s">
        <v>76</v>
      </c>
      <c r="K15" s="32" t="s">
        <v>55</v>
      </c>
      <c r="L15" s="32" t="s">
        <v>56</v>
      </c>
      <c r="M15" s="32" t="s">
        <v>57</v>
      </c>
      <c r="N15" s="32" t="s">
        <v>58</v>
      </c>
      <c r="O15" s="31">
        <v>450.0</v>
      </c>
      <c r="P15" s="31">
        <v>900.0</v>
      </c>
      <c r="Q15" s="32" t="s">
        <v>59</v>
      </c>
      <c r="R15" s="32" t="s">
        <v>58</v>
      </c>
      <c r="S15" s="32" t="s">
        <v>58</v>
      </c>
      <c r="T15" s="39"/>
      <c r="U15" s="39"/>
      <c r="V15" s="32" t="s">
        <v>61</v>
      </c>
      <c r="W15" s="32" t="s">
        <v>58</v>
      </c>
      <c r="X15" s="32" t="s">
        <v>58</v>
      </c>
      <c r="Y15" s="32" t="s">
        <v>58</v>
      </c>
      <c r="Z15" s="32" t="s">
        <v>58</v>
      </c>
      <c r="AA15" s="32" t="s">
        <v>58</v>
      </c>
      <c r="AB15" s="32" t="s">
        <v>58</v>
      </c>
      <c r="AC15" s="32" t="s">
        <v>58</v>
      </c>
      <c r="AD15" s="32" t="s">
        <v>58</v>
      </c>
      <c r="AE15" s="32" t="s">
        <v>58</v>
      </c>
      <c r="AF15" s="32" t="s">
        <v>61</v>
      </c>
      <c r="AG15" s="32" t="s">
        <v>61</v>
      </c>
      <c r="AH15" s="32" t="s">
        <v>58</v>
      </c>
      <c r="AI15" s="31">
        <v>50.0</v>
      </c>
      <c r="AJ15" s="31">
        <v>1000.0</v>
      </c>
      <c r="AK15" s="31">
        <v>50.0</v>
      </c>
      <c r="AL15" s="31">
        <v>0.0</v>
      </c>
      <c r="AM15" s="39"/>
      <c r="AN15" s="31">
        <v>450.0</v>
      </c>
      <c r="AO15" s="31">
        <v>900.0</v>
      </c>
      <c r="AP15" s="34" t="s">
        <v>65</v>
      </c>
      <c r="AQ15" s="21">
        <v>2.0</v>
      </c>
    </row>
    <row r="16">
      <c r="A16" s="31">
        <v>10.0</v>
      </c>
      <c r="B16" s="32" t="s">
        <v>248</v>
      </c>
      <c r="C16" s="32" t="s">
        <v>249</v>
      </c>
      <c r="D16" s="38" t="s">
        <v>250</v>
      </c>
      <c r="E16" s="32" t="s">
        <v>49</v>
      </c>
      <c r="F16" s="37" t="s">
        <v>252</v>
      </c>
      <c r="G16" s="38">
        <v>8.431075526E9</v>
      </c>
      <c r="H16" s="32" t="s">
        <v>253</v>
      </c>
      <c r="I16" s="32" t="s">
        <v>254</v>
      </c>
      <c r="J16" s="32" t="s">
        <v>254</v>
      </c>
      <c r="K16" s="32" t="s">
        <v>55</v>
      </c>
      <c r="L16" s="32" t="s">
        <v>56</v>
      </c>
      <c r="M16" s="32" t="s">
        <v>57</v>
      </c>
      <c r="N16" s="32" t="s">
        <v>58</v>
      </c>
      <c r="O16" s="31">
        <v>1200.0</v>
      </c>
      <c r="P16" s="39"/>
      <c r="Q16" s="32" t="s">
        <v>59</v>
      </c>
      <c r="R16" s="32" t="s">
        <v>58</v>
      </c>
      <c r="S16" s="32" t="s">
        <v>58</v>
      </c>
      <c r="T16" s="39"/>
      <c r="U16" s="39"/>
      <c r="V16" s="32" t="s">
        <v>61</v>
      </c>
      <c r="W16" s="32" t="s">
        <v>58</v>
      </c>
      <c r="X16" s="32" t="s">
        <v>58</v>
      </c>
      <c r="Y16" s="32" t="s">
        <v>58</v>
      </c>
      <c r="Z16" s="32" t="s">
        <v>58</v>
      </c>
      <c r="AA16" s="32" t="s">
        <v>58</v>
      </c>
      <c r="AB16" s="32" t="s">
        <v>58</v>
      </c>
      <c r="AC16" s="32" t="s">
        <v>58</v>
      </c>
      <c r="AD16" s="32" t="s">
        <v>58</v>
      </c>
      <c r="AE16" s="32" t="s">
        <v>58</v>
      </c>
      <c r="AF16" s="32" t="s">
        <v>61</v>
      </c>
      <c r="AG16" s="32" t="s">
        <v>61</v>
      </c>
      <c r="AH16" s="32" t="s">
        <v>58</v>
      </c>
      <c r="AI16" s="31">
        <v>100.0</v>
      </c>
      <c r="AJ16" s="31">
        <v>5000.0</v>
      </c>
      <c r="AK16" s="31">
        <v>100.0</v>
      </c>
      <c r="AL16" s="31">
        <v>0.0</v>
      </c>
      <c r="AM16" s="39"/>
      <c r="AN16" s="31">
        <v>1200.0</v>
      </c>
      <c r="AO16" s="31">
        <v>0.0</v>
      </c>
      <c r="AP16" s="34" t="s">
        <v>65</v>
      </c>
      <c r="AQ16" s="21">
        <v>2.0</v>
      </c>
    </row>
    <row r="17">
      <c r="A17" s="19">
        <v>11.0</v>
      </c>
      <c r="B17" s="20" t="s">
        <v>262</v>
      </c>
      <c r="C17" s="20" t="s">
        <v>263</v>
      </c>
      <c r="D17" s="20" t="s">
        <v>264</v>
      </c>
      <c r="E17" s="20" t="s">
        <v>49</v>
      </c>
      <c r="F17" s="23" t="s">
        <v>69</v>
      </c>
      <c r="G17" s="23">
        <v>7.947133836E9</v>
      </c>
      <c r="H17" s="20" t="s">
        <v>266</v>
      </c>
      <c r="I17" s="20" t="s">
        <v>267</v>
      </c>
      <c r="J17" s="20" t="s">
        <v>267</v>
      </c>
      <c r="K17" s="20" t="s">
        <v>55</v>
      </c>
      <c r="L17" s="20" t="s">
        <v>56</v>
      </c>
      <c r="M17" s="20" t="s">
        <v>57</v>
      </c>
      <c r="N17" s="20" t="s">
        <v>58</v>
      </c>
      <c r="O17" s="19">
        <v>1400.0</v>
      </c>
      <c r="P17" s="19">
        <v>1400.0</v>
      </c>
      <c r="Q17" s="20" t="s">
        <v>59</v>
      </c>
      <c r="R17" s="20" t="s">
        <v>58</v>
      </c>
      <c r="S17" s="20" t="s">
        <v>58</v>
      </c>
      <c r="T17" s="20" t="s">
        <v>270</v>
      </c>
      <c r="U17" s="25"/>
      <c r="V17" s="20" t="s">
        <v>61</v>
      </c>
      <c r="W17" s="20" t="s">
        <v>58</v>
      </c>
      <c r="X17" s="20" t="s">
        <v>58</v>
      </c>
      <c r="Y17" s="20" t="s">
        <v>58</v>
      </c>
      <c r="Z17" s="20" t="s">
        <v>58</v>
      </c>
      <c r="AA17" s="20" t="s">
        <v>58</v>
      </c>
      <c r="AB17" s="20" t="s">
        <v>58</v>
      </c>
      <c r="AC17" s="20" t="s">
        <v>58</v>
      </c>
      <c r="AD17" s="20" t="s">
        <v>58</v>
      </c>
      <c r="AE17" s="20" t="s">
        <v>58</v>
      </c>
      <c r="AF17" s="20" t="s">
        <v>61</v>
      </c>
      <c r="AG17" s="20" t="s">
        <v>61</v>
      </c>
      <c r="AH17" s="20" t="s">
        <v>58</v>
      </c>
      <c r="AI17" s="19">
        <v>25.0</v>
      </c>
      <c r="AJ17" s="19">
        <v>5000.0</v>
      </c>
      <c r="AK17" s="19">
        <v>25.0</v>
      </c>
      <c r="AL17" s="19">
        <v>0.0</v>
      </c>
      <c r="AM17" s="25"/>
      <c r="AN17" s="19">
        <v>1400.0</v>
      </c>
      <c r="AO17" s="19">
        <v>1400.0</v>
      </c>
      <c r="AP17" s="26" t="s">
        <v>65</v>
      </c>
      <c r="AQ17" s="19"/>
    </row>
    <row r="18" ht="17.25" customHeight="1">
      <c r="A18" s="31">
        <v>12.0</v>
      </c>
      <c r="B18" s="32" t="s">
        <v>276</v>
      </c>
      <c r="C18" s="32" t="s">
        <v>277</v>
      </c>
      <c r="D18" s="32" t="s">
        <v>278</v>
      </c>
      <c r="E18" s="32" t="s">
        <v>49</v>
      </c>
      <c r="F18" s="37" t="s">
        <v>279</v>
      </c>
      <c r="G18" s="38" t="s">
        <v>281</v>
      </c>
      <c r="H18" s="32" t="s">
        <v>75</v>
      </c>
      <c r="I18" s="32" t="s">
        <v>76</v>
      </c>
      <c r="J18" s="32" t="s">
        <v>76</v>
      </c>
      <c r="K18" s="32" t="s">
        <v>55</v>
      </c>
      <c r="L18" s="32" t="s">
        <v>56</v>
      </c>
      <c r="M18" s="32" t="s">
        <v>57</v>
      </c>
      <c r="N18" s="32" t="s">
        <v>58</v>
      </c>
      <c r="O18" s="31">
        <v>1100.0</v>
      </c>
      <c r="P18" s="31">
        <v>1150.0</v>
      </c>
      <c r="Q18" s="32" t="s">
        <v>59</v>
      </c>
      <c r="R18" s="32" t="s">
        <v>58</v>
      </c>
      <c r="S18" s="32" t="s">
        <v>58</v>
      </c>
      <c r="T18" s="32" t="s">
        <v>287</v>
      </c>
      <c r="U18" s="32" t="s">
        <v>288</v>
      </c>
      <c r="V18" s="32" t="s">
        <v>61</v>
      </c>
      <c r="W18" s="32" t="s">
        <v>58</v>
      </c>
      <c r="X18" s="32" t="s">
        <v>58</v>
      </c>
      <c r="Y18" s="32" t="s">
        <v>58</v>
      </c>
      <c r="Z18" s="32" t="s">
        <v>58</v>
      </c>
      <c r="AA18" s="32" t="s">
        <v>58</v>
      </c>
      <c r="AB18" s="32" t="s">
        <v>58</v>
      </c>
      <c r="AC18" s="32" t="s">
        <v>58</v>
      </c>
      <c r="AD18" s="32" t="s">
        <v>58</v>
      </c>
      <c r="AE18" s="32" t="s">
        <v>58</v>
      </c>
      <c r="AF18" s="32" t="s">
        <v>61</v>
      </c>
      <c r="AG18" s="32" t="s">
        <v>61</v>
      </c>
      <c r="AH18" s="32" t="s">
        <v>58</v>
      </c>
      <c r="AI18" s="31">
        <v>30.0</v>
      </c>
      <c r="AJ18" s="31">
        <v>2000.0</v>
      </c>
      <c r="AK18" s="31">
        <v>30.0</v>
      </c>
      <c r="AL18" s="31">
        <v>0.0</v>
      </c>
      <c r="AM18" s="39"/>
      <c r="AN18" s="31">
        <v>1100.0</v>
      </c>
      <c r="AO18" s="31">
        <v>1150.0</v>
      </c>
      <c r="AP18" s="34" t="s">
        <v>65</v>
      </c>
      <c r="AQ18" s="21">
        <v>2.0</v>
      </c>
    </row>
    <row r="19" ht="18.0" customHeight="1">
      <c r="A19" s="31">
        <v>13.0</v>
      </c>
      <c r="B19" s="32" t="s">
        <v>77</v>
      </c>
      <c r="C19" s="32" t="s">
        <v>78</v>
      </c>
      <c r="D19" s="32" t="s">
        <v>79</v>
      </c>
      <c r="E19" s="32" t="s">
        <v>49</v>
      </c>
      <c r="F19" s="37" t="s">
        <v>80</v>
      </c>
      <c r="G19" s="38">
        <v>7.947117379E9</v>
      </c>
      <c r="H19" s="32" t="s">
        <v>75</v>
      </c>
      <c r="I19" s="32" t="s">
        <v>76</v>
      </c>
      <c r="J19" s="32" t="s">
        <v>76</v>
      </c>
      <c r="K19" s="32" t="s">
        <v>55</v>
      </c>
      <c r="L19" s="32" t="s">
        <v>56</v>
      </c>
      <c r="M19" s="32" t="s">
        <v>57</v>
      </c>
      <c r="N19" s="32" t="s">
        <v>58</v>
      </c>
      <c r="O19" s="31">
        <v>2000.0</v>
      </c>
      <c r="P19" s="31">
        <v>2200.0</v>
      </c>
      <c r="Q19" s="32" t="s">
        <v>59</v>
      </c>
      <c r="R19" s="32" t="s">
        <v>58</v>
      </c>
      <c r="S19" s="32" t="s">
        <v>58</v>
      </c>
      <c r="T19" s="32" t="s">
        <v>299</v>
      </c>
      <c r="U19" s="32" t="s">
        <v>300</v>
      </c>
      <c r="V19" s="32" t="s">
        <v>61</v>
      </c>
      <c r="W19" s="32" t="s">
        <v>58</v>
      </c>
      <c r="X19" s="32" t="s">
        <v>58</v>
      </c>
      <c r="Y19" s="32" t="s">
        <v>58</v>
      </c>
      <c r="Z19" s="32" t="s">
        <v>58</v>
      </c>
      <c r="AA19" s="32" t="s">
        <v>58</v>
      </c>
      <c r="AB19" s="32" t="s">
        <v>58</v>
      </c>
      <c r="AC19" s="32" t="s">
        <v>58</v>
      </c>
      <c r="AD19" s="32" t="s">
        <v>58</v>
      </c>
      <c r="AE19" s="32" t="s">
        <v>58</v>
      </c>
      <c r="AF19" s="32" t="s">
        <v>61</v>
      </c>
      <c r="AG19" s="32" t="s">
        <v>61</v>
      </c>
      <c r="AH19" s="32" t="s">
        <v>58</v>
      </c>
      <c r="AI19" s="31">
        <v>25.0</v>
      </c>
      <c r="AJ19" s="31">
        <v>1500.0</v>
      </c>
      <c r="AK19" s="31">
        <v>25.0</v>
      </c>
      <c r="AL19" s="31">
        <v>0.0</v>
      </c>
      <c r="AM19" s="39"/>
      <c r="AN19" s="31">
        <v>2000.0</v>
      </c>
      <c r="AO19" s="31">
        <v>2200.0</v>
      </c>
      <c r="AP19" s="34" t="s">
        <v>65</v>
      </c>
      <c r="AQ19" s="21">
        <v>2.0</v>
      </c>
    </row>
    <row r="20">
      <c r="A20" s="31">
        <v>14.0</v>
      </c>
      <c r="B20" s="32" t="s">
        <v>295</v>
      </c>
      <c r="C20" s="32" t="s">
        <v>296</v>
      </c>
      <c r="D20" s="32" t="s">
        <v>297</v>
      </c>
      <c r="E20" s="32" t="s">
        <v>49</v>
      </c>
      <c r="F20" s="37" t="s">
        <v>298</v>
      </c>
      <c r="G20" s="38" t="s">
        <v>301</v>
      </c>
      <c r="H20" s="32" t="s">
        <v>302</v>
      </c>
      <c r="I20" s="32" t="s">
        <v>303</v>
      </c>
      <c r="J20" s="32" t="s">
        <v>74</v>
      </c>
      <c r="K20" s="32" t="s">
        <v>55</v>
      </c>
      <c r="L20" s="32" t="s">
        <v>56</v>
      </c>
      <c r="M20" s="32" t="s">
        <v>57</v>
      </c>
      <c r="N20" s="32" t="s">
        <v>58</v>
      </c>
      <c r="O20" s="31">
        <v>1000.0</v>
      </c>
      <c r="P20" s="31">
        <v>2000.0</v>
      </c>
      <c r="Q20" s="32" t="s">
        <v>59</v>
      </c>
      <c r="R20" s="32" t="s">
        <v>58</v>
      </c>
      <c r="S20" s="32" t="s">
        <v>58</v>
      </c>
      <c r="T20" s="32" t="s">
        <v>305</v>
      </c>
      <c r="U20" s="39"/>
      <c r="V20" s="32" t="s">
        <v>61</v>
      </c>
      <c r="W20" s="32" t="s">
        <v>58</v>
      </c>
      <c r="X20" s="32" t="s">
        <v>58</v>
      </c>
      <c r="Y20" s="32" t="s">
        <v>58</v>
      </c>
      <c r="Z20" s="32" t="s">
        <v>58</v>
      </c>
      <c r="AA20" s="32" t="s">
        <v>58</v>
      </c>
      <c r="AB20" s="32" t="s">
        <v>58</v>
      </c>
      <c r="AC20" s="32" t="s">
        <v>58</v>
      </c>
      <c r="AD20" s="32" t="s">
        <v>58</v>
      </c>
      <c r="AE20" s="32" t="s">
        <v>58</v>
      </c>
      <c r="AF20" s="32" t="s">
        <v>61</v>
      </c>
      <c r="AG20" s="32" t="s">
        <v>61</v>
      </c>
      <c r="AH20" s="32" t="s">
        <v>58</v>
      </c>
      <c r="AI20" s="31">
        <v>50.0</v>
      </c>
      <c r="AJ20" s="31">
        <v>3000.0</v>
      </c>
      <c r="AK20" s="31">
        <v>50.0</v>
      </c>
      <c r="AL20" s="31">
        <v>0.0</v>
      </c>
      <c r="AM20" s="39"/>
      <c r="AN20" s="31">
        <v>1000.0</v>
      </c>
      <c r="AO20" s="31">
        <v>2000.0</v>
      </c>
      <c r="AP20" s="21" t="s">
        <v>65</v>
      </c>
      <c r="AQ20" s="21">
        <v>2.0</v>
      </c>
    </row>
    <row r="21">
      <c r="A21" s="19">
        <v>15.0</v>
      </c>
      <c r="B21" s="20" t="s">
        <v>309</v>
      </c>
      <c r="C21" s="20" t="s">
        <v>310</v>
      </c>
      <c r="D21" s="20" t="s">
        <v>312</v>
      </c>
      <c r="E21" s="20" t="s">
        <v>49</v>
      </c>
      <c r="F21" s="23" t="s">
        <v>69</v>
      </c>
      <c r="G21" s="23" t="s">
        <v>69</v>
      </c>
      <c r="H21" s="20" t="s">
        <v>75</v>
      </c>
      <c r="I21" s="20" t="s">
        <v>76</v>
      </c>
      <c r="J21" s="20" t="s">
        <v>76</v>
      </c>
      <c r="K21" s="20" t="s">
        <v>55</v>
      </c>
      <c r="L21" s="20" t="s">
        <v>56</v>
      </c>
      <c r="M21" s="20" t="s">
        <v>57</v>
      </c>
      <c r="N21" s="20" t="s">
        <v>58</v>
      </c>
      <c r="O21" s="19">
        <v>800.0</v>
      </c>
      <c r="P21" s="19">
        <v>900.0</v>
      </c>
      <c r="Q21" s="20" t="s">
        <v>59</v>
      </c>
      <c r="R21" s="20" t="s">
        <v>58</v>
      </c>
      <c r="S21" s="20" t="s">
        <v>58</v>
      </c>
      <c r="T21" s="20" t="s">
        <v>318</v>
      </c>
      <c r="U21" s="25"/>
      <c r="V21" s="20" t="s">
        <v>61</v>
      </c>
      <c r="W21" s="20" t="s">
        <v>58</v>
      </c>
      <c r="X21" s="20" t="s">
        <v>58</v>
      </c>
      <c r="Y21" s="20" t="s">
        <v>58</v>
      </c>
      <c r="Z21" s="20" t="s">
        <v>58</v>
      </c>
      <c r="AA21" s="20" t="s">
        <v>58</v>
      </c>
      <c r="AB21" s="20" t="s">
        <v>58</v>
      </c>
      <c r="AC21" s="20" t="s">
        <v>58</v>
      </c>
      <c r="AD21" s="20" t="s">
        <v>58</v>
      </c>
      <c r="AE21" s="20" t="s">
        <v>58</v>
      </c>
      <c r="AF21" s="20" t="s">
        <v>61</v>
      </c>
      <c r="AG21" s="20" t="s">
        <v>61</v>
      </c>
      <c r="AH21" s="20" t="s">
        <v>58</v>
      </c>
      <c r="AI21" s="19">
        <v>20.0</v>
      </c>
      <c r="AJ21" s="19">
        <v>2000.0</v>
      </c>
      <c r="AK21" s="19">
        <v>20.0</v>
      </c>
      <c r="AL21" s="19">
        <v>0.0</v>
      </c>
      <c r="AM21" s="20" t="s">
        <v>321</v>
      </c>
      <c r="AN21" s="19">
        <v>800.0</v>
      </c>
      <c r="AO21" s="19">
        <v>900.0</v>
      </c>
      <c r="AP21" s="26" t="s">
        <v>65</v>
      </c>
      <c r="AQ21" s="19"/>
    </row>
    <row r="22">
      <c r="A22" s="19">
        <v>16.0</v>
      </c>
      <c r="B22" s="20" t="s">
        <v>322</v>
      </c>
      <c r="C22" s="20" t="s">
        <v>323</v>
      </c>
      <c r="D22" s="23" t="s">
        <v>324</v>
      </c>
      <c r="E22" s="20" t="s">
        <v>49</v>
      </c>
      <c r="F22" s="23" t="s">
        <v>69</v>
      </c>
      <c r="G22" s="23" t="s">
        <v>69</v>
      </c>
      <c r="H22" s="20" t="s">
        <v>325</v>
      </c>
      <c r="I22" s="20" t="s">
        <v>326</v>
      </c>
      <c r="J22" s="20" t="s">
        <v>326</v>
      </c>
      <c r="K22" s="20" t="s">
        <v>55</v>
      </c>
      <c r="L22" s="20" t="s">
        <v>56</v>
      </c>
      <c r="M22" s="20" t="s">
        <v>57</v>
      </c>
      <c r="N22" s="20" t="s">
        <v>58</v>
      </c>
      <c r="O22" s="19">
        <v>3000.0</v>
      </c>
      <c r="P22" s="19">
        <v>800.0</v>
      </c>
      <c r="Q22" s="20" t="s">
        <v>59</v>
      </c>
      <c r="R22" s="20" t="s">
        <v>58</v>
      </c>
      <c r="S22" s="20" t="s">
        <v>58</v>
      </c>
      <c r="T22" s="25"/>
      <c r="U22" s="25"/>
      <c r="V22" s="20" t="s">
        <v>61</v>
      </c>
      <c r="W22" s="20" t="s">
        <v>58</v>
      </c>
      <c r="X22" s="20" t="s">
        <v>58</v>
      </c>
      <c r="Y22" s="20" t="s">
        <v>58</v>
      </c>
      <c r="Z22" s="20" t="s">
        <v>58</v>
      </c>
      <c r="AA22" s="20" t="s">
        <v>58</v>
      </c>
      <c r="AB22" s="20" t="s">
        <v>58</v>
      </c>
      <c r="AC22" s="20" t="s">
        <v>58</v>
      </c>
      <c r="AD22" s="20" t="s">
        <v>58</v>
      </c>
      <c r="AE22" s="20" t="s">
        <v>58</v>
      </c>
      <c r="AF22" s="20" t="s">
        <v>61</v>
      </c>
      <c r="AG22" s="20" t="s">
        <v>61</v>
      </c>
      <c r="AH22" s="20" t="s">
        <v>58</v>
      </c>
      <c r="AI22" s="19">
        <v>100.0</v>
      </c>
      <c r="AJ22" s="19">
        <v>2500.0</v>
      </c>
      <c r="AK22" s="19">
        <v>100.0</v>
      </c>
      <c r="AL22" s="19">
        <v>0.0</v>
      </c>
      <c r="AM22" s="25"/>
      <c r="AN22" s="19">
        <v>3000.0</v>
      </c>
      <c r="AO22" s="19">
        <v>800.0</v>
      </c>
      <c r="AP22" s="26" t="s">
        <v>65</v>
      </c>
      <c r="AQ22" s="19"/>
    </row>
    <row r="23">
      <c r="A23" s="19">
        <v>17.0</v>
      </c>
      <c r="B23" s="20" t="s">
        <v>234</v>
      </c>
      <c r="C23" s="20" t="s">
        <v>235</v>
      </c>
      <c r="D23" s="23" t="s">
        <v>336</v>
      </c>
      <c r="E23" s="20" t="s">
        <v>49</v>
      </c>
      <c r="F23" s="23" t="s">
        <v>69</v>
      </c>
      <c r="G23" s="23" t="s">
        <v>338</v>
      </c>
      <c r="H23" s="20" t="s">
        <v>245</v>
      </c>
      <c r="I23" s="20" t="s">
        <v>246</v>
      </c>
      <c r="J23" s="20" t="s">
        <v>246</v>
      </c>
      <c r="K23" s="20" t="s">
        <v>55</v>
      </c>
      <c r="L23" s="20" t="s">
        <v>56</v>
      </c>
      <c r="M23" s="20" t="s">
        <v>57</v>
      </c>
      <c r="N23" s="20" t="s">
        <v>58</v>
      </c>
      <c r="O23" s="19">
        <v>250.0</v>
      </c>
      <c r="P23" s="19">
        <v>300.0</v>
      </c>
      <c r="Q23" s="20" t="s">
        <v>59</v>
      </c>
      <c r="R23" s="20" t="s">
        <v>58</v>
      </c>
      <c r="S23" s="20" t="s">
        <v>58</v>
      </c>
      <c r="T23" s="25"/>
      <c r="U23" s="25"/>
      <c r="V23" s="20" t="s">
        <v>61</v>
      </c>
      <c r="W23" s="20" t="s">
        <v>58</v>
      </c>
      <c r="X23" s="20" t="s">
        <v>58</v>
      </c>
      <c r="Y23" s="20" t="s">
        <v>58</v>
      </c>
      <c r="Z23" s="20" t="s">
        <v>58</v>
      </c>
      <c r="AA23" s="20" t="s">
        <v>58</v>
      </c>
      <c r="AB23" s="20" t="s">
        <v>58</v>
      </c>
      <c r="AC23" s="20" t="s">
        <v>58</v>
      </c>
      <c r="AD23" s="20" t="s">
        <v>58</v>
      </c>
      <c r="AE23" s="20" t="s">
        <v>58</v>
      </c>
      <c r="AF23" s="20" t="s">
        <v>61</v>
      </c>
      <c r="AG23" s="20" t="s">
        <v>61</v>
      </c>
      <c r="AH23" s="20" t="s">
        <v>58</v>
      </c>
      <c r="AI23" s="19">
        <v>30.0</v>
      </c>
      <c r="AJ23" s="19">
        <v>2500.0</v>
      </c>
      <c r="AK23" s="19">
        <v>30.0</v>
      </c>
      <c r="AL23" s="19">
        <v>0.0</v>
      </c>
      <c r="AM23" s="25"/>
      <c r="AN23" s="19">
        <v>250.0</v>
      </c>
      <c r="AO23" s="19">
        <v>300.0</v>
      </c>
      <c r="AP23" s="26" t="s">
        <v>65</v>
      </c>
      <c r="AQ23" s="19"/>
    </row>
    <row r="24">
      <c r="A24" s="19">
        <v>18.0</v>
      </c>
      <c r="B24" s="20" t="s">
        <v>354</v>
      </c>
      <c r="C24" s="20" t="s">
        <v>355</v>
      </c>
      <c r="D24" s="23" t="s">
        <v>356</v>
      </c>
      <c r="E24" s="20" t="s">
        <v>49</v>
      </c>
      <c r="F24" s="23" t="s">
        <v>69</v>
      </c>
      <c r="G24" s="23" t="s">
        <v>357</v>
      </c>
      <c r="H24" s="20" t="s">
        <v>75</v>
      </c>
      <c r="I24" s="20" t="s">
        <v>76</v>
      </c>
      <c r="J24" s="20" t="s">
        <v>76</v>
      </c>
      <c r="K24" s="20" t="s">
        <v>55</v>
      </c>
      <c r="L24" s="20" t="s">
        <v>56</v>
      </c>
      <c r="M24" s="20" t="s">
        <v>57</v>
      </c>
      <c r="N24" s="20" t="s">
        <v>58</v>
      </c>
      <c r="O24" s="19">
        <v>800.0</v>
      </c>
      <c r="P24" s="25"/>
      <c r="Q24" s="20" t="s">
        <v>59</v>
      </c>
      <c r="R24" s="20" t="s">
        <v>58</v>
      </c>
      <c r="S24" s="20" t="s">
        <v>58</v>
      </c>
      <c r="T24" s="25"/>
      <c r="U24" s="25"/>
      <c r="V24" s="20" t="s">
        <v>61</v>
      </c>
      <c r="W24" s="20" t="s">
        <v>58</v>
      </c>
      <c r="X24" s="20" t="s">
        <v>58</v>
      </c>
      <c r="Y24" s="20" t="s">
        <v>58</v>
      </c>
      <c r="Z24" s="20" t="s">
        <v>58</v>
      </c>
      <c r="AA24" s="20" t="s">
        <v>58</v>
      </c>
      <c r="AB24" s="20" t="s">
        <v>58</v>
      </c>
      <c r="AC24" s="20" t="s">
        <v>58</v>
      </c>
      <c r="AD24" s="20" t="s">
        <v>58</v>
      </c>
      <c r="AE24" s="20" t="s">
        <v>58</v>
      </c>
      <c r="AF24" s="20" t="s">
        <v>61</v>
      </c>
      <c r="AG24" s="20" t="s">
        <v>61</v>
      </c>
      <c r="AH24" s="20" t="s">
        <v>58</v>
      </c>
      <c r="AI24" s="19">
        <v>300.0</v>
      </c>
      <c r="AJ24" s="19">
        <v>3000.0</v>
      </c>
      <c r="AK24" s="19">
        <v>300.0</v>
      </c>
      <c r="AL24" s="19">
        <v>0.0</v>
      </c>
      <c r="AM24" s="25"/>
      <c r="AN24" s="19">
        <v>800.0</v>
      </c>
      <c r="AO24" s="19">
        <v>0.0</v>
      </c>
      <c r="AP24" s="26" t="s">
        <v>65</v>
      </c>
      <c r="AQ24" s="19"/>
    </row>
    <row r="25">
      <c r="A25" s="31">
        <v>19.0</v>
      </c>
      <c r="B25" s="32" t="s">
        <v>363</v>
      </c>
      <c r="C25" s="32" t="s">
        <v>365</v>
      </c>
      <c r="D25" s="38" t="s">
        <v>367</v>
      </c>
      <c r="E25" s="32" t="s">
        <v>49</v>
      </c>
      <c r="F25" s="37" t="s">
        <v>369</v>
      </c>
      <c r="G25" s="38" t="s">
        <v>375</v>
      </c>
      <c r="H25" s="32" t="s">
        <v>376</v>
      </c>
      <c r="I25" s="32" t="s">
        <v>377</v>
      </c>
      <c r="J25" s="32" t="s">
        <v>377</v>
      </c>
      <c r="K25" s="32" t="s">
        <v>55</v>
      </c>
      <c r="L25" s="32" t="s">
        <v>56</v>
      </c>
      <c r="M25" s="32" t="s">
        <v>57</v>
      </c>
      <c r="N25" s="32" t="s">
        <v>58</v>
      </c>
      <c r="O25" s="31">
        <v>1400.0</v>
      </c>
      <c r="P25" s="31">
        <v>1600.0</v>
      </c>
      <c r="Q25" s="32" t="s">
        <v>59</v>
      </c>
      <c r="R25" s="32" t="s">
        <v>58</v>
      </c>
      <c r="S25" s="32" t="s">
        <v>58</v>
      </c>
      <c r="T25" s="39"/>
      <c r="U25" s="39"/>
      <c r="V25" s="32" t="s">
        <v>61</v>
      </c>
      <c r="W25" s="32" t="s">
        <v>58</v>
      </c>
      <c r="X25" s="32" t="s">
        <v>58</v>
      </c>
      <c r="Y25" s="32" t="s">
        <v>58</v>
      </c>
      <c r="Z25" s="32" t="s">
        <v>58</v>
      </c>
      <c r="AA25" s="32" t="s">
        <v>58</v>
      </c>
      <c r="AB25" s="32" t="s">
        <v>58</v>
      </c>
      <c r="AC25" s="32" t="s">
        <v>58</v>
      </c>
      <c r="AD25" s="32" t="s">
        <v>58</v>
      </c>
      <c r="AE25" s="32" t="s">
        <v>58</v>
      </c>
      <c r="AF25" s="32" t="s">
        <v>61</v>
      </c>
      <c r="AG25" s="32" t="s">
        <v>61</v>
      </c>
      <c r="AH25" s="32" t="s">
        <v>58</v>
      </c>
      <c r="AI25" s="31">
        <v>25.0</v>
      </c>
      <c r="AJ25" s="31">
        <v>1000.0</v>
      </c>
      <c r="AK25" s="31">
        <v>25.0</v>
      </c>
      <c r="AL25" s="31">
        <v>0.0</v>
      </c>
      <c r="AM25" s="39"/>
      <c r="AN25" s="31">
        <v>1400.0</v>
      </c>
      <c r="AO25" s="31">
        <v>1600.0</v>
      </c>
      <c r="AP25" s="34" t="s">
        <v>65</v>
      </c>
      <c r="AQ25" s="21">
        <v>2.0</v>
      </c>
    </row>
    <row r="26">
      <c r="A26" s="19">
        <v>20.0</v>
      </c>
      <c r="B26" s="20" t="s">
        <v>391</v>
      </c>
      <c r="C26" s="20" t="s">
        <v>393</v>
      </c>
      <c r="D26" s="23" t="s">
        <v>394</v>
      </c>
      <c r="E26" s="20" t="s">
        <v>49</v>
      </c>
      <c r="F26" s="23" t="s">
        <v>69</v>
      </c>
      <c r="G26" s="23" t="s">
        <v>396</v>
      </c>
      <c r="H26" s="20" t="s">
        <v>397</v>
      </c>
      <c r="I26" s="20" t="s">
        <v>398</v>
      </c>
      <c r="J26" s="20" t="s">
        <v>398</v>
      </c>
      <c r="K26" s="20" t="s">
        <v>55</v>
      </c>
      <c r="L26" s="20" t="s">
        <v>56</v>
      </c>
      <c r="M26" s="20" t="s">
        <v>57</v>
      </c>
      <c r="N26" s="20" t="s">
        <v>58</v>
      </c>
      <c r="O26" s="19">
        <v>600.0</v>
      </c>
      <c r="P26" s="19">
        <v>750.0</v>
      </c>
      <c r="Q26" s="20" t="s">
        <v>59</v>
      </c>
      <c r="R26" s="20" t="s">
        <v>58</v>
      </c>
      <c r="S26" s="20" t="s">
        <v>58</v>
      </c>
      <c r="T26" s="25"/>
      <c r="U26" s="25"/>
      <c r="V26" s="20" t="s">
        <v>61</v>
      </c>
      <c r="W26" s="20" t="s">
        <v>58</v>
      </c>
      <c r="X26" s="20" t="s">
        <v>58</v>
      </c>
      <c r="Y26" s="20" t="s">
        <v>58</v>
      </c>
      <c r="Z26" s="20" t="s">
        <v>58</v>
      </c>
      <c r="AA26" s="20" t="s">
        <v>58</v>
      </c>
      <c r="AB26" s="20" t="s">
        <v>58</v>
      </c>
      <c r="AC26" s="20" t="s">
        <v>58</v>
      </c>
      <c r="AD26" s="20" t="s">
        <v>58</v>
      </c>
      <c r="AE26" s="20" t="s">
        <v>58</v>
      </c>
      <c r="AF26" s="20" t="s">
        <v>61</v>
      </c>
      <c r="AG26" s="20" t="s">
        <v>61</v>
      </c>
      <c r="AH26" s="20" t="s">
        <v>58</v>
      </c>
      <c r="AI26" s="19">
        <v>100.0</v>
      </c>
      <c r="AJ26" s="19">
        <v>5000.0</v>
      </c>
      <c r="AK26" s="19">
        <v>100.0</v>
      </c>
      <c r="AL26" s="19">
        <v>0.0</v>
      </c>
      <c r="AM26" s="25"/>
      <c r="AN26" s="19">
        <v>600.0</v>
      </c>
      <c r="AO26" s="19">
        <v>750.0</v>
      </c>
      <c r="AP26" s="26" t="s">
        <v>65</v>
      </c>
      <c r="AQ26" s="19"/>
    </row>
    <row r="27">
      <c r="A27" s="19">
        <v>21.0</v>
      </c>
      <c r="B27" s="20" t="s">
        <v>154</v>
      </c>
      <c r="C27" s="20" t="s">
        <v>156</v>
      </c>
      <c r="D27" s="23" t="s">
        <v>410</v>
      </c>
      <c r="E27" s="20" t="s">
        <v>49</v>
      </c>
      <c r="F27" s="23" t="s">
        <v>69</v>
      </c>
      <c r="G27" s="23">
        <v>7.947115951E9</v>
      </c>
      <c r="H27" s="20" t="s">
        <v>160</v>
      </c>
      <c r="I27" s="20" t="s">
        <v>161</v>
      </c>
      <c r="J27" s="20" t="s">
        <v>161</v>
      </c>
      <c r="K27" s="20" t="s">
        <v>55</v>
      </c>
      <c r="L27" s="20" t="s">
        <v>56</v>
      </c>
      <c r="M27" s="20" t="s">
        <v>57</v>
      </c>
      <c r="N27" s="20" t="s">
        <v>58</v>
      </c>
      <c r="O27" s="19">
        <v>500.0</v>
      </c>
      <c r="P27" s="19">
        <v>1300.0</v>
      </c>
      <c r="Q27" s="20" t="s">
        <v>59</v>
      </c>
      <c r="R27" s="20" t="s">
        <v>58</v>
      </c>
      <c r="S27" s="20" t="s">
        <v>58</v>
      </c>
      <c r="T27" s="25"/>
      <c r="U27" s="25"/>
      <c r="V27" s="20" t="s">
        <v>61</v>
      </c>
      <c r="W27" s="20" t="s">
        <v>58</v>
      </c>
      <c r="X27" s="20" t="s">
        <v>58</v>
      </c>
      <c r="Y27" s="20" t="s">
        <v>58</v>
      </c>
      <c r="Z27" s="20" t="s">
        <v>58</v>
      </c>
      <c r="AA27" s="20" t="s">
        <v>58</v>
      </c>
      <c r="AB27" s="20" t="s">
        <v>58</v>
      </c>
      <c r="AC27" s="20" t="s">
        <v>58</v>
      </c>
      <c r="AD27" s="20" t="s">
        <v>58</v>
      </c>
      <c r="AE27" s="20" t="s">
        <v>58</v>
      </c>
      <c r="AF27" s="20" t="s">
        <v>61</v>
      </c>
      <c r="AG27" s="20" t="s">
        <v>61</v>
      </c>
      <c r="AH27" s="20" t="s">
        <v>58</v>
      </c>
      <c r="AI27" s="19">
        <v>50.0</v>
      </c>
      <c r="AJ27" s="19">
        <v>800.0</v>
      </c>
      <c r="AK27" s="19">
        <v>50.0</v>
      </c>
      <c r="AL27" s="19">
        <v>0.0</v>
      </c>
      <c r="AM27" s="25"/>
      <c r="AN27" s="19">
        <v>500.0</v>
      </c>
      <c r="AO27" s="19">
        <v>1300.0</v>
      </c>
      <c r="AP27" s="26" t="s">
        <v>65</v>
      </c>
      <c r="AQ27" s="19"/>
    </row>
    <row r="28">
      <c r="A28" s="19">
        <v>22.0</v>
      </c>
      <c r="B28" s="20" t="s">
        <v>420</v>
      </c>
      <c r="C28" s="20" t="s">
        <v>421</v>
      </c>
      <c r="D28" s="23" t="s">
        <v>422</v>
      </c>
      <c r="E28" s="20" t="s">
        <v>49</v>
      </c>
      <c r="F28" s="23" t="s">
        <v>69</v>
      </c>
      <c r="G28" s="23" t="s">
        <v>423</v>
      </c>
      <c r="H28" s="20" t="s">
        <v>75</v>
      </c>
      <c r="I28" s="20" t="s">
        <v>76</v>
      </c>
      <c r="J28" s="20" t="s">
        <v>76</v>
      </c>
      <c r="K28" s="20" t="s">
        <v>55</v>
      </c>
      <c r="L28" s="20" t="s">
        <v>56</v>
      </c>
      <c r="M28" s="20" t="s">
        <v>57</v>
      </c>
      <c r="N28" s="20" t="s">
        <v>58</v>
      </c>
      <c r="O28" s="19">
        <v>1100.0</v>
      </c>
      <c r="P28" s="19">
        <v>1500.0</v>
      </c>
      <c r="Q28" s="20" t="s">
        <v>59</v>
      </c>
      <c r="R28" s="20" t="s">
        <v>58</v>
      </c>
      <c r="S28" s="20" t="s">
        <v>58</v>
      </c>
      <c r="T28" s="25"/>
      <c r="U28" s="25"/>
      <c r="V28" s="20" t="s">
        <v>61</v>
      </c>
      <c r="W28" s="20" t="s">
        <v>58</v>
      </c>
      <c r="X28" s="20" t="s">
        <v>58</v>
      </c>
      <c r="Y28" s="20" t="s">
        <v>58</v>
      </c>
      <c r="Z28" s="20" t="s">
        <v>58</v>
      </c>
      <c r="AA28" s="20" t="s">
        <v>58</v>
      </c>
      <c r="AB28" s="20" t="s">
        <v>58</v>
      </c>
      <c r="AC28" s="20" t="s">
        <v>58</v>
      </c>
      <c r="AD28" s="20" t="s">
        <v>58</v>
      </c>
      <c r="AE28" s="20" t="s">
        <v>58</v>
      </c>
      <c r="AF28" s="20" t="s">
        <v>61</v>
      </c>
      <c r="AG28" s="20" t="s">
        <v>61</v>
      </c>
      <c r="AH28" s="20" t="s">
        <v>58</v>
      </c>
      <c r="AI28" s="19">
        <v>30.0</v>
      </c>
      <c r="AJ28" s="19">
        <v>3000.0</v>
      </c>
      <c r="AK28" s="19">
        <v>30.0</v>
      </c>
      <c r="AL28" s="19">
        <v>0.0</v>
      </c>
      <c r="AM28" s="25"/>
      <c r="AN28" s="19">
        <v>1100.0</v>
      </c>
      <c r="AO28" s="19">
        <v>1500.0</v>
      </c>
      <c r="AP28" s="26" t="s">
        <v>65</v>
      </c>
      <c r="AQ28" s="19"/>
    </row>
    <row r="29">
      <c r="A29" s="19">
        <v>23.0</v>
      </c>
      <c r="B29" s="20" t="s">
        <v>46</v>
      </c>
      <c r="C29" s="20" t="s">
        <v>47</v>
      </c>
      <c r="D29" s="23" t="s">
        <v>429</v>
      </c>
      <c r="E29" s="20" t="s">
        <v>49</v>
      </c>
      <c r="F29" s="25"/>
      <c r="G29" s="25"/>
      <c r="H29" s="20" t="s">
        <v>53</v>
      </c>
      <c r="I29" s="20" t="s">
        <v>54</v>
      </c>
      <c r="J29" s="20" t="s">
        <v>54</v>
      </c>
      <c r="K29" s="20" t="s">
        <v>55</v>
      </c>
      <c r="L29" s="20" t="s">
        <v>56</v>
      </c>
      <c r="M29" s="20" t="s">
        <v>57</v>
      </c>
      <c r="N29" s="20" t="s">
        <v>58</v>
      </c>
      <c r="O29" s="19">
        <v>1000.0</v>
      </c>
      <c r="P29" s="19">
        <v>1200.0</v>
      </c>
      <c r="Q29" s="20" t="s">
        <v>59</v>
      </c>
      <c r="R29" s="20" t="s">
        <v>58</v>
      </c>
      <c r="S29" s="20" t="s">
        <v>58</v>
      </c>
      <c r="T29" s="25"/>
      <c r="U29" s="25"/>
      <c r="V29" s="20" t="s">
        <v>61</v>
      </c>
      <c r="W29" s="20" t="s">
        <v>58</v>
      </c>
      <c r="X29" s="20" t="s">
        <v>58</v>
      </c>
      <c r="Y29" s="20" t="s">
        <v>58</v>
      </c>
      <c r="Z29" s="20" t="s">
        <v>58</v>
      </c>
      <c r="AA29" s="20" t="s">
        <v>58</v>
      </c>
      <c r="AB29" s="20" t="s">
        <v>58</v>
      </c>
      <c r="AC29" s="20" t="s">
        <v>58</v>
      </c>
      <c r="AD29" s="20" t="s">
        <v>58</v>
      </c>
      <c r="AE29" s="20" t="s">
        <v>58</v>
      </c>
      <c r="AF29" s="20" t="s">
        <v>61</v>
      </c>
      <c r="AG29" s="20" t="s">
        <v>61</v>
      </c>
      <c r="AH29" s="20" t="s">
        <v>58</v>
      </c>
      <c r="AI29" s="19">
        <v>2000.0</v>
      </c>
      <c r="AJ29" s="19">
        <v>2000.0</v>
      </c>
      <c r="AK29" s="19">
        <v>2000.0</v>
      </c>
      <c r="AL29" s="19">
        <v>0.0</v>
      </c>
      <c r="AM29" s="25"/>
      <c r="AN29" s="19">
        <v>1000.0</v>
      </c>
      <c r="AO29" s="19">
        <v>1200.0</v>
      </c>
      <c r="AP29" s="26" t="s">
        <v>65</v>
      </c>
      <c r="AQ29" s="19"/>
    </row>
    <row r="30">
      <c r="A30" s="31">
        <v>24.0</v>
      </c>
      <c r="B30" s="32" t="s">
        <v>435</v>
      </c>
      <c r="C30" s="32" t="s">
        <v>436</v>
      </c>
      <c r="D30" s="32" t="s">
        <v>437</v>
      </c>
      <c r="E30" s="32" t="s">
        <v>49</v>
      </c>
      <c r="F30" s="37" t="s">
        <v>438</v>
      </c>
      <c r="G30" s="38" t="s">
        <v>441</v>
      </c>
      <c r="H30" s="32" t="s">
        <v>75</v>
      </c>
      <c r="I30" s="32" t="s">
        <v>76</v>
      </c>
      <c r="J30" s="32" t="s">
        <v>76</v>
      </c>
      <c r="K30" s="32" t="s">
        <v>55</v>
      </c>
      <c r="L30" s="32" t="s">
        <v>56</v>
      </c>
      <c r="M30" s="32" t="s">
        <v>57</v>
      </c>
      <c r="N30" s="32" t="s">
        <v>58</v>
      </c>
      <c r="O30" s="31">
        <v>1000.0</v>
      </c>
      <c r="P30" s="31">
        <v>1250.0</v>
      </c>
      <c r="Q30" s="32" t="s">
        <v>59</v>
      </c>
      <c r="R30" s="32" t="s">
        <v>58</v>
      </c>
      <c r="S30" s="32" t="s">
        <v>58</v>
      </c>
      <c r="T30" s="32" t="s">
        <v>442</v>
      </c>
      <c r="U30" s="32" t="s">
        <v>443</v>
      </c>
      <c r="V30" s="32" t="s">
        <v>61</v>
      </c>
      <c r="W30" s="32" t="s">
        <v>58</v>
      </c>
      <c r="X30" s="32" t="s">
        <v>58</v>
      </c>
      <c r="Y30" s="32" t="s">
        <v>58</v>
      </c>
      <c r="Z30" s="32" t="s">
        <v>58</v>
      </c>
      <c r="AA30" s="32" t="s">
        <v>58</v>
      </c>
      <c r="AB30" s="32" t="s">
        <v>58</v>
      </c>
      <c r="AC30" s="32" t="s">
        <v>58</v>
      </c>
      <c r="AD30" s="32" t="s">
        <v>61</v>
      </c>
      <c r="AE30" s="32" t="s">
        <v>58</v>
      </c>
      <c r="AF30" s="32" t="s">
        <v>61</v>
      </c>
      <c r="AG30" s="32" t="s">
        <v>61</v>
      </c>
      <c r="AH30" s="32" t="s">
        <v>58</v>
      </c>
      <c r="AI30" s="31">
        <v>25.0</v>
      </c>
      <c r="AJ30" s="31">
        <v>2000.0</v>
      </c>
      <c r="AK30" s="31">
        <v>25.0</v>
      </c>
      <c r="AL30" s="31">
        <v>0.0</v>
      </c>
      <c r="AM30" s="32" t="s">
        <v>452</v>
      </c>
      <c r="AN30" s="31">
        <v>1000.0</v>
      </c>
      <c r="AO30" s="31">
        <v>1250.0</v>
      </c>
      <c r="AP30" s="34" t="s">
        <v>65</v>
      </c>
      <c r="AQ30" s="21">
        <v>2.0</v>
      </c>
    </row>
    <row r="31">
      <c r="A31" s="31">
        <v>25.0</v>
      </c>
      <c r="B31" s="32" t="s">
        <v>444</v>
      </c>
      <c r="C31" s="32" t="s">
        <v>445</v>
      </c>
      <c r="D31" s="32" t="s">
        <v>446</v>
      </c>
      <c r="E31" s="32" t="s">
        <v>49</v>
      </c>
      <c r="F31" s="37" t="s">
        <v>453</v>
      </c>
      <c r="G31" s="38">
        <v>8.595306651E9</v>
      </c>
      <c r="H31" s="32" t="s">
        <v>449</v>
      </c>
      <c r="I31" s="32" t="s">
        <v>450</v>
      </c>
      <c r="J31" s="32" t="s">
        <v>74</v>
      </c>
      <c r="K31" s="32" t="s">
        <v>55</v>
      </c>
      <c r="L31" s="32" t="s">
        <v>56</v>
      </c>
      <c r="M31" s="32" t="s">
        <v>57</v>
      </c>
      <c r="N31" s="32" t="s">
        <v>58</v>
      </c>
      <c r="O31" s="31">
        <v>1500.0</v>
      </c>
      <c r="P31" s="31">
        <v>2000.0</v>
      </c>
      <c r="Q31" s="32" t="s">
        <v>59</v>
      </c>
      <c r="R31" s="32" t="s">
        <v>58</v>
      </c>
      <c r="S31" s="32" t="s">
        <v>58</v>
      </c>
      <c r="T31" s="32" t="s">
        <v>455</v>
      </c>
      <c r="U31" s="39"/>
      <c r="V31" s="32" t="s">
        <v>61</v>
      </c>
      <c r="W31" s="32" t="s">
        <v>58</v>
      </c>
      <c r="X31" s="32" t="s">
        <v>58</v>
      </c>
      <c r="Y31" s="32" t="s">
        <v>58</v>
      </c>
      <c r="Z31" s="32" t="s">
        <v>58</v>
      </c>
      <c r="AA31" s="32" t="s">
        <v>58</v>
      </c>
      <c r="AB31" s="32" t="s">
        <v>58</v>
      </c>
      <c r="AC31" s="32" t="s">
        <v>58</v>
      </c>
      <c r="AD31" s="32" t="s">
        <v>58</v>
      </c>
      <c r="AE31" s="32" t="s">
        <v>58</v>
      </c>
      <c r="AF31" s="32" t="s">
        <v>61</v>
      </c>
      <c r="AG31" s="32" t="s">
        <v>61</v>
      </c>
      <c r="AH31" s="32" t="s">
        <v>58</v>
      </c>
      <c r="AI31" s="31">
        <v>50.0</v>
      </c>
      <c r="AJ31" s="31">
        <v>2000.0</v>
      </c>
      <c r="AK31" s="31">
        <v>50.0</v>
      </c>
      <c r="AL31" s="31">
        <v>0.0</v>
      </c>
      <c r="AM31" s="39"/>
      <c r="AN31" s="31">
        <v>1500.0</v>
      </c>
      <c r="AO31" s="31">
        <v>2000.0</v>
      </c>
      <c r="AP31" s="34" t="s">
        <v>65</v>
      </c>
      <c r="AQ31" s="21">
        <v>2.0</v>
      </c>
    </row>
    <row r="32">
      <c r="A32" s="31">
        <v>26.0</v>
      </c>
      <c r="B32" s="32" t="s">
        <v>463</v>
      </c>
      <c r="C32" s="32" t="s">
        <v>464</v>
      </c>
      <c r="D32" s="38" t="s">
        <v>465</v>
      </c>
      <c r="E32" s="32" t="s">
        <v>49</v>
      </c>
      <c r="F32" s="43" t="s">
        <v>466</v>
      </c>
      <c r="G32" s="38" t="s">
        <v>471</v>
      </c>
      <c r="H32" s="32" t="s">
        <v>53</v>
      </c>
      <c r="I32" s="32" t="s">
        <v>54</v>
      </c>
      <c r="J32" s="32" t="s">
        <v>54</v>
      </c>
      <c r="K32" s="32" t="s">
        <v>55</v>
      </c>
      <c r="L32" s="32" t="s">
        <v>56</v>
      </c>
      <c r="M32" s="32" t="s">
        <v>57</v>
      </c>
      <c r="N32" s="32" t="s">
        <v>58</v>
      </c>
      <c r="O32" s="31">
        <v>1500.0</v>
      </c>
      <c r="P32" s="31">
        <v>1800.0</v>
      </c>
      <c r="Q32" s="32" t="s">
        <v>59</v>
      </c>
      <c r="R32" s="32" t="s">
        <v>58</v>
      </c>
      <c r="S32" s="32" t="s">
        <v>58</v>
      </c>
      <c r="T32" s="39"/>
      <c r="U32" s="39"/>
      <c r="V32" s="32" t="s">
        <v>61</v>
      </c>
      <c r="W32" s="32" t="s">
        <v>58</v>
      </c>
      <c r="X32" s="32" t="s">
        <v>58</v>
      </c>
      <c r="Y32" s="32" t="s">
        <v>58</v>
      </c>
      <c r="Z32" s="32" t="s">
        <v>58</v>
      </c>
      <c r="AA32" s="32" t="s">
        <v>58</v>
      </c>
      <c r="AB32" s="32" t="s">
        <v>58</v>
      </c>
      <c r="AC32" s="32" t="s">
        <v>58</v>
      </c>
      <c r="AD32" s="32" t="s">
        <v>58</v>
      </c>
      <c r="AE32" s="32" t="s">
        <v>58</v>
      </c>
      <c r="AF32" s="32" t="s">
        <v>61</v>
      </c>
      <c r="AG32" s="32" t="s">
        <v>61</v>
      </c>
      <c r="AH32" s="32" t="s">
        <v>58</v>
      </c>
      <c r="AI32" s="31">
        <v>25.0</v>
      </c>
      <c r="AJ32" s="31">
        <v>5000.0</v>
      </c>
      <c r="AK32" s="31">
        <v>25.0</v>
      </c>
      <c r="AL32" s="31">
        <v>0.0</v>
      </c>
      <c r="AM32" s="39"/>
      <c r="AN32" s="31">
        <v>1500.0</v>
      </c>
      <c r="AO32" s="31">
        <v>1800.0</v>
      </c>
      <c r="AP32" s="34" t="s">
        <v>65</v>
      </c>
      <c r="AQ32" s="21">
        <v>2.0</v>
      </c>
    </row>
    <row r="33">
      <c r="A33" s="19">
        <v>27.0</v>
      </c>
      <c r="B33" s="20" t="s">
        <v>482</v>
      </c>
      <c r="C33" s="20" t="s">
        <v>483</v>
      </c>
      <c r="D33" s="23" t="s">
        <v>486</v>
      </c>
      <c r="E33" s="20" t="s">
        <v>49</v>
      </c>
      <c r="F33" s="23" t="s">
        <v>69</v>
      </c>
      <c r="G33" s="23" t="s">
        <v>69</v>
      </c>
      <c r="H33" s="20" t="s">
        <v>75</v>
      </c>
      <c r="I33" s="20" t="s">
        <v>76</v>
      </c>
      <c r="J33" s="20" t="s">
        <v>76</v>
      </c>
      <c r="K33" s="20" t="s">
        <v>55</v>
      </c>
      <c r="L33" s="20" t="s">
        <v>56</v>
      </c>
      <c r="M33" s="20" t="s">
        <v>57</v>
      </c>
      <c r="N33" s="20" t="s">
        <v>58</v>
      </c>
      <c r="O33" s="19">
        <v>200.0</v>
      </c>
      <c r="P33" s="19">
        <v>200.0</v>
      </c>
      <c r="Q33" s="20" t="s">
        <v>59</v>
      </c>
      <c r="R33" s="20" t="s">
        <v>58</v>
      </c>
      <c r="S33" s="20" t="s">
        <v>58</v>
      </c>
      <c r="T33" s="25"/>
      <c r="U33" s="25"/>
      <c r="V33" s="20" t="s">
        <v>61</v>
      </c>
      <c r="W33" s="20" t="s">
        <v>58</v>
      </c>
      <c r="X33" s="20" t="s">
        <v>58</v>
      </c>
      <c r="Y33" s="20" t="s">
        <v>58</v>
      </c>
      <c r="Z33" s="20" t="s">
        <v>58</v>
      </c>
      <c r="AA33" s="20" t="s">
        <v>58</v>
      </c>
      <c r="AB33" s="20" t="s">
        <v>58</v>
      </c>
      <c r="AC33" s="20" t="s">
        <v>58</v>
      </c>
      <c r="AD33" s="20" t="s">
        <v>58</v>
      </c>
      <c r="AE33" s="20" t="s">
        <v>58</v>
      </c>
      <c r="AF33" s="20" t="s">
        <v>61</v>
      </c>
      <c r="AG33" s="20" t="s">
        <v>61</v>
      </c>
      <c r="AH33" s="20" t="s">
        <v>58</v>
      </c>
      <c r="AI33" s="19">
        <v>50.0</v>
      </c>
      <c r="AJ33" s="19">
        <v>5000.0</v>
      </c>
      <c r="AK33" s="19">
        <v>50.0</v>
      </c>
      <c r="AL33" s="19">
        <v>0.0</v>
      </c>
      <c r="AM33" s="25"/>
      <c r="AN33" s="19">
        <v>200.0</v>
      </c>
      <c r="AO33" s="19">
        <v>200.0</v>
      </c>
      <c r="AP33" s="26" t="s">
        <v>65</v>
      </c>
      <c r="AQ33" s="19"/>
    </row>
    <row r="34">
      <c r="A34" s="19">
        <v>28.0</v>
      </c>
      <c r="B34" s="20" t="s">
        <v>494</v>
      </c>
      <c r="C34" s="20" t="s">
        <v>495</v>
      </c>
      <c r="D34" s="23" t="s">
        <v>496</v>
      </c>
      <c r="E34" s="20" t="s">
        <v>49</v>
      </c>
      <c r="F34" s="23" t="s">
        <v>69</v>
      </c>
      <c r="G34" s="23" t="s">
        <v>69</v>
      </c>
      <c r="H34" s="20" t="s">
        <v>497</v>
      </c>
      <c r="I34" s="20" t="s">
        <v>498</v>
      </c>
      <c r="J34" s="20" t="s">
        <v>498</v>
      </c>
      <c r="K34" s="20" t="s">
        <v>55</v>
      </c>
      <c r="L34" s="20" t="s">
        <v>56</v>
      </c>
      <c r="M34" s="20" t="s">
        <v>57</v>
      </c>
      <c r="N34" s="20" t="s">
        <v>58</v>
      </c>
      <c r="O34" s="19">
        <v>1500.0</v>
      </c>
      <c r="P34" s="19">
        <v>1700.0</v>
      </c>
      <c r="Q34" s="20" t="s">
        <v>59</v>
      </c>
      <c r="R34" s="20" t="s">
        <v>58</v>
      </c>
      <c r="S34" s="20" t="s">
        <v>58</v>
      </c>
      <c r="T34" s="25"/>
      <c r="U34" s="25"/>
      <c r="V34" s="20" t="s">
        <v>61</v>
      </c>
      <c r="W34" s="20" t="s">
        <v>58</v>
      </c>
      <c r="X34" s="20" t="s">
        <v>58</v>
      </c>
      <c r="Y34" s="20" t="s">
        <v>58</v>
      </c>
      <c r="Z34" s="20" t="s">
        <v>58</v>
      </c>
      <c r="AA34" s="20" t="s">
        <v>58</v>
      </c>
      <c r="AB34" s="20" t="s">
        <v>58</v>
      </c>
      <c r="AC34" s="20" t="s">
        <v>58</v>
      </c>
      <c r="AD34" s="20" t="s">
        <v>58</v>
      </c>
      <c r="AE34" s="20" t="s">
        <v>58</v>
      </c>
      <c r="AF34" s="20" t="s">
        <v>61</v>
      </c>
      <c r="AG34" s="20" t="s">
        <v>61</v>
      </c>
      <c r="AH34" s="20" t="s">
        <v>58</v>
      </c>
      <c r="AI34" s="19">
        <v>150.0</v>
      </c>
      <c r="AJ34" s="19">
        <v>5000.0</v>
      </c>
      <c r="AK34" s="19">
        <v>150.0</v>
      </c>
      <c r="AL34" s="19">
        <v>0.0</v>
      </c>
      <c r="AM34" s="25"/>
      <c r="AN34" s="19">
        <v>1500.0</v>
      </c>
      <c r="AO34" s="19">
        <v>1700.0</v>
      </c>
      <c r="AP34" s="29" t="s">
        <v>65</v>
      </c>
      <c r="AQ34" s="19"/>
    </row>
    <row r="35">
      <c r="A35" s="19">
        <v>29.0</v>
      </c>
      <c r="B35" s="20" t="s">
        <v>507</v>
      </c>
      <c r="C35" s="20" t="s">
        <v>509</v>
      </c>
      <c r="D35" s="23" t="s">
        <v>511</v>
      </c>
      <c r="E35" s="20" t="s">
        <v>49</v>
      </c>
      <c r="F35" s="23" t="s">
        <v>69</v>
      </c>
      <c r="G35" s="23" t="s">
        <v>69</v>
      </c>
      <c r="H35" s="20" t="s">
        <v>53</v>
      </c>
      <c r="I35" s="20" t="s">
        <v>54</v>
      </c>
      <c r="J35" s="20" t="s">
        <v>54</v>
      </c>
      <c r="K35" s="20" t="s">
        <v>55</v>
      </c>
      <c r="L35" s="20" t="s">
        <v>56</v>
      </c>
      <c r="M35" s="20" t="s">
        <v>57</v>
      </c>
      <c r="N35" s="20" t="s">
        <v>58</v>
      </c>
      <c r="O35" s="19">
        <v>1500.0</v>
      </c>
      <c r="P35" s="19">
        <v>2000.0</v>
      </c>
      <c r="Q35" s="20" t="s">
        <v>59</v>
      </c>
      <c r="R35" s="20" t="s">
        <v>58</v>
      </c>
      <c r="S35" s="20" t="s">
        <v>58</v>
      </c>
      <c r="T35" s="25"/>
      <c r="U35" s="25"/>
      <c r="V35" s="20" t="s">
        <v>61</v>
      </c>
      <c r="W35" s="20" t="s">
        <v>58</v>
      </c>
      <c r="X35" s="20" t="s">
        <v>58</v>
      </c>
      <c r="Y35" s="20" t="s">
        <v>58</v>
      </c>
      <c r="Z35" s="20" t="s">
        <v>58</v>
      </c>
      <c r="AA35" s="20" t="s">
        <v>58</v>
      </c>
      <c r="AB35" s="20" t="s">
        <v>58</v>
      </c>
      <c r="AC35" s="20" t="s">
        <v>58</v>
      </c>
      <c r="AD35" s="20" t="s">
        <v>58</v>
      </c>
      <c r="AE35" s="20" t="s">
        <v>58</v>
      </c>
      <c r="AF35" s="20" t="s">
        <v>61</v>
      </c>
      <c r="AG35" s="20" t="s">
        <v>61</v>
      </c>
      <c r="AH35" s="20" t="s">
        <v>58</v>
      </c>
      <c r="AI35" s="19">
        <v>20.0</v>
      </c>
      <c r="AJ35" s="19">
        <v>3500.0</v>
      </c>
      <c r="AK35" s="19">
        <v>20.0</v>
      </c>
      <c r="AL35" s="19">
        <v>0.0</v>
      </c>
      <c r="AM35" s="25"/>
      <c r="AN35" s="19">
        <v>1500.0</v>
      </c>
      <c r="AO35" s="19">
        <v>2000.0</v>
      </c>
      <c r="AP35" s="26" t="s">
        <v>65</v>
      </c>
      <c r="AQ35" s="19"/>
    </row>
    <row r="36">
      <c r="A36" s="19">
        <v>30.0</v>
      </c>
      <c r="B36" s="20" t="s">
        <v>518</v>
      </c>
      <c r="C36" s="20" t="s">
        <v>519</v>
      </c>
      <c r="D36" s="23" t="s">
        <v>520</v>
      </c>
      <c r="E36" s="20" t="s">
        <v>49</v>
      </c>
      <c r="F36" s="23" t="s">
        <v>69</v>
      </c>
      <c r="G36" s="23" t="s">
        <v>69</v>
      </c>
      <c r="H36" s="20" t="s">
        <v>521</v>
      </c>
      <c r="I36" s="20" t="s">
        <v>522</v>
      </c>
      <c r="J36" s="20" t="s">
        <v>522</v>
      </c>
      <c r="K36" s="20" t="s">
        <v>55</v>
      </c>
      <c r="L36" s="20" t="s">
        <v>56</v>
      </c>
      <c r="M36" s="20" t="s">
        <v>57</v>
      </c>
      <c r="N36" s="20" t="s">
        <v>58</v>
      </c>
      <c r="O36" s="19">
        <v>1000.0</v>
      </c>
      <c r="P36" s="19">
        <v>1500.0</v>
      </c>
      <c r="Q36" s="20" t="s">
        <v>59</v>
      </c>
      <c r="R36" s="20" t="s">
        <v>58</v>
      </c>
      <c r="S36" s="20" t="s">
        <v>58</v>
      </c>
      <c r="T36" s="25"/>
      <c r="U36" s="25"/>
      <c r="V36" s="20" t="s">
        <v>61</v>
      </c>
      <c r="W36" s="20" t="s">
        <v>58</v>
      </c>
      <c r="X36" s="20" t="s">
        <v>58</v>
      </c>
      <c r="Y36" s="20" t="s">
        <v>58</v>
      </c>
      <c r="Z36" s="20" t="s">
        <v>58</v>
      </c>
      <c r="AA36" s="20" t="s">
        <v>58</v>
      </c>
      <c r="AB36" s="20" t="s">
        <v>58</v>
      </c>
      <c r="AC36" s="20" t="s">
        <v>58</v>
      </c>
      <c r="AD36" s="20" t="s">
        <v>58</v>
      </c>
      <c r="AE36" s="20" t="s">
        <v>58</v>
      </c>
      <c r="AF36" s="20" t="s">
        <v>61</v>
      </c>
      <c r="AG36" s="20" t="s">
        <v>61</v>
      </c>
      <c r="AH36" s="20" t="s">
        <v>58</v>
      </c>
      <c r="AI36" s="19">
        <v>25.0</v>
      </c>
      <c r="AJ36" s="19">
        <v>500.0</v>
      </c>
      <c r="AK36" s="19">
        <v>25.0</v>
      </c>
      <c r="AL36" s="19">
        <v>0.0</v>
      </c>
      <c r="AM36" s="25"/>
      <c r="AN36" s="19">
        <v>1000.0</v>
      </c>
      <c r="AO36" s="19">
        <v>1500.0</v>
      </c>
      <c r="AP36" s="26" t="s">
        <v>65</v>
      </c>
      <c r="AQ36" s="19"/>
    </row>
    <row r="37">
      <c r="A37" s="31">
        <v>31.0</v>
      </c>
      <c r="B37" s="32" t="s">
        <v>530</v>
      </c>
      <c r="C37" s="32" t="s">
        <v>531</v>
      </c>
      <c r="D37" s="38" t="s">
        <v>533</v>
      </c>
      <c r="E37" s="32" t="s">
        <v>49</v>
      </c>
      <c r="F37" s="37" t="s">
        <v>534</v>
      </c>
      <c r="G37" s="38" t="s">
        <v>538</v>
      </c>
      <c r="H37" s="32" t="s">
        <v>540</v>
      </c>
      <c r="I37" s="32" t="s">
        <v>541</v>
      </c>
      <c r="J37" s="32" t="s">
        <v>541</v>
      </c>
      <c r="K37" s="32" t="s">
        <v>55</v>
      </c>
      <c r="L37" s="32" t="s">
        <v>56</v>
      </c>
      <c r="M37" s="32" t="s">
        <v>57</v>
      </c>
      <c r="N37" s="32" t="s">
        <v>58</v>
      </c>
      <c r="O37" s="31">
        <v>899.0</v>
      </c>
      <c r="P37" s="31">
        <v>999.0</v>
      </c>
      <c r="Q37" s="32" t="s">
        <v>59</v>
      </c>
      <c r="R37" s="32" t="s">
        <v>58</v>
      </c>
      <c r="S37" s="32" t="s">
        <v>58</v>
      </c>
      <c r="T37" s="39"/>
      <c r="U37" s="39"/>
      <c r="V37" s="32" t="s">
        <v>61</v>
      </c>
      <c r="W37" s="32" t="s">
        <v>58</v>
      </c>
      <c r="X37" s="32" t="s">
        <v>58</v>
      </c>
      <c r="Y37" s="32" t="s">
        <v>58</v>
      </c>
      <c r="Z37" s="32" t="s">
        <v>58</v>
      </c>
      <c r="AA37" s="32" t="s">
        <v>58</v>
      </c>
      <c r="AB37" s="32" t="s">
        <v>58</v>
      </c>
      <c r="AC37" s="32" t="s">
        <v>58</v>
      </c>
      <c r="AD37" s="32" t="s">
        <v>58</v>
      </c>
      <c r="AE37" s="32" t="s">
        <v>58</v>
      </c>
      <c r="AF37" s="32" t="s">
        <v>61</v>
      </c>
      <c r="AG37" s="32" t="s">
        <v>61</v>
      </c>
      <c r="AH37" s="32" t="s">
        <v>58</v>
      </c>
      <c r="AI37" s="31">
        <v>10.0</v>
      </c>
      <c r="AJ37" s="31">
        <v>10000.0</v>
      </c>
      <c r="AK37" s="31">
        <v>10.0</v>
      </c>
      <c r="AL37" s="31">
        <v>0.0</v>
      </c>
      <c r="AM37" s="39"/>
      <c r="AN37" s="31">
        <v>899.0</v>
      </c>
      <c r="AO37" s="31">
        <v>999.0</v>
      </c>
      <c r="AP37" s="34" t="s">
        <v>65</v>
      </c>
      <c r="AQ37" s="21">
        <v>2.0</v>
      </c>
    </row>
    <row r="38">
      <c r="A38" s="31">
        <v>32.0</v>
      </c>
      <c r="B38" s="32" t="s">
        <v>548</v>
      </c>
      <c r="C38" s="32" t="s">
        <v>550</v>
      </c>
      <c r="D38" s="38" t="s">
        <v>551</v>
      </c>
      <c r="E38" s="32" t="s">
        <v>49</v>
      </c>
      <c r="F38" s="37" t="s">
        <v>552</v>
      </c>
      <c r="G38" s="38" t="s">
        <v>553</v>
      </c>
      <c r="H38" s="32" t="s">
        <v>53</v>
      </c>
      <c r="I38" s="32" t="s">
        <v>54</v>
      </c>
      <c r="J38" s="32" t="s">
        <v>54</v>
      </c>
      <c r="K38" s="32" t="s">
        <v>55</v>
      </c>
      <c r="L38" s="32" t="s">
        <v>56</v>
      </c>
      <c r="M38" s="32" t="s">
        <v>57</v>
      </c>
      <c r="N38" s="32" t="s">
        <v>58</v>
      </c>
      <c r="O38" s="31">
        <v>1000.0</v>
      </c>
      <c r="P38" s="31">
        <v>1300.0</v>
      </c>
      <c r="Q38" s="32" t="s">
        <v>59</v>
      </c>
      <c r="R38" s="32" t="s">
        <v>58</v>
      </c>
      <c r="S38" s="32" t="s">
        <v>58</v>
      </c>
      <c r="T38" s="39"/>
      <c r="U38" s="39"/>
      <c r="V38" s="32" t="s">
        <v>61</v>
      </c>
      <c r="W38" s="32" t="s">
        <v>58</v>
      </c>
      <c r="X38" s="32" t="s">
        <v>58</v>
      </c>
      <c r="Y38" s="32" t="s">
        <v>58</v>
      </c>
      <c r="Z38" s="32" t="s">
        <v>58</v>
      </c>
      <c r="AA38" s="32" t="s">
        <v>58</v>
      </c>
      <c r="AB38" s="32" t="s">
        <v>58</v>
      </c>
      <c r="AC38" s="32" t="s">
        <v>58</v>
      </c>
      <c r="AD38" s="32" t="s">
        <v>58</v>
      </c>
      <c r="AE38" s="32" t="s">
        <v>58</v>
      </c>
      <c r="AF38" s="32" t="s">
        <v>61</v>
      </c>
      <c r="AG38" s="32" t="s">
        <v>61</v>
      </c>
      <c r="AH38" s="32" t="s">
        <v>58</v>
      </c>
      <c r="AI38" s="31">
        <v>20.0</v>
      </c>
      <c r="AJ38" s="31">
        <v>600.0</v>
      </c>
      <c r="AK38" s="31">
        <v>20.0</v>
      </c>
      <c r="AL38" s="31">
        <v>0.0</v>
      </c>
      <c r="AM38" s="39"/>
      <c r="AN38" s="31">
        <v>1000.0</v>
      </c>
      <c r="AO38" s="31">
        <v>1300.0</v>
      </c>
      <c r="AP38" s="34" t="s">
        <v>65</v>
      </c>
      <c r="AQ38" s="21">
        <v>2.0</v>
      </c>
    </row>
    <row r="39">
      <c r="A39" s="19">
        <v>33.0</v>
      </c>
      <c r="B39" s="20" t="s">
        <v>561</v>
      </c>
      <c r="C39" s="20" t="s">
        <v>562</v>
      </c>
      <c r="D39" s="20" t="s">
        <v>563</v>
      </c>
      <c r="E39" s="20" t="s">
        <v>49</v>
      </c>
      <c r="F39" s="23" t="s">
        <v>69</v>
      </c>
      <c r="G39" s="23">
        <v>7.947147778E9</v>
      </c>
      <c r="H39" s="20" t="s">
        <v>53</v>
      </c>
      <c r="I39" s="20" t="s">
        <v>54</v>
      </c>
      <c r="J39" s="20" t="s">
        <v>54</v>
      </c>
      <c r="K39" s="20" t="s">
        <v>55</v>
      </c>
      <c r="L39" s="20" t="s">
        <v>56</v>
      </c>
      <c r="M39" s="20" t="s">
        <v>57</v>
      </c>
      <c r="N39" s="20" t="s">
        <v>58</v>
      </c>
      <c r="O39" s="19">
        <v>1100.0</v>
      </c>
      <c r="P39" s="19">
        <v>1200.0</v>
      </c>
      <c r="Q39" s="20" t="s">
        <v>59</v>
      </c>
      <c r="R39" s="20" t="s">
        <v>58</v>
      </c>
      <c r="S39" s="20" t="s">
        <v>58</v>
      </c>
      <c r="T39" s="20" t="s">
        <v>568</v>
      </c>
      <c r="U39" s="20" t="s">
        <v>569</v>
      </c>
      <c r="V39" s="20" t="s">
        <v>61</v>
      </c>
      <c r="W39" s="20" t="s">
        <v>58</v>
      </c>
      <c r="X39" s="20" t="s">
        <v>58</v>
      </c>
      <c r="Y39" s="20" t="s">
        <v>58</v>
      </c>
      <c r="Z39" s="20" t="s">
        <v>58</v>
      </c>
      <c r="AA39" s="20" t="s">
        <v>58</v>
      </c>
      <c r="AB39" s="20" t="s">
        <v>58</v>
      </c>
      <c r="AC39" s="20" t="s">
        <v>58</v>
      </c>
      <c r="AD39" s="20" t="s">
        <v>61</v>
      </c>
      <c r="AE39" s="20" t="s">
        <v>58</v>
      </c>
      <c r="AF39" s="20" t="s">
        <v>61</v>
      </c>
      <c r="AG39" s="20" t="s">
        <v>61</v>
      </c>
      <c r="AH39" s="20" t="s">
        <v>58</v>
      </c>
      <c r="AI39" s="19">
        <v>250.0</v>
      </c>
      <c r="AJ39" s="19">
        <v>2500.0</v>
      </c>
      <c r="AK39" s="19">
        <v>250.0</v>
      </c>
      <c r="AL39" s="19">
        <v>0.0</v>
      </c>
      <c r="AM39" s="25"/>
      <c r="AN39" s="19">
        <v>1100.0</v>
      </c>
      <c r="AO39" s="19">
        <v>1200.0</v>
      </c>
      <c r="AP39" s="26" t="s">
        <v>65</v>
      </c>
      <c r="AQ39" s="19"/>
    </row>
    <row r="40">
      <c r="A40" s="31">
        <v>34.0</v>
      </c>
      <c r="B40" s="32" t="s">
        <v>572</v>
      </c>
      <c r="C40" s="32" t="s">
        <v>574</v>
      </c>
      <c r="D40" s="38" t="s">
        <v>577</v>
      </c>
      <c r="E40" s="32" t="s">
        <v>49</v>
      </c>
      <c r="F40" s="37" t="s">
        <v>579</v>
      </c>
      <c r="G40" s="38" t="s">
        <v>584</v>
      </c>
      <c r="H40" s="32" t="s">
        <v>75</v>
      </c>
      <c r="I40" s="32" t="s">
        <v>76</v>
      </c>
      <c r="J40" s="32" t="s">
        <v>76</v>
      </c>
      <c r="K40" s="32" t="s">
        <v>55</v>
      </c>
      <c r="L40" s="32" t="s">
        <v>56</v>
      </c>
      <c r="M40" s="32" t="s">
        <v>57</v>
      </c>
      <c r="N40" s="32" t="s">
        <v>58</v>
      </c>
      <c r="O40" s="31">
        <v>800.0</v>
      </c>
      <c r="P40" s="31">
        <v>1000.0</v>
      </c>
      <c r="Q40" s="32" t="s">
        <v>59</v>
      </c>
      <c r="R40" s="32" t="s">
        <v>58</v>
      </c>
      <c r="S40" s="32" t="s">
        <v>58</v>
      </c>
      <c r="T40" s="39"/>
      <c r="U40" s="39"/>
      <c r="V40" s="32" t="s">
        <v>61</v>
      </c>
      <c r="W40" s="32" t="s">
        <v>58</v>
      </c>
      <c r="X40" s="32" t="s">
        <v>58</v>
      </c>
      <c r="Y40" s="32" t="s">
        <v>58</v>
      </c>
      <c r="Z40" s="32" t="s">
        <v>58</v>
      </c>
      <c r="AA40" s="32" t="s">
        <v>58</v>
      </c>
      <c r="AB40" s="32" t="s">
        <v>58</v>
      </c>
      <c r="AC40" s="32" t="s">
        <v>58</v>
      </c>
      <c r="AD40" s="32" t="s">
        <v>58</v>
      </c>
      <c r="AE40" s="32" t="s">
        <v>58</v>
      </c>
      <c r="AF40" s="32" t="s">
        <v>61</v>
      </c>
      <c r="AG40" s="32" t="s">
        <v>61</v>
      </c>
      <c r="AH40" s="32" t="s">
        <v>58</v>
      </c>
      <c r="AI40" s="31">
        <v>50.0</v>
      </c>
      <c r="AJ40" s="31">
        <v>2000.0</v>
      </c>
      <c r="AK40" s="31">
        <v>50.0</v>
      </c>
      <c r="AL40" s="31">
        <v>0.0</v>
      </c>
      <c r="AM40" s="39"/>
      <c r="AN40" s="31">
        <v>800.0</v>
      </c>
      <c r="AO40" s="31">
        <v>1000.0</v>
      </c>
      <c r="AP40" s="34" t="s">
        <v>65</v>
      </c>
      <c r="AQ40" s="21">
        <v>2.0</v>
      </c>
    </row>
    <row r="41">
      <c r="A41" s="19">
        <v>35.0</v>
      </c>
      <c r="B41" s="20" t="s">
        <v>590</v>
      </c>
      <c r="C41" s="20" t="s">
        <v>592</v>
      </c>
      <c r="D41" s="29" t="s">
        <v>595</v>
      </c>
      <c r="E41" s="20" t="s">
        <v>49</v>
      </c>
      <c r="F41" s="23" t="s">
        <v>69</v>
      </c>
      <c r="G41" s="23">
        <v>7.947423382E9</v>
      </c>
      <c r="H41" s="20" t="s">
        <v>599</v>
      </c>
      <c r="I41" s="20" t="s">
        <v>601</v>
      </c>
      <c r="J41" s="20" t="s">
        <v>601</v>
      </c>
      <c r="K41" s="20" t="s">
        <v>55</v>
      </c>
      <c r="L41" s="20" t="s">
        <v>56</v>
      </c>
      <c r="M41" s="20" t="s">
        <v>57</v>
      </c>
      <c r="N41" s="20" t="s">
        <v>58</v>
      </c>
      <c r="O41" s="19">
        <v>1500.0</v>
      </c>
      <c r="P41" s="19">
        <v>1600.0</v>
      </c>
      <c r="Q41" s="20" t="s">
        <v>59</v>
      </c>
      <c r="R41" s="20" t="s">
        <v>58</v>
      </c>
      <c r="S41" s="20" t="s">
        <v>58</v>
      </c>
      <c r="T41" s="20" t="s">
        <v>603</v>
      </c>
      <c r="U41" s="25"/>
      <c r="V41" s="20" t="s">
        <v>61</v>
      </c>
      <c r="W41" s="20" t="s">
        <v>58</v>
      </c>
      <c r="X41" s="20" t="s">
        <v>58</v>
      </c>
      <c r="Y41" s="20" t="s">
        <v>58</v>
      </c>
      <c r="Z41" s="20" t="s">
        <v>58</v>
      </c>
      <c r="AA41" s="20" t="s">
        <v>58</v>
      </c>
      <c r="AB41" s="20" t="s">
        <v>58</v>
      </c>
      <c r="AC41" s="20" t="s">
        <v>58</v>
      </c>
      <c r="AD41" s="20" t="s">
        <v>58</v>
      </c>
      <c r="AE41" s="20" t="s">
        <v>58</v>
      </c>
      <c r="AF41" s="20" t="s">
        <v>61</v>
      </c>
      <c r="AG41" s="20" t="s">
        <v>61</v>
      </c>
      <c r="AH41" s="20" t="s">
        <v>58</v>
      </c>
      <c r="AI41" s="19">
        <v>25.0</v>
      </c>
      <c r="AJ41" s="19">
        <v>1000.0</v>
      </c>
      <c r="AK41" s="19">
        <v>25.0</v>
      </c>
      <c r="AL41" s="19">
        <v>0.0</v>
      </c>
      <c r="AM41" s="25"/>
      <c r="AN41" s="19">
        <v>1500.0</v>
      </c>
      <c r="AO41" s="19">
        <v>1600.0</v>
      </c>
      <c r="AP41" s="26" t="s">
        <v>65</v>
      </c>
      <c r="AQ41" s="19"/>
    </row>
    <row r="42">
      <c r="A42" s="19">
        <v>36.0</v>
      </c>
      <c r="B42" s="20" t="s">
        <v>535</v>
      </c>
      <c r="C42" s="20" t="s">
        <v>536</v>
      </c>
      <c r="D42" s="23" t="s">
        <v>537</v>
      </c>
      <c r="E42" s="20" t="s">
        <v>49</v>
      </c>
      <c r="F42" s="23" t="s">
        <v>69</v>
      </c>
      <c r="G42" s="23" t="s">
        <v>605</v>
      </c>
      <c r="H42" s="20" t="s">
        <v>53</v>
      </c>
      <c r="I42" s="20" t="s">
        <v>54</v>
      </c>
      <c r="J42" s="20" t="s">
        <v>54</v>
      </c>
      <c r="K42" s="20" t="s">
        <v>55</v>
      </c>
      <c r="L42" s="20" t="s">
        <v>56</v>
      </c>
      <c r="M42" s="20" t="s">
        <v>57</v>
      </c>
      <c r="N42" s="20" t="s">
        <v>58</v>
      </c>
      <c r="O42" s="19">
        <v>500.0</v>
      </c>
      <c r="P42" s="19">
        <v>600.0</v>
      </c>
      <c r="Q42" s="20" t="s">
        <v>59</v>
      </c>
      <c r="R42" s="20" t="s">
        <v>58</v>
      </c>
      <c r="S42" s="20" t="s">
        <v>58</v>
      </c>
      <c r="T42" s="25"/>
      <c r="U42" s="25"/>
      <c r="V42" s="20" t="s">
        <v>61</v>
      </c>
      <c r="W42" s="20" t="s">
        <v>58</v>
      </c>
      <c r="X42" s="20" t="s">
        <v>58</v>
      </c>
      <c r="Y42" s="20" t="s">
        <v>58</v>
      </c>
      <c r="Z42" s="20" t="s">
        <v>58</v>
      </c>
      <c r="AA42" s="20" t="s">
        <v>58</v>
      </c>
      <c r="AB42" s="20" t="s">
        <v>58</v>
      </c>
      <c r="AC42" s="20" t="s">
        <v>58</v>
      </c>
      <c r="AD42" s="20" t="s">
        <v>58</v>
      </c>
      <c r="AE42" s="20" t="s">
        <v>58</v>
      </c>
      <c r="AF42" s="20" t="s">
        <v>61</v>
      </c>
      <c r="AG42" s="20" t="s">
        <v>61</v>
      </c>
      <c r="AH42" s="20" t="s">
        <v>58</v>
      </c>
      <c r="AI42" s="19">
        <v>50.0</v>
      </c>
      <c r="AJ42" s="19">
        <v>1000.0</v>
      </c>
      <c r="AK42" s="19">
        <v>50.0</v>
      </c>
      <c r="AL42" s="19">
        <v>0.0</v>
      </c>
      <c r="AM42" s="25"/>
      <c r="AN42" s="19">
        <v>500.0</v>
      </c>
      <c r="AO42" s="19">
        <v>600.0</v>
      </c>
      <c r="AP42" s="26" t="s">
        <v>65</v>
      </c>
      <c r="AQ42" s="19"/>
    </row>
    <row r="43">
      <c r="A43" s="19">
        <v>37.0</v>
      </c>
      <c r="B43" s="20" t="s">
        <v>612</v>
      </c>
      <c r="C43" s="20" t="s">
        <v>613</v>
      </c>
      <c r="D43" s="23" t="s">
        <v>616</v>
      </c>
      <c r="E43" s="20" t="s">
        <v>49</v>
      </c>
      <c r="F43" s="45" t="s">
        <v>241</v>
      </c>
      <c r="G43" s="23" t="s">
        <v>69</v>
      </c>
      <c r="H43" s="20" t="s">
        <v>623</v>
      </c>
      <c r="I43" s="20" t="s">
        <v>624</v>
      </c>
      <c r="J43" s="20" t="s">
        <v>624</v>
      </c>
      <c r="K43" s="20" t="s">
        <v>55</v>
      </c>
      <c r="L43" s="20" t="s">
        <v>56</v>
      </c>
      <c r="M43" s="20" t="s">
        <v>57</v>
      </c>
      <c r="N43" s="20" t="s">
        <v>58</v>
      </c>
      <c r="O43" s="19">
        <v>1000.0</v>
      </c>
      <c r="P43" s="19">
        <v>1350.0</v>
      </c>
      <c r="Q43" s="20" t="s">
        <v>59</v>
      </c>
      <c r="R43" s="20" t="s">
        <v>58</v>
      </c>
      <c r="S43" s="20" t="s">
        <v>58</v>
      </c>
      <c r="T43" s="25"/>
      <c r="U43" s="25"/>
      <c r="V43" s="20" t="s">
        <v>61</v>
      </c>
      <c r="W43" s="20" t="s">
        <v>58</v>
      </c>
      <c r="X43" s="20" t="s">
        <v>58</v>
      </c>
      <c r="Y43" s="20" t="s">
        <v>58</v>
      </c>
      <c r="Z43" s="20" t="s">
        <v>58</v>
      </c>
      <c r="AA43" s="20" t="s">
        <v>58</v>
      </c>
      <c r="AB43" s="20" t="s">
        <v>58</v>
      </c>
      <c r="AC43" s="20" t="s">
        <v>58</v>
      </c>
      <c r="AD43" s="20" t="s">
        <v>58</v>
      </c>
      <c r="AE43" s="20" t="s">
        <v>58</v>
      </c>
      <c r="AF43" s="20" t="s">
        <v>61</v>
      </c>
      <c r="AG43" s="20" t="s">
        <v>61</v>
      </c>
      <c r="AH43" s="20" t="s">
        <v>58</v>
      </c>
      <c r="AI43" s="19">
        <v>200.0</v>
      </c>
      <c r="AJ43" s="19">
        <v>5000.0</v>
      </c>
      <c r="AK43" s="19">
        <v>200.0</v>
      </c>
      <c r="AL43" s="19">
        <v>0.0</v>
      </c>
      <c r="AM43" s="25"/>
      <c r="AN43" s="19">
        <v>1000.0</v>
      </c>
      <c r="AO43" s="19">
        <v>1350.0</v>
      </c>
      <c r="AP43" s="26" t="s">
        <v>65</v>
      </c>
      <c r="AQ43" s="19"/>
    </row>
    <row r="44">
      <c r="A44" s="31">
        <v>38.0</v>
      </c>
      <c r="B44" s="32" t="s">
        <v>631</v>
      </c>
      <c r="C44" s="32" t="s">
        <v>632</v>
      </c>
      <c r="D44" s="38" t="s">
        <v>633</v>
      </c>
      <c r="E44" s="32" t="s">
        <v>49</v>
      </c>
      <c r="F44" s="37" t="s">
        <v>634</v>
      </c>
      <c r="G44" s="38" t="s">
        <v>639</v>
      </c>
      <c r="H44" s="32" t="s">
        <v>397</v>
      </c>
      <c r="I44" s="32" t="s">
        <v>398</v>
      </c>
      <c r="J44" s="32" t="s">
        <v>398</v>
      </c>
      <c r="K44" s="32" t="s">
        <v>55</v>
      </c>
      <c r="L44" s="32" t="s">
        <v>56</v>
      </c>
      <c r="M44" s="32" t="s">
        <v>57</v>
      </c>
      <c r="N44" s="32" t="s">
        <v>58</v>
      </c>
      <c r="O44" s="31">
        <v>1200.0</v>
      </c>
      <c r="P44" s="31">
        <v>1600.0</v>
      </c>
      <c r="Q44" s="32" t="s">
        <v>59</v>
      </c>
      <c r="R44" s="32" t="s">
        <v>58</v>
      </c>
      <c r="S44" s="32" t="s">
        <v>58</v>
      </c>
      <c r="T44" s="39"/>
      <c r="U44" s="39"/>
      <c r="V44" s="32" t="s">
        <v>61</v>
      </c>
      <c r="W44" s="32" t="s">
        <v>58</v>
      </c>
      <c r="X44" s="32" t="s">
        <v>58</v>
      </c>
      <c r="Y44" s="32" t="s">
        <v>58</v>
      </c>
      <c r="Z44" s="32" t="s">
        <v>58</v>
      </c>
      <c r="AA44" s="32" t="s">
        <v>58</v>
      </c>
      <c r="AB44" s="32" t="s">
        <v>58</v>
      </c>
      <c r="AC44" s="32" t="s">
        <v>58</v>
      </c>
      <c r="AD44" s="32" t="s">
        <v>58</v>
      </c>
      <c r="AE44" s="32" t="s">
        <v>58</v>
      </c>
      <c r="AF44" s="32" t="s">
        <v>61</v>
      </c>
      <c r="AG44" s="32" t="s">
        <v>61</v>
      </c>
      <c r="AH44" s="32" t="s">
        <v>58</v>
      </c>
      <c r="AI44" s="31">
        <v>5000.0</v>
      </c>
      <c r="AJ44" s="31">
        <v>50.0</v>
      </c>
      <c r="AK44" s="31">
        <v>5000.0</v>
      </c>
      <c r="AL44" s="31">
        <v>0.0</v>
      </c>
      <c r="AM44" s="39"/>
      <c r="AN44" s="31">
        <v>1200.0</v>
      </c>
      <c r="AO44" s="31">
        <v>1600.0</v>
      </c>
      <c r="AP44" s="34" t="s">
        <v>65</v>
      </c>
      <c r="AQ44" s="21">
        <v>2.0</v>
      </c>
    </row>
    <row r="45">
      <c r="A45" s="19">
        <v>39.0</v>
      </c>
      <c r="B45" s="20" t="s">
        <v>644</v>
      </c>
      <c r="C45" s="20" t="s">
        <v>645</v>
      </c>
      <c r="D45" s="23" t="s">
        <v>647</v>
      </c>
      <c r="E45" s="20" t="s">
        <v>49</v>
      </c>
      <c r="F45" s="23" t="s">
        <v>69</v>
      </c>
      <c r="G45" s="23" t="s">
        <v>69</v>
      </c>
      <c r="H45" s="20" t="s">
        <v>651</v>
      </c>
      <c r="I45" s="20" t="s">
        <v>652</v>
      </c>
      <c r="J45" s="20" t="s">
        <v>652</v>
      </c>
      <c r="K45" s="20" t="s">
        <v>55</v>
      </c>
      <c r="L45" s="20" t="s">
        <v>56</v>
      </c>
      <c r="M45" s="20" t="s">
        <v>57</v>
      </c>
      <c r="N45" s="20" t="s">
        <v>58</v>
      </c>
      <c r="O45" s="19">
        <v>1200.0</v>
      </c>
      <c r="P45" s="19">
        <v>1500.0</v>
      </c>
      <c r="Q45" s="20" t="s">
        <v>59</v>
      </c>
      <c r="R45" s="20" t="s">
        <v>58</v>
      </c>
      <c r="S45" s="20" t="s">
        <v>58</v>
      </c>
      <c r="T45" s="25"/>
      <c r="U45" s="25"/>
      <c r="V45" s="20" t="s">
        <v>61</v>
      </c>
      <c r="W45" s="20" t="s">
        <v>58</v>
      </c>
      <c r="X45" s="20" t="s">
        <v>58</v>
      </c>
      <c r="Y45" s="20" t="s">
        <v>58</v>
      </c>
      <c r="Z45" s="20" t="s">
        <v>58</v>
      </c>
      <c r="AA45" s="20" t="s">
        <v>58</v>
      </c>
      <c r="AB45" s="20" t="s">
        <v>58</v>
      </c>
      <c r="AC45" s="20" t="s">
        <v>58</v>
      </c>
      <c r="AD45" s="20" t="s">
        <v>58</v>
      </c>
      <c r="AE45" s="20" t="s">
        <v>58</v>
      </c>
      <c r="AF45" s="20" t="s">
        <v>61</v>
      </c>
      <c r="AG45" s="20" t="s">
        <v>61</v>
      </c>
      <c r="AH45" s="20" t="s">
        <v>58</v>
      </c>
      <c r="AI45" s="19">
        <v>100.0</v>
      </c>
      <c r="AJ45" s="19">
        <v>5000.0</v>
      </c>
      <c r="AK45" s="19">
        <v>100.0</v>
      </c>
      <c r="AL45" s="19">
        <v>0.0</v>
      </c>
      <c r="AM45" s="25"/>
      <c r="AN45" s="19">
        <v>1200.0</v>
      </c>
      <c r="AO45" s="19">
        <v>1500.0</v>
      </c>
      <c r="AP45" s="26" t="s">
        <v>65</v>
      </c>
      <c r="AQ45" s="19"/>
    </row>
    <row r="46">
      <c r="A46" s="19">
        <v>40.0</v>
      </c>
      <c r="B46" s="20" t="s">
        <v>657</v>
      </c>
      <c r="C46" s="20" t="s">
        <v>659</v>
      </c>
      <c r="D46" s="23" t="s">
        <v>661</v>
      </c>
      <c r="E46" s="20" t="s">
        <v>49</v>
      </c>
      <c r="F46" s="23" t="s">
        <v>69</v>
      </c>
      <c r="G46" s="23">
        <v>7.947413738E9</v>
      </c>
      <c r="H46" s="20" t="s">
        <v>664</v>
      </c>
      <c r="I46" s="20" t="s">
        <v>665</v>
      </c>
      <c r="J46" s="20" t="s">
        <v>665</v>
      </c>
      <c r="K46" s="20" t="s">
        <v>55</v>
      </c>
      <c r="L46" s="20" t="s">
        <v>56</v>
      </c>
      <c r="M46" s="20" t="s">
        <v>57</v>
      </c>
      <c r="N46" s="20" t="s">
        <v>58</v>
      </c>
      <c r="O46" s="19">
        <v>500.0</v>
      </c>
      <c r="P46" s="19">
        <v>700.0</v>
      </c>
      <c r="Q46" s="20" t="s">
        <v>59</v>
      </c>
      <c r="R46" s="20" t="s">
        <v>58</v>
      </c>
      <c r="S46" s="20" t="s">
        <v>58</v>
      </c>
      <c r="T46" s="25"/>
      <c r="U46" s="25"/>
      <c r="V46" s="20" t="s">
        <v>61</v>
      </c>
      <c r="W46" s="20" t="s">
        <v>58</v>
      </c>
      <c r="X46" s="20" t="s">
        <v>58</v>
      </c>
      <c r="Y46" s="20" t="s">
        <v>58</v>
      </c>
      <c r="Z46" s="20" t="s">
        <v>58</v>
      </c>
      <c r="AA46" s="20" t="s">
        <v>58</v>
      </c>
      <c r="AB46" s="20" t="s">
        <v>58</v>
      </c>
      <c r="AC46" s="20" t="s">
        <v>58</v>
      </c>
      <c r="AD46" s="20" t="s">
        <v>58</v>
      </c>
      <c r="AE46" s="20" t="s">
        <v>58</v>
      </c>
      <c r="AF46" s="20" t="s">
        <v>61</v>
      </c>
      <c r="AG46" s="20" t="s">
        <v>61</v>
      </c>
      <c r="AH46" s="20" t="s">
        <v>58</v>
      </c>
      <c r="AI46" s="19">
        <v>100.0</v>
      </c>
      <c r="AJ46" s="19">
        <v>5000.0</v>
      </c>
      <c r="AK46" s="19">
        <v>100.0</v>
      </c>
      <c r="AL46" s="19">
        <v>0.0</v>
      </c>
      <c r="AM46" s="25"/>
      <c r="AN46" s="19">
        <v>500.0</v>
      </c>
      <c r="AO46" s="19">
        <v>700.0</v>
      </c>
      <c r="AP46" s="26" t="s">
        <v>65</v>
      </c>
      <c r="AQ46" s="19"/>
    </row>
    <row r="47">
      <c r="A47" s="19">
        <v>41.0</v>
      </c>
      <c r="B47" s="20" t="s">
        <v>671</v>
      </c>
      <c r="C47" s="20" t="s">
        <v>672</v>
      </c>
      <c r="D47" s="23" t="s">
        <v>673</v>
      </c>
      <c r="E47" s="20" t="s">
        <v>49</v>
      </c>
      <c r="F47" s="23" t="s">
        <v>69</v>
      </c>
      <c r="G47" s="23" t="s">
        <v>69</v>
      </c>
      <c r="H47" s="20" t="s">
        <v>674</v>
      </c>
      <c r="I47" s="20" t="s">
        <v>675</v>
      </c>
      <c r="J47" s="20" t="s">
        <v>675</v>
      </c>
      <c r="K47" s="20" t="s">
        <v>55</v>
      </c>
      <c r="L47" s="20" t="s">
        <v>56</v>
      </c>
      <c r="M47" s="20" t="s">
        <v>57</v>
      </c>
      <c r="N47" s="20" t="s">
        <v>58</v>
      </c>
      <c r="O47" s="19">
        <v>2250.0</v>
      </c>
      <c r="P47" s="19">
        <v>2750.0</v>
      </c>
      <c r="Q47" s="20" t="s">
        <v>59</v>
      </c>
      <c r="R47" s="20" t="s">
        <v>58</v>
      </c>
      <c r="S47" s="20" t="s">
        <v>58</v>
      </c>
      <c r="T47" s="25"/>
      <c r="U47" s="25"/>
      <c r="V47" s="20" t="s">
        <v>61</v>
      </c>
      <c r="W47" s="20" t="s">
        <v>58</v>
      </c>
      <c r="X47" s="20" t="s">
        <v>58</v>
      </c>
      <c r="Y47" s="20" t="s">
        <v>58</v>
      </c>
      <c r="Z47" s="20" t="s">
        <v>58</v>
      </c>
      <c r="AA47" s="20" t="s">
        <v>58</v>
      </c>
      <c r="AB47" s="20" t="s">
        <v>58</v>
      </c>
      <c r="AC47" s="20" t="s">
        <v>58</v>
      </c>
      <c r="AD47" s="20" t="s">
        <v>58</v>
      </c>
      <c r="AE47" s="20" t="s">
        <v>58</v>
      </c>
      <c r="AF47" s="20" t="s">
        <v>61</v>
      </c>
      <c r="AG47" s="20" t="s">
        <v>61</v>
      </c>
      <c r="AH47" s="20" t="s">
        <v>58</v>
      </c>
      <c r="AI47" s="19">
        <v>50.0</v>
      </c>
      <c r="AJ47" s="19">
        <v>2000.0</v>
      </c>
      <c r="AK47" s="19">
        <v>50.0</v>
      </c>
      <c r="AL47" s="19">
        <v>0.0</v>
      </c>
      <c r="AM47" s="25"/>
      <c r="AN47" s="19">
        <v>2250.0</v>
      </c>
      <c r="AO47" s="19">
        <v>2750.0</v>
      </c>
      <c r="AP47" s="26" t="s">
        <v>65</v>
      </c>
      <c r="AQ47" s="19"/>
    </row>
    <row r="48">
      <c r="A48" s="19">
        <v>42.0</v>
      </c>
      <c r="B48" s="20" t="s">
        <v>681</v>
      </c>
      <c r="C48" s="20" t="s">
        <v>682</v>
      </c>
      <c r="D48" s="20" t="s">
        <v>684</v>
      </c>
      <c r="E48" s="20" t="s">
        <v>49</v>
      </c>
      <c r="F48" s="46" t="s">
        <v>685</v>
      </c>
      <c r="G48" s="23" t="s">
        <v>69</v>
      </c>
      <c r="H48" s="20" t="s">
        <v>599</v>
      </c>
      <c r="I48" s="20" t="s">
        <v>601</v>
      </c>
      <c r="J48" s="20" t="s">
        <v>601</v>
      </c>
      <c r="K48" s="20" t="s">
        <v>55</v>
      </c>
      <c r="L48" s="20" t="s">
        <v>56</v>
      </c>
      <c r="M48" s="20" t="s">
        <v>57</v>
      </c>
      <c r="N48" s="20" t="s">
        <v>58</v>
      </c>
      <c r="O48" s="19">
        <v>800.0</v>
      </c>
      <c r="P48" s="19">
        <v>1000.0</v>
      </c>
      <c r="Q48" s="20" t="s">
        <v>59</v>
      </c>
      <c r="R48" s="20" t="s">
        <v>58</v>
      </c>
      <c r="S48" s="20" t="s">
        <v>58</v>
      </c>
      <c r="T48" s="20" t="s">
        <v>687</v>
      </c>
      <c r="U48" s="25"/>
      <c r="V48" s="20" t="s">
        <v>61</v>
      </c>
      <c r="W48" s="20" t="s">
        <v>58</v>
      </c>
      <c r="X48" s="20" t="s">
        <v>58</v>
      </c>
      <c r="Y48" s="20" t="s">
        <v>58</v>
      </c>
      <c r="Z48" s="20" t="s">
        <v>58</v>
      </c>
      <c r="AA48" s="20" t="s">
        <v>58</v>
      </c>
      <c r="AB48" s="20" t="s">
        <v>58</v>
      </c>
      <c r="AC48" s="20" t="s">
        <v>58</v>
      </c>
      <c r="AD48" s="20" t="s">
        <v>58</v>
      </c>
      <c r="AE48" s="20" t="s">
        <v>58</v>
      </c>
      <c r="AF48" s="20" t="s">
        <v>61</v>
      </c>
      <c r="AG48" s="20" t="s">
        <v>61</v>
      </c>
      <c r="AH48" s="20" t="s">
        <v>58</v>
      </c>
      <c r="AI48" s="19">
        <v>20.0</v>
      </c>
      <c r="AJ48" s="19">
        <v>21000.0</v>
      </c>
      <c r="AK48" s="19">
        <v>20.0</v>
      </c>
      <c r="AL48" s="19">
        <v>0.0</v>
      </c>
      <c r="AM48" s="25"/>
      <c r="AN48" s="19">
        <v>800.0</v>
      </c>
      <c r="AO48" s="19">
        <v>1000.0</v>
      </c>
      <c r="AP48" s="26" t="s">
        <v>65</v>
      </c>
      <c r="AQ48" s="19"/>
    </row>
    <row r="49">
      <c r="A49" s="19">
        <v>43.0</v>
      </c>
      <c r="B49" s="20" t="s">
        <v>689</v>
      </c>
      <c r="C49" s="20" t="s">
        <v>690</v>
      </c>
      <c r="D49" s="20" t="s">
        <v>692</v>
      </c>
      <c r="E49" s="20" t="s">
        <v>49</v>
      </c>
      <c r="F49" s="23" t="s">
        <v>122</v>
      </c>
      <c r="G49" s="25"/>
      <c r="H49" s="20" t="s">
        <v>75</v>
      </c>
      <c r="I49" s="20" t="s">
        <v>76</v>
      </c>
      <c r="J49" s="20" t="s">
        <v>76</v>
      </c>
      <c r="K49" s="20" t="s">
        <v>55</v>
      </c>
      <c r="L49" s="20" t="s">
        <v>56</v>
      </c>
      <c r="M49" s="20" t="s">
        <v>57</v>
      </c>
      <c r="N49" s="20" t="s">
        <v>58</v>
      </c>
      <c r="O49" s="19">
        <v>1000.0</v>
      </c>
      <c r="P49" s="25"/>
      <c r="Q49" s="20" t="s">
        <v>59</v>
      </c>
      <c r="R49" s="20" t="s">
        <v>58</v>
      </c>
      <c r="S49" s="20" t="s">
        <v>58</v>
      </c>
      <c r="T49" s="20" t="s">
        <v>696</v>
      </c>
      <c r="U49" s="25"/>
      <c r="V49" s="20" t="s">
        <v>61</v>
      </c>
      <c r="W49" s="20" t="s">
        <v>58</v>
      </c>
      <c r="X49" s="20" t="s">
        <v>58</v>
      </c>
      <c r="Y49" s="20" t="s">
        <v>58</v>
      </c>
      <c r="Z49" s="20" t="s">
        <v>58</v>
      </c>
      <c r="AA49" s="20" t="s">
        <v>58</v>
      </c>
      <c r="AB49" s="20" t="s">
        <v>58</v>
      </c>
      <c r="AC49" s="20" t="s">
        <v>58</v>
      </c>
      <c r="AD49" s="20" t="s">
        <v>58</v>
      </c>
      <c r="AE49" s="20" t="s">
        <v>58</v>
      </c>
      <c r="AF49" s="20" t="s">
        <v>61</v>
      </c>
      <c r="AG49" s="20" t="s">
        <v>61</v>
      </c>
      <c r="AH49" s="20" t="s">
        <v>58</v>
      </c>
      <c r="AI49" s="19">
        <v>200.0</v>
      </c>
      <c r="AJ49" s="19">
        <v>0.0</v>
      </c>
      <c r="AK49" s="19">
        <v>200.0</v>
      </c>
      <c r="AL49" s="19">
        <v>0.0</v>
      </c>
      <c r="AM49" s="25"/>
      <c r="AN49" s="19">
        <v>1000.0</v>
      </c>
      <c r="AO49" s="19">
        <v>0.0</v>
      </c>
      <c r="AP49" s="26" t="s">
        <v>65</v>
      </c>
      <c r="AQ49" s="19"/>
    </row>
    <row r="50">
      <c r="A50" s="19">
        <v>44.0</v>
      </c>
      <c r="B50" s="20" t="s">
        <v>698</v>
      </c>
      <c r="C50" s="20" t="s">
        <v>699</v>
      </c>
      <c r="D50" s="25"/>
      <c r="E50" s="20" t="s">
        <v>49</v>
      </c>
      <c r="F50" s="23" t="s">
        <v>69</v>
      </c>
      <c r="G50" s="25"/>
      <c r="H50" s="20" t="s">
        <v>75</v>
      </c>
      <c r="I50" s="20" t="s">
        <v>76</v>
      </c>
      <c r="J50" s="20" t="s">
        <v>76</v>
      </c>
      <c r="K50" s="20" t="s">
        <v>55</v>
      </c>
      <c r="L50" s="20" t="s">
        <v>56</v>
      </c>
      <c r="M50" s="20" t="s">
        <v>57</v>
      </c>
      <c r="N50" s="20" t="s">
        <v>58</v>
      </c>
      <c r="O50" s="19">
        <v>500.0</v>
      </c>
      <c r="P50" s="19">
        <v>700.0</v>
      </c>
      <c r="Q50" s="20" t="s">
        <v>59</v>
      </c>
      <c r="R50" s="20" t="s">
        <v>58</v>
      </c>
      <c r="S50" s="20" t="s">
        <v>58</v>
      </c>
      <c r="T50" s="25"/>
      <c r="U50" s="25"/>
      <c r="V50" s="20" t="s">
        <v>61</v>
      </c>
      <c r="W50" s="20" t="s">
        <v>58</v>
      </c>
      <c r="X50" s="20" t="s">
        <v>58</v>
      </c>
      <c r="Y50" s="20" t="s">
        <v>58</v>
      </c>
      <c r="Z50" s="20" t="s">
        <v>58</v>
      </c>
      <c r="AA50" s="20" t="s">
        <v>58</v>
      </c>
      <c r="AB50" s="20" t="s">
        <v>58</v>
      </c>
      <c r="AC50" s="20" t="s">
        <v>58</v>
      </c>
      <c r="AD50" s="20" t="s">
        <v>58</v>
      </c>
      <c r="AE50" s="20" t="s">
        <v>58</v>
      </c>
      <c r="AF50" s="20" t="s">
        <v>61</v>
      </c>
      <c r="AG50" s="20" t="s">
        <v>61</v>
      </c>
      <c r="AH50" s="20" t="s">
        <v>58</v>
      </c>
      <c r="AI50" s="19">
        <v>50.0</v>
      </c>
      <c r="AJ50" s="19">
        <v>5000.0</v>
      </c>
      <c r="AK50" s="19">
        <v>50.0</v>
      </c>
      <c r="AL50" s="19">
        <v>0.0</v>
      </c>
      <c r="AM50" s="25"/>
      <c r="AN50" s="19">
        <v>500.0</v>
      </c>
      <c r="AO50" s="19">
        <v>700.0</v>
      </c>
      <c r="AP50" s="26" t="s">
        <v>65</v>
      </c>
      <c r="AQ50" s="19"/>
    </row>
    <row r="51">
      <c r="A51" s="19">
        <v>45.0</v>
      </c>
      <c r="B51" s="20" t="s">
        <v>706</v>
      </c>
      <c r="C51" s="20" t="s">
        <v>708</v>
      </c>
      <c r="D51" s="23" t="s">
        <v>710</v>
      </c>
      <c r="E51" s="20" t="s">
        <v>49</v>
      </c>
      <c r="F51" s="23" t="s">
        <v>69</v>
      </c>
      <c r="G51" s="23" t="s">
        <v>69</v>
      </c>
      <c r="H51" s="20" t="s">
        <v>397</v>
      </c>
      <c r="I51" s="20" t="s">
        <v>398</v>
      </c>
      <c r="J51" s="20" t="s">
        <v>398</v>
      </c>
      <c r="K51" s="20" t="s">
        <v>55</v>
      </c>
      <c r="L51" s="20" t="s">
        <v>56</v>
      </c>
      <c r="M51" s="20" t="s">
        <v>57</v>
      </c>
      <c r="N51" s="20" t="s">
        <v>58</v>
      </c>
      <c r="O51" s="19">
        <v>349.0</v>
      </c>
      <c r="P51" s="19">
        <v>449.0</v>
      </c>
      <c r="Q51" s="20" t="s">
        <v>59</v>
      </c>
      <c r="R51" s="20" t="s">
        <v>58</v>
      </c>
      <c r="S51" s="20" t="s">
        <v>58</v>
      </c>
      <c r="T51" s="25"/>
      <c r="U51" s="25"/>
      <c r="V51" s="20" t="s">
        <v>61</v>
      </c>
      <c r="W51" s="20" t="s">
        <v>58</v>
      </c>
      <c r="X51" s="20" t="s">
        <v>58</v>
      </c>
      <c r="Y51" s="20" t="s">
        <v>58</v>
      </c>
      <c r="Z51" s="20" t="s">
        <v>58</v>
      </c>
      <c r="AA51" s="20" t="s">
        <v>58</v>
      </c>
      <c r="AB51" s="20" t="s">
        <v>58</v>
      </c>
      <c r="AC51" s="20" t="s">
        <v>58</v>
      </c>
      <c r="AD51" s="20" t="s">
        <v>58</v>
      </c>
      <c r="AE51" s="20" t="s">
        <v>58</v>
      </c>
      <c r="AF51" s="20" t="s">
        <v>61</v>
      </c>
      <c r="AG51" s="20" t="s">
        <v>61</v>
      </c>
      <c r="AH51" s="20" t="s">
        <v>58</v>
      </c>
      <c r="AI51" s="19">
        <v>50.0</v>
      </c>
      <c r="AJ51" s="19">
        <v>10000.0</v>
      </c>
      <c r="AK51" s="19">
        <v>50.0</v>
      </c>
      <c r="AL51" s="19">
        <v>0.0</v>
      </c>
      <c r="AM51" s="25"/>
      <c r="AN51" s="19">
        <v>349.0</v>
      </c>
      <c r="AO51" s="19">
        <v>449.0</v>
      </c>
      <c r="AP51" s="26" t="s">
        <v>65</v>
      </c>
      <c r="AQ51" s="19"/>
    </row>
    <row r="52">
      <c r="A52" s="31">
        <v>46.0</v>
      </c>
      <c r="B52" s="32" t="s">
        <v>714</v>
      </c>
      <c r="C52" s="32" t="s">
        <v>715</v>
      </c>
      <c r="D52" s="38" t="s">
        <v>718</v>
      </c>
      <c r="E52" s="32" t="s">
        <v>49</v>
      </c>
      <c r="F52" s="47" t="s">
        <v>721</v>
      </c>
      <c r="G52" s="38" t="s">
        <v>731</v>
      </c>
      <c r="H52" s="32" t="s">
        <v>245</v>
      </c>
      <c r="I52" s="32" t="s">
        <v>246</v>
      </c>
      <c r="J52" s="32" t="s">
        <v>246</v>
      </c>
      <c r="K52" s="32" t="s">
        <v>55</v>
      </c>
      <c r="L52" s="32" t="s">
        <v>56</v>
      </c>
      <c r="M52" s="32" t="s">
        <v>57</v>
      </c>
      <c r="N52" s="32" t="s">
        <v>58</v>
      </c>
      <c r="O52" s="31">
        <v>1500.0</v>
      </c>
      <c r="P52" s="31">
        <v>2000.0</v>
      </c>
      <c r="Q52" s="32" t="s">
        <v>59</v>
      </c>
      <c r="R52" s="32" t="s">
        <v>58</v>
      </c>
      <c r="S52" s="32" t="s">
        <v>58</v>
      </c>
      <c r="T52" s="39"/>
      <c r="U52" s="39"/>
      <c r="V52" s="32" t="s">
        <v>61</v>
      </c>
      <c r="W52" s="32" t="s">
        <v>58</v>
      </c>
      <c r="X52" s="32" t="s">
        <v>58</v>
      </c>
      <c r="Y52" s="32" t="s">
        <v>58</v>
      </c>
      <c r="Z52" s="32" t="s">
        <v>58</v>
      </c>
      <c r="AA52" s="32" t="s">
        <v>58</v>
      </c>
      <c r="AB52" s="32" t="s">
        <v>58</v>
      </c>
      <c r="AC52" s="32" t="s">
        <v>58</v>
      </c>
      <c r="AD52" s="32" t="s">
        <v>58</v>
      </c>
      <c r="AE52" s="32" t="s">
        <v>58</v>
      </c>
      <c r="AF52" s="32" t="s">
        <v>61</v>
      </c>
      <c r="AG52" s="32" t="s">
        <v>61</v>
      </c>
      <c r="AH52" s="32" t="s">
        <v>58</v>
      </c>
      <c r="AI52" s="31">
        <v>50.0</v>
      </c>
      <c r="AJ52" s="31">
        <v>500.0</v>
      </c>
      <c r="AK52" s="31">
        <v>50.0</v>
      </c>
      <c r="AL52" s="31">
        <v>0.0</v>
      </c>
      <c r="AM52" s="39"/>
      <c r="AN52" s="31">
        <v>1500.0</v>
      </c>
      <c r="AO52" s="31">
        <v>2000.0</v>
      </c>
      <c r="AP52" s="34" t="s">
        <v>65</v>
      </c>
      <c r="AQ52" s="21">
        <v>2.0</v>
      </c>
    </row>
    <row r="53">
      <c r="A53" s="19">
        <v>47.0</v>
      </c>
      <c r="B53" s="20" t="s">
        <v>740</v>
      </c>
      <c r="C53" s="20" t="s">
        <v>741</v>
      </c>
      <c r="D53" s="25"/>
      <c r="E53" s="20" t="s">
        <v>49</v>
      </c>
      <c r="F53" s="23" t="s">
        <v>122</v>
      </c>
      <c r="G53" s="25"/>
      <c r="H53" s="20" t="s">
        <v>75</v>
      </c>
      <c r="I53" s="20" t="s">
        <v>76</v>
      </c>
      <c r="J53" s="20" t="s">
        <v>76</v>
      </c>
      <c r="K53" s="20" t="s">
        <v>55</v>
      </c>
      <c r="L53" s="20" t="s">
        <v>56</v>
      </c>
      <c r="M53" s="20" t="s">
        <v>57</v>
      </c>
      <c r="N53" s="20" t="s">
        <v>58</v>
      </c>
      <c r="O53" s="19">
        <v>499.0</v>
      </c>
      <c r="P53" s="19">
        <v>599.0</v>
      </c>
      <c r="Q53" s="20" t="s">
        <v>59</v>
      </c>
      <c r="R53" s="20" t="s">
        <v>58</v>
      </c>
      <c r="S53" s="20" t="s">
        <v>58</v>
      </c>
      <c r="T53" s="25"/>
      <c r="U53" s="25"/>
      <c r="V53" s="20" t="s">
        <v>61</v>
      </c>
      <c r="W53" s="20" t="s">
        <v>58</v>
      </c>
      <c r="X53" s="20" t="s">
        <v>58</v>
      </c>
      <c r="Y53" s="20" t="s">
        <v>58</v>
      </c>
      <c r="Z53" s="20" t="s">
        <v>58</v>
      </c>
      <c r="AA53" s="20" t="s">
        <v>58</v>
      </c>
      <c r="AB53" s="20" t="s">
        <v>58</v>
      </c>
      <c r="AC53" s="20" t="s">
        <v>58</v>
      </c>
      <c r="AD53" s="20" t="s">
        <v>58</v>
      </c>
      <c r="AE53" s="20" t="s">
        <v>58</v>
      </c>
      <c r="AF53" s="20" t="s">
        <v>61</v>
      </c>
      <c r="AG53" s="20" t="s">
        <v>61</v>
      </c>
      <c r="AH53" s="20" t="s">
        <v>58</v>
      </c>
      <c r="AI53" s="19">
        <v>100.0</v>
      </c>
      <c r="AJ53" s="19">
        <v>5000.0</v>
      </c>
      <c r="AK53" s="19">
        <v>100.0</v>
      </c>
      <c r="AL53" s="19">
        <v>0.0</v>
      </c>
      <c r="AM53" s="25"/>
      <c r="AN53" s="19">
        <v>499.0</v>
      </c>
      <c r="AO53" s="19">
        <v>599.0</v>
      </c>
      <c r="AP53" s="26" t="s">
        <v>65</v>
      </c>
      <c r="AQ53" s="19"/>
    </row>
    <row r="54">
      <c r="A54" s="19">
        <v>48.0</v>
      </c>
      <c r="B54" s="20" t="s">
        <v>749</v>
      </c>
      <c r="C54" s="20" t="s">
        <v>751</v>
      </c>
      <c r="D54" s="25"/>
      <c r="E54" s="20" t="s">
        <v>49</v>
      </c>
      <c r="F54" s="23" t="s">
        <v>122</v>
      </c>
      <c r="G54" s="25"/>
      <c r="H54" s="20" t="s">
        <v>75</v>
      </c>
      <c r="I54" s="20" t="s">
        <v>76</v>
      </c>
      <c r="J54" s="20" t="s">
        <v>76</v>
      </c>
      <c r="K54" s="20" t="s">
        <v>55</v>
      </c>
      <c r="L54" s="20" t="s">
        <v>56</v>
      </c>
      <c r="M54" s="20" t="s">
        <v>57</v>
      </c>
      <c r="N54" s="20" t="s">
        <v>58</v>
      </c>
      <c r="O54" s="19">
        <v>800.0</v>
      </c>
      <c r="P54" s="19">
        <v>1199.0</v>
      </c>
      <c r="Q54" s="20" t="s">
        <v>59</v>
      </c>
      <c r="R54" s="20" t="s">
        <v>58</v>
      </c>
      <c r="S54" s="20" t="s">
        <v>58</v>
      </c>
      <c r="T54" s="25"/>
      <c r="U54" s="25"/>
      <c r="V54" s="20" t="s">
        <v>61</v>
      </c>
      <c r="W54" s="20" t="s">
        <v>58</v>
      </c>
      <c r="X54" s="20" t="s">
        <v>58</v>
      </c>
      <c r="Y54" s="20" t="s">
        <v>58</v>
      </c>
      <c r="Z54" s="20" t="s">
        <v>58</v>
      </c>
      <c r="AA54" s="20" t="s">
        <v>58</v>
      </c>
      <c r="AB54" s="20" t="s">
        <v>58</v>
      </c>
      <c r="AC54" s="20" t="s">
        <v>58</v>
      </c>
      <c r="AD54" s="20" t="s">
        <v>58</v>
      </c>
      <c r="AE54" s="20" t="s">
        <v>58</v>
      </c>
      <c r="AF54" s="20" t="s">
        <v>61</v>
      </c>
      <c r="AG54" s="20" t="s">
        <v>61</v>
      </c>
      <c r="AH54" s="20" t="s">
        <v>58</v>
      </c>
      <c r="AI54" s="19">
        <v>40.0</v>
      </c>
      <c r="AJ54" s="19">
        <v>550.0</v>
      </c>
      <c r="AK54" s="19">
        <v>40.0</v>
      </c>
      <c r="AL54" s="19">
        <v>0.0</v>
      </c>
      <c r="AM54" s="25"/>
      <c r="AN54" s="19">
        <v>800.0</v>
      </c>
      <c r="AO54" s="19">
        <v>1199.0</v>
      </c>
      <c r="AP54" s="26" t="s">
        <v>65</v>
      </c>
      <c r="AQ54" s="19"/>
    </row>
    <row r="55">
      <c r="A55" s="19">
        <v>49.0</v>
      </c>
      <c r="B55" s="20" t="s">
        <v>754</v>
      </c>
      <c r="C55" s="20" t="s">
        <v>756</v>
      </c>
      <c r="D55" s="20" t="s">
        <v>760</v>
      </c>
      <c r="E55" s="20" t="s">
        <v>49</v>
      </c>
      <c r="F55" s="45" t="s">
        <v>241</v>
      </c>
      <c r="G55" s="25"/>
      <c r="H55" s="20" t="s">
        <v>75</v>
      </c>
      <c r="I55" s="20" t="s">
        <v>76</v>
      </c>
      <c r="J55" s="20" t="s">
        <v>76</v>
      </c>
      <c r="K55" s="20" t="s">
        <v>55</v>
      </c>
      <c r="L55" s="20" t="s">
        <v>56</v>
      </c>
      <c r="M55" s="20" t="s">
        <v>57</v>
      </c>
      <c r="N55" s="20" t="s">
        <v>58</v>
      </c>
      <c r="O55" s="19">
        <v>450.0</v>
      </c>
      <c r="P55" s="19">
        <v>650.0</v>
      </c>
      <c r="Q55" s="20" t="s">
        <v>59</v>
      </c>
      <c r="R55" s="20" t="s">
        <v>58</v>
      </c>
      <c r="S55" s="20" t="s">
        <v>58</v>
      </c>
      <c r="T55" s="20" t="s">
        <v>764</v>
      </c>
      <c r="U55" s="25"/>
      <c r="V55" s="20" t="s">
        <v>61</v>
      </c>
      <c r="W55" s="20" t="s">
        <v>58</v>
      </c>
      <c r="X55" s="20" t="s">
        <v>58</v>
      </c>
      <c r="Y55" s="20" t="s">
        <v>58</v>
      </c>
      <c r="Z55" s="20" t="s">
        <v>58</v>
      </c>
      <c r="AA55" s="20" t="s">
        <v>58</v>
      </c>
      <c r="AB55" s="20" t="s">
        <v>58</v>
      </c>
      <c r="AC55" s="20" t="s">
        <v>58</v>
      </c>
      <c r="AD55" s="20" t="s">
        <v>58</v>
      </c>
      <c r="AE55" s="20" t="s">
        <v>58</v>
      </c>
      <c r="AF55" s="20" t="s">
        <v>61</v>
      </c>
      <c r="AG55" s="20" t="s">
        <v>61</v>
      </c>
      <c r="AH55" s="20" t="s">
        <v>58</v>
      </c>
      <c r="AI55" s="19">
        <v>5000.0</v>
      </c>
      <c r="AJ55" s="19">
        <v>50.0</v>
      </c>
      <c r="AK55" s="19">
        <v>5000.0</v>
      </c>
      <c r="AL55" s="19">
        <v>0.0</v>
      </c>
      <c r="AM55" s="25"/>
      <c r="AN55" s="19">
        <v>450.0</v>
      </c>
      <c r="AO55" s="19">
        <v>650.0</v>
      </c>
      <c r="AP55" s="26" t="s">
        <v>65</v>
      </c>
      <c r="AQ55" s="19"/>
    </row>
    <row r="56">
      <c r="A56" s="19">
        <v>50.0</v>
      </c>
      <c r="B56" s="20" t="s">
        <v>766</v>
      </c>
      <c r="C56" s="20" t="s">
        <v>767</v>
      </c>
      <c r="D56" s="20" t="s">
        <v>768</v>
      </c>
      <c r="E56" s="20" t="s">
        <v>49</v>
      </c>
      <c r="F56" s="23" t="s">
        <v>69</v>
      </c>
      <c r="G56" s="23" t="s">
        <v>769</v>
      </c>
      <c r="H56" s="20" t="s">
        <v>397</v>
      </c>
      <c r="I56" s="20" t="s">
        <v>398</v>
      </c>
      <c r="J56" s="20" t="s">
        <v>398</v>
      </c>
      <c r="K56" s="20" t="s">
        <v>55</v>
      </c>
      <c r="L56" s="20" t="s">
        <v>56</v>
      </c>
      <c r="M56" s="20" t="s">
        <v>57</v>
      </c>
      <c r="N56" s="20" t="s">
        <v>58</v>
      </c>
      <c r="O56" s="19">
        <v>600.0</v>
      </c>
      <c r="P56" s="19">
        <v>1200.0</v>
      </c>
      <c r="Q56" s="20" t="s">
        <v>59</v>
      </c>
      <c r="R56" s="20" t="s">
        <v>58</v>
      </c>
      <c r="S56" s="20" t="s">
        <v>58</v>
      </c>
      <c r="T56" s="20" t="s">
        <v>275</v>
      </c>
      <c r="U56" s="25"/>
      <c r="V56" s="20" t="s">
        <v>61</v>
      </c>
      <c r="W56" s="20" t="s">
        <v>58</v>
      </c>
      <c r="X56" s="20" t="s">
        <v>58</v>
      </c>
      <c r="Y56" s="20" t="s">
        <v>58</v>
      </c>
      <c r="Z56" s="20" t="s">
        <v>58</v>
      </c>
      <c r="AA56" s="20" t="s">
        <v>58</v>
      </c>
      <c r="AB56" s="20" t="s">
        <v>58</v>
      </c>
      <c r="AC56" s="20" t="s">
        <v>58</v>
      </c>
      <c r="AD56" s="20" t="s">
        <v>58</v>
      </c>
      <c r="AE56" s="20" t="s">
        <v>58</v>
      </c>
      <c r="AF56" s="20" t="s">
        <v>61</v>
      </c>
      <c r="AG56" s="20" t="s">
        <v>61</v>
      </c>
      <c r="AH56" s="20" t="s">
        <v>58</v>
      </c>
      <c r="AI56" s="19">
        <v>50.0</v>
      </c>
      <c r="AJ56" s="19">
        <v>1100.0</v>
      </c>
      <c r="AK56" s="19">
        <v>50.0</v>
      </c>
      <c r="AL56" s="19">
        <v>0.0</v>
      </c>
      <c r="AM56" s="25"/>
      <c r="AN56" s="19">
        <v>600.0</v>
      </c>
      <c r="AO56" s="19">
        <v>1200.0</v>
      </c>
      <c r="AP56" s="29" t="s">
        <v>65</v>
      </c>
      <c r="AQ56" s="19"/>
    </row>
    <row r="57">
      <c r="A57" s="19">
        <v>51.0</v>
      </c>
      <c r="B57" s="20" t="s">
        <v>779</v>
      </c>
      <c r="C57" s="20" t="s">
        <v>780</v>
      </c>
      <c r="D57" s="20" t="s">
        <v>781</v>
      </c>
      <c r="E57" s="20" t="s">
        <v>49</v>
      </c>
      <c r="F57" s="23" t="s">
        <v>69</v>
      </c>
      <c r="G57" s="23" t="s">
        <v>69</v>
      </c>
      <c r="H57" s="20" t="s">
        <v>784</v>
      </c>
      <c r="I57" s="20" t="s">
        <v>785</v>
      </c>
      <c r="J57" s="20" t="s">
        <v>785</v>
      </c>
      <c r="K57" s="20" t="s">
        <v>55</v>
      </c>
      <c r="L57" s="20" t="s">
        <v>56</v>
      </c>
      <c r="M57" s="20" t="s">
        <v>57</v>
      </c>
      <c r="N57" s="20" t="s">
        <v>58</v>
      </c>
      <c r="O57" s="19">
        <v>2500.0</v>
      </c>
      <c r="P57" s="19">
        <v>3000.0</v>
      </c>
      <c r="Q57" s="20" t="s">
        <v>59</v>
      </c>
      <c r="R57" s="20" t="s">
        <v>58</v>
      </c>
      <c r="S57" s="20" t="s">
        <v>58</v>
      </c>
      <c r="T57" s="20" t="s">
        <v>787</v>
      </c>
      <c r="U57" s="25"/>
      <c r="V57" s="20" t="s">
        <v>61</v>
      </c>
      <c r="W57" s="20" t="s">
        <v>58</v>
      </c>
      <c r="X57" s="20" t="s">
        <v>58</v>
      </c>
      <c r="Y57" s="20" t="s">
        <v>58</v>
      </c>
      <c r="Z57" s="20" t="s">
        <v>58</v>
      </c>
      <c r="AA57" s="20" t="s">
        <v>58</v>
      </c>
      <c r="AB57" s="20" t="s">
        <v>58</v>
      </c>
      <c r="AC57" s="20" t="s">
        <v>58</v>
      </c>
      <c r="AD57" s="20" t="s">
        <v>58</v>
      </c>
      <c r="AE57" s="20" t="s">
        <v>58</v>
      </c>
      <c r="AF57" s="20" t="s">
        <v>61</v>
      </c>
      <c r="AG57" s="20" t="s">
        <v>61</v>
      </c>
      <c r="AH57" s="20" t="s">
        <v>58</v>
      </c>
      <c r="AI57" s="19">
        <v>20.0</v>
      </c>
      <c r="AJ57" s="19">
        <v>250.0</v>
      </c>
      <c r="AK57" s="19">
        <v>20.0</v>
      </c>
      <c r="AL57" s="19">
        <v>0.0</v>
      </c>
      <c r="AM57" s="20" t="s">
        <v>792</v>
      </c>
      <c r="AN57" s="19">
        <v>2500.0</v>
      </c>
      <c r="AO57" s="19">
        <v>3000.0</v>
      </c>
      <c r="AP57" s="26" t="s">
        <v>65</v>
      </c>
      <c r="AQ57" s="19"/>
    </row>
    <row r="58">
      <c r="A58" s="19">
        <v>52.0</v>
      </c>
      <c r="B58" s="20" t="s">
        <v>793</v>
      </c>
      <c r="C58" s="20" t="s">
        <v>795</v>
      </c>
      <c r="D58" s="23" t="s">
        <v>797</v>
      </c>
      <c r="E58" s="20" t="s">
        <v>49</v>
      </c>
      <c r="F58" s="23" t="s">
        <v>69</v>
      </c>
      <c r="G58" s="23" t="s">
        <v>69</v>
      </c>
      <c r="H58" s="20" t="s">
        <v>799</v>
      </c>
      <c r="I58" s="20" t="s">
        <v>800</v>
      </c>
      <c r="J58" s="20" t="s">
        <v>800</v>
      </c>
      <c r="K58" s="20" t="s">
        <v>55</v>
      </c>
      <c r="L58" s="20" t="s">
        <v>56</v>
      </c>
      <c r="M58" s="20" t="s">
        <v>57</v>
      </c>
      <c r="N58" s="20" t="s">
        <v>58</v>
      </c>
      <c r="O58" s="19">
        <v>2500.0</v>
      </c>
      <c r="P58" s="19">
        <v>3500.0</v>
      </c>
      <c r="Q58" s="20" t="s">
        <v>59</v>
      </c>
      <c r="R58" s="20" t="s">
        <v>58</v>
      </c>
      <c r="S58" s="20" t="s">
        <v>58</v>
      </c>
      <c r="T58" s="25"/>
      <c r="U58" s="25"/>
      <c r="V58" s="20" t="s">
        <v>61</v>
      </c>
      <c r="W58" s="20" t="s">
        <v>58</v>
      </c>
      <c r="X58" s="20" t="s">
        <v>58</v>
      </c>
      <c r="Y58" s="20" t="s">
        <v>58</v>
      </c>
      <c r="Z58" s="20" t="s">
        <v>58</v>
      </c>
      <c r="AA58" s="20" t="s">
        <v>58</v>
      </c>
      <c r="AB58" s="20" t="s">
        <v>58</v>
      </c>
      <c r="AC58" s="20" t="s">
        <v>58</v>
      </c>
      <c r="AD58" s="20" t="s">
        <v>58</v>
      </c>
      <c r="AE58" s="20" t="s">
        <v>58</v>
      </c>
      <c r="AF58" s="20" t="s">
        <v>61</v>
      </c>
      <c r="AG58" s="20" t="s">
        <v>61</v>
      </c>
      <c r="AH58" s="20" t="s">
        <v>58</v>
      </c>
      <c r="AI58" s="19">
        <v>20.0</v>
      </c>
      <c r="AJ58" s="19">
        <v>300.0</v>
      </c>
      <c r="AK58" s="19">
        <v>20.0</v>
      </c>
      <c r="AL58" s="19">
        <v>0.0</v>
      </c>
      <c r="AM58" s="25"/>
      <c r="AN58" s="19">
        <v>2500.0</v>
      </c>
      <c r="AO58" s="19">
        <v>3500.0</v>
      </c>
      <c r="AP58" s="26" t="s">
        <v>65</v>
      </c>
      <c r="AQ58" s="19"/>
    </row>
    <row r="59">
      <c r="A59" s="31">
        <v>53.0</v>
      </c>
      <c r="B59" s="32" t="s">
        <v>805</v>
      </c>
      <c r="C59" s="32" t="s">
        <v>807</v>
      </c>
      <c r="D59" s="32" t="s">
        <v>810</v>
      </c>
      <c r="E59" s="32" t="s">
        <v>49</v>
      </c>
      <c r="F59" s="40" t="s">
        <v>813</v>
      </c>
      <c r="G59" s="32" t="s">
        <v>820</v>
      </c>
      <c r="H59" s="32" t="s">
        <v>75</v>
      </c>
      <c r="I59" s="32" t="s">
        <v>76</v>
      </c>
      <c r="J59" s="32" t="s">
        <v>76</v>
      </c>
      <c r="K59" s="32" t="s">
        <v>55</v>
      </c>
      <c r="L59" s="32" t="s">
        <v>56</v>
      </c>
      <c r="M59" s="32" t="s">
        <v>57</v>
      </c>
      <c r="N59" s="32" t="s">
        <v>58</v>
      </c>
      <c r="O59" s="31">
        <v>900.0</v>
      </c>
      <c r="P59" s="31">
        <v>1200.0</v>
      </c>
      <c r="Q59" s="32" t="s">
        <v>59</v>
      </c>
      <c r="R59" s="32" t="s">
        <v>58</v>
      </c>
      <c r="S59" s="32" t="s">
        <v>58</v>
      </c>
      <c r="T59" s="32" t="s">
        <v>823</v>
      </c>
      <c r="U59" s="39"/>
      <c r="V59" s="32" t="s">
        <v>61</v>
      </c>
      <c r="W59" s="32" t="s">
        <v>58</v>
      </c>
      <c r="X59" s="32" t="s">
        <v>58</v>
      </c>
      <c r="Y59" s="32" t="s">
        <v>58</v>
      </c>
      <c r="Z59" s="32" t="s">
        <v>58</v>
      </c>
      <c r="AA59" s="32" t="s">
        <v>58</v>
      </c>
      <c r="AB59" s="32" t="s">
        <v>58</v>
      </c>
      <c r="AC59" s="32" t="s">
        <v>58</v>
      </c>
      <c r="AD59" s="32" t="s">
        <v>58</v>
      </c>
      <c r="AE59" s="32" t="s">
        <v>58</v>
      </c>
      <c r="AF59" s="32" t="s">
        <v>61</v>
      </c>
      <c r="AG59" s="32" t="s">
        <v>61</v>
      </c>
      <c r="AH59" s="32" t="s">
        <v>58</v>
      </c>
      <c r="AI59" s="31">
        <v>20.0</v>
      </c>
      <c r="AJ59" s="31">
        <v>10000.0</v>
      </c>
      <c r="AK59" s="31">
        <v>20.0</v>
      </c>
      <c r="AL59" s="31">
        <v>0.0</v>
      </c>
      <c r="AM59" s="39"/>
      <c r="AN59" s="31">
        <v>900.0</v>
      </c>
      <c r="AO59" s="31">
        <v>1200.0</v>
      </c>
      <c r="AP59" s="34" t="s">
        <v>65</v>
      </c>
      <c r="AQ59" s="21">
        <v>2.0</v>
      </c>
    </row>
    <row r="60">
      <c r="A60" s="19">
        <v>54.0</v>
      </c>
      <c r="B60" s="20" t="s">
        <v>829</v>
      </c>
      <c r="C60" s="20" t="s">
        <v>831</v>
      </c>
      <c r="D60" s="25"/>
      <c r="E60" s="20" t="s">
        <v>49</v>
      </c>
      <c r="F60" s="23" t="s">
        <v>122</v>
      </c>
      <c r="G60" s="25"/>
      <c r="H60" s="20" t="s">
        <v>75</v>
      </c>
      <c r="I60" s="20" t="s">
        <v>76</v>
      </c>
      <c r="J60" s="20" t="s">
        <v>76</v>
      </c>
      <c r="K60" s="20" t="s">
        <v>55</v>
      </c>
      <c r="L60" s="20" t="s">
        <v>56</v>
      </c>
      <c r="M60" s="20" t="s">
        <v>57</v>
      </c>
      <c r="N60" s="20" t="s">
        <v>58</v>
      </c>
      <c r="O60" s="19">
        <v>500.0</v>
      </c>
      <c r="P60" s="19">
        <v>800.0</v>
      </c>
      <c r="Q60" s="20" t="s">
        <v>59</v>
      </c>
      <c r="R60" s="20" t="s">
        <v>58</v>
      </c>
      <c r="S60" s="20" t="s">
        <v>58</v>
      </c>
      <c r="T60" s="25"/>
      <c r="U60" s="25"/>
      <c r="V60" s="20" t="s">
        <v>61</v>
      </c>
      <c r="W60" s="20" t="s">
        <v>58</v>
      </c>
      <c r="X60" s="20" t="s">
        <v>58</v>
      </c>
      <c r="Y60" s="20" t="s">
        <v>58</v>
      </c>
      <c r="Z60" s="20" t="s">
        <v>58</v>
      </c>
      <c r="AA60" s="20" t="s">
        <v>58</v>
      </c>
      <c r="AB60" s="20" t="s">
        <v>58</v>
      </c>
      <c r="AC60" s="20" t="s">
        <v>58</v>
      </c>
      <c r="AD60" s="20" t="s">
        <v>58</v>
      </c>
      <c r="AE60" s="20" t="s">
        <v>58</v>
      </c>
      <c r="AF60" s="20" t="s">
        <v>61</v>
      </c>
      <c r="AG60" s="20" t="s">
        <v>61</v>
      </c>
      <c r="AH60" s="20" t="s">
        <v>58</v>
      </c>
      <c r="AI60" s="19">
        <v>100.0</v>
      </c>
      <c r="AJ60" s="19">
        <v>1000.0</v>
      </c>
      <c r="AK60" s="19">
        <v>100.0</v>
      </c>
      <c r="AL60" s="19">
        <v>0.0</v>
      </c>
      <c r="AM60" s="25"/>
      <c r="AN60" s="19">
        <v>500.0</v>
      </c>
      <c r="AO60" s="19">
        <v>800.0</v>
      </c>
      <c r="AP60" s="26" t="s">
        <v>65</v>
      </c>
      <c r="AQ60" s="19"/>
    </row>
    <row r="61">
      <c r="A61" s="19">
        <v>55.0</v>
      </c>
      <c r="B61" s="20" t="s">
        <v>838</v>
      </c>
      <c r="C61" s="20" t="s">
        <v>839</v>
      </c>
      <c r="D61" s="53" t="s">
        <v>840</v>
      </c>
      <c r="E61" s="20" t="s">
        <v>49</v>
      </c>
      <c r="F61" s="23" t="s">
        <v>122</v>
      </c>
      <c r="G61" s="54" t="s">
        <v>841</v>
      </c>
      <c r="H61" s="20" t="s">
        <v>75</v>
      </c>
      <c r="I61" s="20" t="s">
        <v>76</v>
      </c>
      <c r="J61" s="20" t="s">
        <v>76</v>
      </c>
      <c r="K61" s="20" t="s">
        <v>55</v>
      </c>
      <c r="L61" s="20" t="s">
        <v>56</v>
      </c>
      <c r="M61" s="20" t="s">
        <v>57</v>
      </c>
      <c r="N61" s="20" t="s">
        <v>58</v>
      </c>
      <c r="O61" s="19">
        <v>1000.0</v>
      </c>
      <c r="P61" s="19">
        <v>1500.0</v>
      </c>
      <c r="Q61" s="20" t="s">
        <v>59</v>
      </c>
      <c r="R61" s="20" t="s">
        <v>58</v>
      </c>
      <c r="S61" s="20" t="s">
        <v>58</v>
      </c>
      <c r="T61" s="25"/>
      <c r="U61" s="25"/>
      <c r="V61" s="20" t="s">
        <v>61</v>
      </c>
      <c r="W61" s="20" t="s">
        <v>58</v>
      </c>
      <c r="X61" s="20" t="s">
        <v>58</v>
      </c>
      <c r="Y61" s="20" t="s">
        <v>58</v>
      </c>
      <c r="Z61" s="20" t="s">
        <v>58</v>
      </c>
      <c r="AA61" s="20" t="s">
        <v>58</v>
      </c>
      <c r="AB61" s="20" t="s">
        <v>58</v>
      </c>
      <c r="AC61" s="20" t="s">
        <v>58</v>
      </c>
      <c r="AD61" s="20" t="s">
        <v>58</v>
      </c>
      <c r="AE61" s="20" t="s">
        <v>58</v>
      </c>
      <c r="AF61" s="20" t="s">
        <v>61</v>
      </c>
      <c r="AG61" s="20" t="s">
        <v>61</v>
      </c>
      <c r="AH61" s="20" t="s">
        <v>58</v>
      </c>
      <c r="AI61" s="19">
        <v>10000.0</v>
      </c>
      <c r="AJ61" s="19">
        <v>50.0</v>
      </c>
      <c r="AK61" s="19">
        <v>10000.0</v>
      </c>
      <c r="AL61" s="19">
        <v>0.0</v>
      </c>
      <c r="AM61" s="25"/>
      <c r="AN61" s="19">
        <v>1000.0</v>
      </c>
      <c r="AO61" s="19">
        <v>1500.0</v>
      </c>
      <c r="AP61" s="26" t="s">
        <v>757</v>
      </c>
      <c r="AQ61" s="19"/>
    </row>
    <row r="62">
      <c r="A62" s="19">
        <v>56.0</v>
      </c>
      <c r="B62" s="20" t="s">
        <v>849</v>
      </c>
      <c r="C62" s="20" t="s">
        <v>850</v>
      </c>
      <c r="D62" s="20" t="s">
        <v>852</v>
      </c>
      <c r="E62" s="20" t="s">
        <v>49</v>
      </c>
      <c r="F62" s="23" t="s">
        <v>69</v>
      </c>
      <c r="G62" s="55">
        <f>+917042287023</f>
        <v>917042287023</v>
      </c>
      <c r="H62" s="20" t="s">
        <v>266</v>
      </c>
      <c r="I62" s="20" t="s">
        <v>267</v>
      </c>
      <c r="J62" s="20" t="s">
        <v>267</v>
      </c>
      <c r="K62" s="20" t="s">
        <v>55</v>
      </c>
      <c r="L62" s="20" t="s">
        <v>56</v>
      </c>
      <c r="M62" s="20" t="s">
        <v>57</v>
      </c>
      <c r="N62" s="20" t="s">
        <v>58</v>
      </c>
      <c r="O62" s="19">
        <v>450.0</v>
      </c>
      <c r="P62" s="19">
        <v>550.0</v>
      </c>
      <c r="Q62" s="20" t="s">
        <v>59</v>
      </c>
      <c r="R62" s="20" t="s">
        <v>58</v>
      </c>
      <c r="S62" s="20" t="s">
        <v>58</v>
      </c>
      <c r="T62" s="20" t="s">
        <v>856</v>
      </c>
      <c r="U62" s="25"/>
      <c r="V62" s="20" t="s">
        <v>61</v>
      </c>
      <c r="W62" s="20" t="s">
        <v>58</v>
      </c>
      <c r="X62" s="20" t="s">
        <v>58</v>
      </c>
      <c r="Y62" s="20" t="s">
        <v>58</v>
      </c>
      <c r="Z62" s="20" t="s">
        <v>58</v>
      </c>
      <c r="AA62" s="20" t="s">
        <v>58</v>
      </c>
      <c r="AB62" s="20" t="s">
        <v>58</v>
      </c>
      <c r="AC62" s="20" t="s">
        <v>58</v>
      </c>
      <c r="AD62" s="20" t="s">
        <v>58</v>
      </c>
      <c r="AE62" s="20" t="s">
        <v>58</v>
      </c>
      <c r="AF62" s="20" t="s">
        <v>61</v>
      </c>
      <c r="AG62" s="20" t="s">
        <v>61</v>
      </c>
      <c r="AH62" s="20" t="s">
        <v>58</v>
      </c>
      <c r="AI62" s="19">
        <v>50.0</v>
      </c>
      <c r="AJ62" s="19">
        <v>2000.0</v>
      </c>
      <c r="AK62" s="19">
        <v>50.0</v>
      </c>
      <c r="AL62" s="19">
        <v>0.0</v>
      </c>
      <c r="AM62" s="25"/>
      <c r="AN62" s="19">
        <v>450.0</v>
      </c>
      <c r="AO62" s="19">
        <v>550.0</v>
      </c>
      <c r="AP62" s="24" t="s">
        <v>757</v>
      </c>
      <c r="AQ62" s="26"/>
    </row>
    <row r="63">
      <c r="A63" s="19">
        <v>57.0</v>
      </c>
      <c r="B63" s="20" t="s">
        <v>865</v>
      </c>
      <c r="C63" s="20" t="s">
        <v>866</v>
      </c>
      <c r="D63" s="53" t="s">
        <v>867</v>
      </c>
      <c r="E63" s="20" t="s">
        <v>49</v>
      </c>
      <c r="F63" s="23" t="s">
        <v>69</v>
      </c>
      <c r="G63" s="54" t="s">
        <v>868</v>
      </c>
      <c r="H63" s="20" t="s">
        <v>75</v>
      </c>
      <c r="I63" s="20" t="s">
        <v>76</v>
      </c>
      <c r="J63" s="20" t="s">
        <v>76</v>
      </c>
      <c r="K63" s="20" t="s">
        <v>55</v>
      </c>
      <c r="L63" s="20" t="s">
        <v>56</v>
      </c>
      <c r="M63" s="20" t="s">
        <v>57</v>
      </c>
      <c r="N63" s="20" t="s">
        <v>58</v>
      </c>
      <c r="O63" s="19">
        <v>1200.0</v>
      </c>
      <c r="P63" s="19">
        <v>1500.0</v>
      </c>
      <c r="Q63" s="20" t="s">
        <v>59</v>
      </c>
      <c r="R63" s="20" t="s">
        <v>58</v>
      </c>
      <c r="S63" s="20" t="s">
        <v>58</v>
      </c>
      <c r="T63" s="25"/>
      <c r="U63" s="25"/>
      <c r="V63" s="20" t="s">
        <v>61</v>
      </c>
      <c r="W63" s="20" t="s">
        <v>58</v>
      </c>
      <c r="X63" s="20" t="s">
        <v>58</v>
      </c>
      <c r="Y63" s="20" t="s">
        <v>58</v>
      </c>
      <c r="Z63" s="20" t="s">
        <v>58</v>
      </c>
      <c r="AA63" s="20" t="s">
        <v>58</v>
      </c>
      <c r="AB63" s="20" t="s">
        <v>58</v>
      </c>
      <c r="AC63" s="20" t="s">
        <v>58</v>
      </c>
      <c r="AD63" s="20" t="s">
        <v>58</v>
      </c>
      <c r="AE63" s="20" t="s">
        <v>58</v>
      </c>
      <c r="AF63" s="20" t="s">
        <v>61</v>
      </c>
      <c r="AG63" s="20" t="s">
        <v>61</v>
      </c>
      <c r="AH63" s="20" t="s">
        <v>58</v>
      </c>
      <c r="AI63" s="19">
        <v>25.0</v>
      </c>
      <c r="AJ63" s="19">
        <v>20000.0</v>
      </c>
      <c r="AK63" s="19">
        <v>25.0</v>
      </c>
      <c r="AL63" s="19">
        <v>0.0</v>
      </c>
      <c r="AM63" s="25"/>
      <c r="AN63" s="19">
        <v>1200.0</v>
      </c>
      <c r="AO63" s="19">
        <v>1500.0</v>
      </c>
      <c r="AP63" s="26" t="s">
        <v>757</v>
      </c>
      <c r="AQ63" s="19"/>
    </row>
    <row r="64">
      <c r="A64" s="19">
        <v>58.0</v>
      </c>
      <c r="B64" s="20" t="s">
        <v>882</v>
      </c>
      <c r="C64" s="20" t="s">
        <v>883</v>
      </c>
      <c r="D64" s="56" t="s">
        <v>884</v>
      </c>
      <c r="E64" s="20" t="s">
        <v>49</v>
      </c>
      <c r="F64" s="23" t="s">
        <v>69</v>
      </c>
      <c r="G64" s="54" t="s">
        <v>885</v>
      </c>
      <c r="H64" s="20" t="s">
        <v>75</v>
      </c>
      <c r="I64" s="20" t="s">
        <v>76</v>
      </c>
      <c r="J64" s="20" t="s">
        <v>76</v>
      </c>
      <c r="K64" s="20" t="s">
        <v>55</v>
      </c>
      <c r="L64" s="20" t="s">
        <v>56</v>
      </c>
      <c r="M64" s="20" t="s">
        <v>57</v>
      </c>
      <c r="N64" s="20" t="s">
        <v>58</v>
      </c>
      <c r="O64" s="19">
        <v>1500.0</v>
      </c>
      <c r="P64" s="19">
        <v>2000.0</v>
      </c>
      <c r="Q64" s="20" t="s">
        <v>59</v>
      </c>
      <c r="R64" s="20" t="s">
        <v>58</v>
      </c>
      <c r="S64" s="20" t="s">
        <v>58</v>
      </c>
      <c r="T64" s="25"/>
      <c r="U64" s="25"/>
      <c r="V64" s="20" t="s">
        <v>61</v>
      </c>
      <c r="W64" s="20" t="s">
        <v>58</v>
      </c>
      <c r="X64" s="20" t="s">
        <v>58</v>
      </c>
      <c r="Y64" s="20" t="s">
        <v>58</v>
      </c>
      <c r="Z64" s="20" t="s">
        <v>58</v>
      </c>
      <c r="AA64" s="20" t="s">
        <v>58</v>
      </c>
      <c r="AB64" s="20" t="s">
        <v>58</v>
      </c>
      <c r="AC64" s="20" t="s">
        <v>58</v>
      </c>
      <c r="AD64" s="20" t="s">
        <v>58</v>
      </c>
      <c r="AE64" s="20" t="s">
        <v>58</v>
      </c>
      <c r="AF64" s="20" t="s">
        <v>61</v>
      </c>
      <c r="AG64" s="20" t="s">
        <v>61</v>
      </c>
      <c r="AH64" s="20" t="s">
        <v>58</v>
      </c>
      <c r="AI64" s="19">
        <v>100.0</v>
      </c>
      <c r="AJ64" s="19">
        <v>3000.0</v>
      </c>
      <c r="AK64" s="19">
        <v>100.0</v>
      </c>
      <c r="AL64" s="19">
        <v>0.0</v>
      </c>
      <c r="AM64" s="25"/>
      <c r="AN64" s="19">
        <v>1500.0</v>
      </c>
      <c r="AO64" s="19">
        <v>2000.0</v>
      </c>
      <c r="AP64" s="26" t="s">
        <v>757</v>
      </c>
      <c r="AQ64" s="19"/>
    </row>
    <row r="65">
      <c r="A65" s="19">
        <v>59.0</v>
      </c>
      <c r="B65" s="20" t="s">
        <v>889</v>
      </c>
      <c r="C65" s="20" t="s">
        <v>890</v>
      </c>
      <c r="D65" s="53" t="s">
        <v>891</v>
      </c>
      <c r="E65" s="20" t="s">
        <v>49</v>
      </c>
      <c r="F65" s="23" t="s">
        <v>69</v>
      </c>
      <c r="G65" s="54" t="s">
        <v>892</v>
      </c>
      <c r="H65" s="20" t="s">
        <v>75</v>
      </c>
      <c r="I65" s="20" t="s">
        <v>76</v>
      </c>
      <c r="J65" s="20" t="s">
        <v>76</v>
      </c>
      <c r="K65" s="20" t="s">
        <v>55</v>
      </c>
      <c r="L65" s="20" t="s">
        <v>56</v>
      </c>
      <c r="M65" s="20" t="s">
        <v>57</v>
      </c>
      <c r="N65" s="20" t="s">
        <v>58</v>
      </c>
      <c r="O65" s="19">
        <v>2500.0</v>
      </c>
      <c r="P65" s="19">
        <v>2800.0</v>
      </c>
      <c r="Q65" s="20" t="s">
        <v>59</v>
      </c>
      <c r="R65" s="20" t="s">
        <v>58</v>
      </c>
      <c r="S65" s="20" t="s">
        <v>58</v>
      </c>
      <c r="T65" s="25"/>
      <c r="U65" s="25"/>
      <c r="V65" s="20" t="s">
        <v>61</v>
      </c>
      <c r="W65" s="20" t="s">
        <v>58</v>
      </c>
      <c r="X65" s="20" t="s">
        <v>58</v>
      </c>
      <c r="Y65" s="20" t="s">
        <v>58</v>
      </c>
      <c r="Z65" s="20" t="s">
        <v>58</v>
      </c>
      <c r="AA65" s="20" t="s">
        <v>58</v>
      </c>
      <c r="AB65" s="20" t="s">
        <v>58</v>
      </c>
      <c r="AC65" s="20" t="s">
        <v>58</v>
      </c>
      <c r="AD65" s="20" t="s">
        <v>58</v>
      </c>
      <c r="AE65" s="20" t="s">
        <v>58</v>
      </c>
      <c r="AF65" s="20" t="s">
        <v>61</v>
      </c>
      <c r="AG65" s="20" t="s">
        <v>61</v>
      </c>
      <c r="AH65" s="20" t="s">
        <v>58</v>
      </c>
      <c r="AI65" s="19">
        <v>150.0</v>
      </c>
      <c r="AJ65" s="19">
        <v>1000.0</v>
      </c>
      <c r="AK65" s="19">
        <v>150.0</v>
      </c>
      <c r="AL65" s="19">
        <v>0.0</v>
      </c>
      <c r="AM65" s="25"/>
      <c r="AN65" s="19">
        <v>2500.0</v>
      </c>
      <c r="AO65" s="19">
        <v>2800.0</v>
      </c>
      <c r="AP65" s="26" t="s">
        <v>757</v>
      </c>
      <c r="AQ65" s="19"/>
    </row>
    <row r="66">
      <c r="A66" s="19">
        <v>60.0</v>
      </c>
      <c r="B66" s="20" t="s">
        <v>895</v>
      </c>
      <c r="C66" s="20" t="s">
        <v>896</v>
      </c>
      <c r="D66" s="53" t="s">
        <v>897</v>
      </c>
      <c r="E66" s="20" t="s">
        <v>49</v>
      </c>
      <c r="F66" s="23" t="s">
        <v>69</v>
      </c>
      <c r="G66" s="54" t="s">
        <v>898</v>
      </c>
      <c r="H66" s="20" t="s">
        <v>899</v>
      </c>
      <c r="I66" s="20" t="s">
        <v>900</v>
      </c>
      <c r="J66" s="20" t="s">
        <v>900</v>
      </c>
      <c r="K66" s="20" t="s">
        <v>55</v>
      </c>
      <c r="L66" s="20" t="s">
        <v>56</v>
      </c>
      <c r="M66" s="20" t="s">
        <v>57</v>
      </c>
      <c r="N66" s="20" t="s">
        <v>58</v>
      </c>
      <c r="O66" s="19">
        <v>500.0</v>
      </c>
      <c r="P66" s="25"/>
      <c r="Q66" s="20" t="s">
        <v>59</v>
      </c>
      <c r="R66" s="20" t="s">
        <v>58</v>
      </c>
      <c r="S66" s="20" t="s">
        <v>58</v>
      </c>
      <c r="T66" s="25"/>
      <c r="U66" s="25"/>
      <c r="V66" s="20" t="s">
        <v>61</v>
      </c>
      <c r="W66" s="20" t="s">
        <v>58</v>
      </c>
      <c r="X66" s="20" t="s">
        <v>58</v>
      </c>
      <c r="Y66" s="20" t="s">
        <v>58</v>
      </c>
      <c r="Z66" s="20" t="s">
        <v>58</v>
      </c>
      <c r="AA66" s="20" t="s">
        <v>58</v>
      </c>
      <c r="AB66" s="20" t="s">
        <v>58</v>
      </c>
      <c r="AC66" s="20" t="s">
        <v>58</v>
      </c>
      <c r="AD66" s="20" t="s">
        <v>58</v>
      </c>
      <c r="AE66" s="20" t="s">
        <v>58</v>
      </c>
      <c r="AF66" s="20" t="s">
        <v>61</v>
      </c>
      <c r="AG66" s="20" t="s">
        <v>61</v>
      </c>
      <c r="AH66" s="20" t="s">
        <v>58</v>
      </c>
      <c r="AI66" s="19">
        <v>100.0</v>
      </c>
      <c r="AJ66" s="19">
        <v>10000.0</v>
      </c>
      <c r="AK66" s="19">
        <v>100.0</v>
      </c>
      <c r="AL66" s="19">
        <v>0.0</v>
      </c>
      <c r="AM66" s="25"/>
      <c r="AN66" s="19">
        <v>500.0</v>
      </c>
      <c r="AO66" s="19">
        <v>0.0</v>
      </c>
      <c r="AP66" s="26" t="s">
        <v>757</v>
      </c>
      <c r="AQ66" s="19"/>
    </row>
    <row r="67">
      <c r="A67" s="19">
        <v>61.0</v>
      </c>
      <c r="B67" s="20" t="s">
        <v>905</v>
      </c>
      <c r="C67" s="20" t="s">
        <v>906</v>
      </c>
      <c r="D67" s="53" t="s">
        <v>907</v>
      </c>
      <c r="E67" s="20" t="s">
        <v>49</v>
      </c>
      <c r="F67" s="23" t="s">
        <v>69</v>
      </c>
      <c r="G67" s="54" t="s">
        <v>908</v>
      </c>
      <c r="H67" s="20" t="s">
        <v>75</v>
      </c>
      <c r="I67" s="20" t="s">
        <v>76</v>
      </c>
      <c r="J67" s="20" t="s">
        <v>76</v>
      </c>
      <c r="K67" s="20" t="s">
        <v>55</v>
      </c>
      <c r="L67" s="20" t="s">
        <v>56</v>
      </c>
      <c r="M67" s="20" t="s">
        <v>57</v>
      </c>
      <c r="N67" s="20" t="s">
        <v>58</v>
      </c>
      <c r="O67" s="19">
        <v>699.0</v>
      </c>
      <c r="P67" s="19">
        <v>999.0</v>
      </c>
      <c r="Q67" s="20" t="s">
        <v>59</v>
      </c>
      <c r="R67" s="20" t="s">
        <v>58</v>
      </c>
      <c r="S67" s="20" t="s">
        <v>58</v>
      </c>
      <c r="T67" s="25"/>
      <c r="U67" s="25"/>
      <c r="V67" s="20" t="s">
        <v>61</v>
      </c>
      <c r="W67" s="20" t="s">
        <v>58</v>
      </c>
      <c r="X67" s="20" t="s">
        <v>58</v>
      </c>
      <c r="Y67" s="20" t="s">
        <v>58</v>
      </c>
      <c r="Z67" s="20" t="s">
        <v>58</v>
      </c>
      <c r="AA67" s="20" t="s">
        <v>58</v>
      </c>
      <c r="AB67" s="20" t="s">
        <v>58</v>
      </c>
      <c r="AC67" s="20" t="s">
        <v>58</v>
      </c>
      <c r="AD67" s="20" t="s">
        <v>58</v>
      </c>
      <c r="AE67" s="20" t="s">
        <v>58</v>
      </c>
      <c r="AF67" s="20" t="s">
        <v>61</v>
      </c>
      <c r="AG67" s="20" t="s">
        <v>61</v>
      </c>
      <c r="AH67" s="20" t="s">
        <v>58</v>
      </c>
      <c r="AI67" s="19">
        <v>20.0</v>
      </c>
      <c r="AJ67" s="19">
        <v>500.0</v>
      </c>
      <c r="AK67" s="19">
        <v>20.0</v>
      </c>
      <c r="AL67" s="19">
        <v>0.0</v>
      </c>
      <c r="AM67" s="25"/>
      <c r="AN67" s="19">
        <v>699.0</v>
      </c>
      <c r="AO67" s="19">
        <v>999.0</v>
      </c>
      <c r="AP67" s="26" t="s">
        <v>757</v>
      </c>
      <c r="AQ67" s="19"/>
    </row>
    <row r="68">
      <c r="A68" s="19">
        <v>62.0</v>
      </c>
      <c r="B68" s="20" t="s">
        <v>916</v>
      </c>
      <c r="C68" s="20" t="s">
        <v>918</v>
      </c>
      <c r="D68" s="20" t="s">
        <v>920</v>
      </c>
      <c r="E68" s="20" t="s">
        <v>49</v>
      </c>
      <c r="F68" s="23" t="s">
        <v>69</v>
      </c>
      <c r="G68" s="55">
        <f>+919891924050</f>
        <v>919891924050</v>
      </c>
      <c r="H68" s="20" t="s">
        <v>899</v>
      </c>
      <c r="I68" s="20" t="s">
        <v>900</v>
      </c>
      <c r="J68" s="20" t="s">
        <v>900</v>
      </c>
      <c r="K68" s="20" t="s">
        <v>55</v>
      </c>
      <c r="L68" s="20" t="s">
        <v>56</v>
      </c>
      <c r="M68" s="20" t="s">
        <v>57</v>
      </c>
      <c r="N68" s="20" t="s">
        <v>58</v>
      </c>
      <c r="O68" s="19">
        <v>500.0</v>
      </c>
      <c r="P68" s="19">
        <v>105.0</v>
      </c>
      <c r="Q68" s="20" t="s">
        <v>59</v>
      </c>
      <c r="R68" s="20" t="s">
        <v>58</v>
      </c>
      <c r="S68" s="20" t="s">
        <v>58</v>
      </c>
      <c r="T68" s="20" t="s">
        <v>921</v>
      </c>
      <c r="U68" s="25"/>
      <c r="V68" s="20" t="s">
        <v>61</v>
      </c>
      <c r="W68" s="20" t="s">
        <v>58</v>
      </c>
      <c r="X68" s="20" t="s">
        <v>58</v>
      </c>
      <c r="Y68" s="20" t="s">
        <v>58</v>
      </c>
      <c r="Z68" s="20" t="s">
        <v>58</v>
      </c>
      <c r="AA68" s="20" t="s">
        <v>58</v>
      </c>
      <c r="AB68" s="20" t="s">
        <v>58</v>
      </c>
      <c r="AC68" s="20" t="s">
        <v>58</v>
      </c>
      <c r="AD68" s="20" t="s">
        <v>58</v>
      </c>
      <c r="AE68" s="20" t="s">
        <v>58</v>
      </c>
      <c r="AF68" s="20" t="s">
        <v>61</v>
      </c>
      <c r="AG68" s="20" t="s">
        <v>61</v>
      </c>
      <c r="AH68" s="20" t="s">
        <v>58</v>
      </c>
      <c r="AI68" s="19">
        <v>10000.0</v>
      </c>
      <c r="AJ68" s="19">
        <v>50.0</v>
      </c>
      <c r="AK68" s="19">
        <v>10000.0</v>
      </c>
      <c r="AL68" s="19">
        <v>0.0</v>
      </c>
      <c r="AM68" s="25"/>
      <c r="AN68" s="19">
        <v>500.0</v>
      </c>
      <c r="AO68" s="19">
        <v>105.0</v>
      </c>
      <c r="AP68" s="24" t="s">
        <v>757</v>
      </c>
      <c r="AQ68" s="19"/>
    </row>
    <row r="69">
      <c r="A69" s="19">
        <v>63.0</v>
      </c>
      <c r="B69" s="20" t="s">
        <v>926</v>
      </c>
      <c r="C69" s="20" t="s">
        <v>927</v>
      </c>
      <c r="D69" s="53" t="s">
        <v>928</v>
      </c>
      <c r="E69" s="20" t="s">
        <v>49</v>
      </c>
      <c r="F69" s="23" t="s">
        <v>69</v>
      </c>
      <c r="G69" s="54" t="s">
        <v>929</v>
      </c>
      <c r="H69" s="20" t="s">
        <v>930</v>
      </c>
      <c r="I69" s="20" t="s">
        <v>931</v>
      </c>
      <c r="J69" s="20" t="s">
        <v>931</v>
      </c>
      <c r="K69" s="20" t="s">
        <v>55</v>
      </c>
      <c r="L69" s="20" t="s">
        <v>56</v>
      </c>
      <c r="M69" s="20" t="s">
        <v>57</v>
      </c>
      <c r="N69" s="20" t="s">
        <v>58</v>
      </c>
      <c r="O69" s="19">
        <v>1100.0</v>
      </c>
      <c r="P69" s="19">
        <v>1300.0</v>
      </c>
      <c r="Q69" s="20" t="s">
        <v>59</v>
      </c>
      <c r="R69" s="20" t="s">
        <v>58</v>
      </c>
      <c r="S69" s="20" t="s">
        <v>58</v>
      </c>
      <c r="T69" s="25"/>
      <c r="U69" s="25"/>
      <c r="V69" s="20" t="s">
        <v>61</v>
      </c>
      <c r="W69" s="20" t="s">
        <v>58</v>
      </c>
      <c r="X69" s="20" t="s">
        <v>58</v>
      </c>
      <c r="Y69" s="20" t="s">
        <v>58</v>
      </c>
      <c r="Z69" s="20" t="s">
        <v>58</v>
      </c>
      <c r="AA69" s="20" t="s">
        <v>58</v>
      </c>
      <c r="AB69" s="20" t="s">
        <v>58</v>
      </c>
      <c r="AC69" s="20" t="s">
        <v>58</v>
      </c>
      <c r="AD69" s="20" t="s">
        <v>58</v>
      </c>
      <c r="AE69" s="20" t="s">
        <v>58</v>
      </c>
      <c r="AF69" s="20" t="s">
        <v>61</v>
      </c>
      <c r="AG69" s="20" t="s">
        <v>61</v>
      </c>
      <c r="AH69" s="20" t="s">
        <v>58</v>
      </c>
      <c r="AI69" s="19">
        <v>25.0</v>
      </c>
      <c r="AJ69" s="19">
        <v>20000.0</v>
      </c>
      <c r="AK69" s="19">
        <v>25.0</v>
      </c>
      <c r="AL69" s="19">
        <v>0.0</v>
      </c>
      <c r="AM69" s="25"/>
      <c r="AN69" s="19">
        <v>1100.0</v>
      </c>
      <c r="AO69" s="19">
        <v>1300.0</v>
      </c>
      <c r="AP69" s="26" t="s">
        <v>757</v>
      </c>
      <c r="AQ69" s="19"/>
    </row>
    <row r="70">
      <c r="A70" s="19">
        <v>64.0</v>
      </c>
      <c r="B70" s="20" t="s">
        <v>934</v>
      </c>
      <c r="C70" s="20" t="s">
        <v>935</v>
      </c>
      <c r="D70" s="20" t="s">
        <v>937</v>
      </c>
      <c r="E70" s="20" t="s">
        <v>49</v>
      </c>
      <c r="F70" s="23" t="s">
        <v>69</v>
      </c>
      <c r="G70" s="57">
        <v>9.19560138105E11</v>
      </c>
      <c r="H70" s="20" t="s">
        <v>938</v>
      </c>
      <c r="I70" s="20" t="s">
        <v>939</v>
      </c>
      <c r="J70" s="20" t="s">
        <v>939</v>
      </c>
      <c r="K70" s="20" t="s">
        <v>55</v>
      </c>
      <c r="L70" s="20" t="s">
        <v>56</v>
      </c>
      <c r="M70" s="20" t="s">
        <v>57</v>
      </c>
      <c r="N70" s="20" t="s">
        <v>58</v>
      </c>
      <c r="O70" s="19">
        <v>250.0</v>
      </c>
      <c r="P70" s="19">
        <v>350.0</v>
      </c>
      <c r="Q70" s="20" t="s">
        <v>59</v>
      </c>
      <c r="R70" s="20" t="s">
        <v>58</v>
      </c>
      <c r="S70" s="20" t="s">
        <v>58</v>
      </c>
      <c r="T70" s="20" t="s">
        <v>275</v>
      </c>
      <c r="U70" s="25"/>
      <c r="V70" s="20" t="s">
        <v>61</v>
      </c>
      <c r="W70" s="20" t="s">
        <v>58</v>
      </c>
      <c r="X70" s="20" t="s">
        <v>58</v>
      </c>
      <c r="Y70" s="20" t="s">
        <v>58</v>
      </c>
      <c r="Z70" s="20" t="s">
        <v>58</v>
      </c>
      <c r="AA70" s="20" t="s">
        <v>58</v>
      </c>
      <c r="AB70" s="20" t="s">
        <v>58</v>
      </c>
      <c r="AC70" s="20" t="s">
        <v>58</v>
      </c>
      <c r="AD70" s="20" t="s">
        <v>58</v>
      </c>
      <c r="AE70" s="20" t="s">
        <v>58</v>
      </c>
      <c r="AF70" s="20" t="s">
        <v>61</v>
      </c>
      <c r="AG70" s="20" t="s">
        <v>61</v>
      </c>
      <c r="AH70" s="20" t="s">
        <v>58</v>
      </c>
      <c r="AI70" s="19">
        <v>12000.0</v>
      </c>
      <c r="AJ70" s="19">
        <v>25.0</v>
      </c>
      <c r="AK70" s="19">
        <v>12000.0</v>
      </c>
      <c r="AL70" s="19">
        <v>0.0</v>
      </c>
      <c r="AM70" s="25"/>
      <c r="AN70" s="19">
        <v>250.0</v>
      </c>
      <c r="AO70" s="19">
        <v>350.0</v>
      </c>
      <c r="AP70" s="24" t="s">
        <v>757</v>
      </c>
      <c r="AQ70" s="19"/>
    </row>
    <row r="71">
      <c r="A71" s="19">
        <v>65.0</v>
      </c>
      <c r="B71" s="20" t="s">
        <v>946</v>
      </c>
      <c r="C71" s="20" t="s">
        <v>947</v>
      </c>
      <c r="D71" s="53" t="s">
        <v>949</v>
      </c>
      <c r="E71" s="20" t="s">
        <v>49</v>
      </c>
      <c r="F71" s="23" t="s">
        <v>69</v>
      </c>
      <c r="G71" s="58">
        <f>+919205351860</f>
        <v>919205351860</v>
      </c>
      <c r="H71" s="20" t="s">
        <v>53</v>
      </c>
      <c r="I71" s="20" t="s">
        <v>54</v>
      </c>
      <c r="J71" s="20" t="s">
        <v>54</v>
      </c>
      <c r="K71" s="20" t="s">
        <v>55</v>
      </c>
      <c r="L71" s="20" t="s">
        <v>56</v>
      </c>
      <c r="M71" s="20" t="s">
        <v>57</v>
      </c>
      <c r="N71" s="20" t="s">
        <v>58</v>
      </c>
      <c r="O71" s="19">
        <v>600.0</v>
      </c>
      <c r="P71" s="19">
        <v>800.0</v>
      </c>
      <c r="Q71" s="20" t="s">
        <v>59</v>
      </c>
      <c r="R71" s="20" t="s">
        <v>58</v>
      </c>
      <c r="S71" s="20" t="s">
        <v>58</v>
      </c>
      <c r="T71" s="25"/>
      <c r="U71" s="25"/>
      <c r="V71" s="20" t="s">
        <v>61</v>
      </c>
      <c r="W71" s="20" t="s">
        <v>58</v>
      </c>
      <c r="X71" s="20" t="s">
        <v>58</v>
      </c>
      <c r="Y71" s="20" t="s">
        <v>58</v>
      </c>
      <c r="Z71" s="20" t="s">
        <v>58</v>
      </c>
      <c r="AA71" s="20" t="s">
        <v>58</v>
      </c>
      <c r="AB71" s="20" t="s">
        <v>58</v>
      </c>
      <c r="AC71" s="20" t="s">
        <v>58</v>
      </c>
      <c r="AD71" s="20" t="s">
        <v>58</v>
      </c>
      <c r="AE71" s="20" t="s">
        <v>58</v>
      </c>
      <c r="AF71" s="20" t="s">
        <v>61</v>
      </c>
      <c r="AG71" s="20" t="s">
        <v>61</v>
      </c>
      <c r="AH71" s="20" t="s">
        <v>58</v>
      </c>
      <c r="AI71" s="19">
        <v>25.0</v>
      </c>
      <c r="AJ71" s="19">
        <v>1000.0</v>
      </c>
      <c r="AK71" s="19">
        <v>25.0</v>
      </c>
      <c r="AL71" s="19">
        <v>0.0</v>
      </c>
      <c r="AM71" s="25"/>
      <c r="AN71" s="19">
        <v>600.0</v>
      </c>
      <c r="AO71" s="19">
        <v>800.0</v>
      </c>
      <c r="AP71" s="26" t="s">
        <v>757</v>
      </c>
      <c r="AQ71" s="19"/>
    </row>
    <row r="72">
      <c r="A72" s="19">
        <v>66.0</v>
      </c>
      <c r="B72" s="20" t="s">
        <v>957</v>
      </c>
      <c r="C72" s="20" t="s">
        <v>958</v>
      </c>
      <c r="D72" s="53" t="s">
        <v>959</v>
      </c>
      <c r="E72" s="20" t="s">
        <v>49</v>
      </c>
      <c r="F72" s="23" t="s">
        <v>69</v>
      </c>
      <c r="G72" s="58">
        <f>+919811926307</f>
        <v>919811926307</v>
      </c>
      <c r="H72" s="20" t="s">
        <v>75</v>
      </c>
      <c r="I72" s="20" t="s">
        <v>76</v>
      </c>
      <c r="J72" s="20" t="s">
        <v>76</v>
      </c>
      <c r="K72" s="20" t="s">
        <v>55</v>
      </c>
      <c r="L72" s="20" t="s">
        <v>56</v>
      </c>
      <c r="M72" s="20" t="s">
        <v>57</v>
      </c>
      <c r="N72" s="20" t="s">
        <v>58</v>
      </c>
      <c r="O72" s="19">
        <v>800.0</v>
      </c>
      <c r="P72" s="19">
        <v>1000.0</v>
      </c>
      <c r="Q72" s="20" t="s">
        <v>59</v>
      </c>
      <c r="R72" s="20" t="s">
        <v>58</v>
      </c>
      <c r="S72" s="20" t="s">
        <v>58</v>
      </c>
      <c r="T72" s="25"/>
      <c r="U72" s="25"/>
      <c r="V72" s="20" t="s">
        <v>61</v>
      </c>
      <c r="W72" s="20" t="s">
        <v>58</v>
      </c>
      <c r="X72" s="20" t="s">
        <v>58</v>
      </c>
      <c r="Y72" s="20" t="s">
        <v>58</v>
      </c>
      <c r="Z72" s="20" t="s">
        <v>58</v>
      </c>
      <c r="AA72" s="20" t="s">
        <v>58</v>
      </c>
      <c r="AB72" s="20" t="s">
        <v>58</v>
      </c>
      <c r="AC72" s="20" t="s">
        <v>58</v>
      </c>
      <c r="AD72" s="20" t="s">
        <v>58</v>
      </c>
      <c r="AE72" s="20" t="s">
        <v>58</v>
      </c>
      <c r="AF72" s="20" t="s">
        <v>61</v>
      </c>
      <c r="AG72" s="20" t="s">
        <v>61</v>
      </c>
      <c r="AH72" s="20" t="s">
        <v>58</v>
      </c>
      <c r="AI72" s="19">
        <v>20.0</v>
      </c>
      <c r="AJ72" s="19">
        <v>2000.0</v>
      </c>
      <c r="AK72" s="19">
        <v>20.0</v>
      </c>
      <c r="AL72" s="19">
        <v>0.0</v>
      </c>
      <c r="AM72" s="25"/>
      <c r="AN72" s="19">
        <v>800.0</v>
      </c>
      <c r="AO72" s="19">
        <v>1000.0</v>
      </c>
      <c r="AP72" s="26" t="s">
        <v>757</v>
      </c>
      <c r="AQ72" s="19"/>
    </row>
    <row r="73">
      <c r="A73" s="19">
        <v>67.0</v>
      </c>
      <c r="B73" s="20" t="s">
        <v>964</v>
      </c>
      <c r="C73" s="20" t="s">
        <v>965</v>
      </c>
      <c r="D73" s="20" t="s">
        <v>966</v>
      </c>
      <c r="E73" s="20" t="s">
        <v>49</v>
      </c>
      <c r="F73" s="23" t="s">
        <v>69</v>
      </c>
      <c r="G73" s="55">
        <f>+919871564963</f>
        <v>919871564963</v>
      </c>
      <c r="H73" s="20" t="s">
        <v>967</v>
      </c>
      <c r="I73" s="20" t="s">
        <v>968</v>
      </c>
      <c r="J73" s="20" t="s">
        <v>968</v>
      </c>
      <c r="K73" s="20" t="s">
        <v>55</v>
      </c>
      <c r="L73" s="20" t="s">
        <v>56</v>
      </c>
      <c r="M73" s="20" t="s">
        <v>57</v>
      </c>
      <c r="N73" s="20" t="s">
        <v>58</v>
      </c>
      <c r="O73" s="19">
        <v>800.0</v>
      </c>
      <c r="P73" s="19">
        <v>1100.0</v>
      </c>
      <c r="Q73" s="20" t="s">
        <v>59</v>
      </c>
      <c r="R73" s="20" t="s">
        <v>58</v>
      </c>
      <c r="S73" s="20" t="s">
        <v>58</v>
      </c>
      <c r="T73" s="20" t="s">
        <v>275</v>
      </c>
      <c r="U73" s="25"/>
      <c r="V73" s="20" t="s">
        <v>61</v>
      </c>
      <c r="W73" s="20" t="s">
        <v>58</v>
      </c>
      <c r="X73" s="20" t="s">
        <v>58</v>
      </c>
      <c r="Y73" s="20" t="s">
        <v>58</v>
      </c>
      <c r="Z73" s="20" t="s">
        <v>58</v>
      </c>
      <c r="AA73" s="20" t="s">
        <v>58</v>
      </c>
      <c r="AB73" s="20" t="s">
        <v>58</v>
      </c>
      <c r="AC73" s="20" t="s">
        <v>58</v>
      </c>
      <c r="AD73" s="20" t="s">
        <v>58</v>
      </c>
      <c r="AE73" s="20" t="s">
        <v>58</v>
      </c>
      <c r="AF73" s="20" t="s">
        <v>61</v>
      </c>
      <c r="AG73" s="20" t="s">
        <v>61</v>
      </c>
      <c r="AH73" s="20" t="s">
        <v>58</v>
      </c>
      <c r="AI73" s="19">
        <v>50.0</v>
      </c>
      <c r="AJ73" s="19">
        <v>1000.0</v>
      </c>
      <c r="AK73" s="19">
        <v>50.0</v>
      </c>
      <c r="AL73" s="19">
        <v>0.0</v>
      </c>
      <c r="AM73" s="25"/>
      <c r="AN73" s="19">
        <v>800.0</v>
      </c>
      <c r="AO73" s="19">
        <v>1100.0</v>
      </c>
      <c r="AP73" s="24" t="s">
        <v>757</v>
      </c>
      <c r="AQ73" s="26"/>
    </row>
    <row r="74">
      <c r="A74" s="19">
        <v>68.0</v>
      </c>
      <c r="B74" s="20" t="s">
        <v>970</v>
      </c>
      <c r="C74" s="20" t="s">
        <v>971</v>
      </c>
      <c r="D74" s="20" t="s">
        <v>972</v>
      </c>
      <c r="E74" s="20" t="s">
        <v>49</v>
      </c>
      <c r="F74" s="23" t="s">
        <v>69</v>
      </c>
      <c r="G74" s="55">
        <f>+917827807967</f>
        <v>917827807967</v>
      </c>
      <c r="H74" s="20" t="s">
        <v>664</v>
      </c>
      <c r="I74" s="20" t="s">
        <v>665</v>
      </c>
      <c r="J74" s="20" t="s">
        <v>665</v>
      </c>
      <c r="K74" s="20" t="s">
        <v>55</v>
      </c>
      <c r="L74" s="20" t="s">
        <v>56</v>
      </c>
      <c r="M74" s="20" t="s">
        <v>57</v>
      </c>
      <c r="N74" s="20" t="s">
        <v>58</v>
      </c>
      <c r="O74" s="19">
        <v>700.0</v>
      </c>
      <c r="P74" s="19">
        <v>900.0</v>
      </c>
      <c r="Q74" s="20" t="s">
        <v>59</v>
      </c>
      <c r="R74" s="20" t="s">
        <v>58</v>
      </c>
      <c r="S74" s="20" t="s">
        <v>58</v>
      </c>
      <c r="T74" s="25"/>
      <c r="U74" s="25"/>
      <c r="V74" s="20" t="s">
        <v>61</v>
      </c>
      <c r="W74" s="20" t="s">
        <v>58</v>
      </c>
      <c r="X74" s="20" t="s">
        <v>58</v>
      </c>
      <c r="Y74" s="20" t="s">
        <v>58</v>
      </c>
      <c r="Z74" s="20" t="s">
        <v>58</v>
      </c>
      <c r="AA74" s="20" t="s">
        <v>58</v>
      </c>
      <c r="AB74" s="20" t="s">
        <v>58</v>
      </c>
      <c r="AC74" s="20" t="s">
        <v>58</v>
      </c>
      <c r="AD74" s="20" t="s">
        <v>58</v>
      </c>
      <c r="AE74" s="20" t="s">
        <v>58</v>
      </c>
      <c r="AF74" s="20" t="s">
        <v>61</v>
      </c>
      <c r="AG74" s="20" t="s">
        <v>61</v>
      </c>
      <c r="AH74" s="20" t="s">
        <v>58</v>
      </c>
      <c r="AI74" s="19">
        <v>20.0</v>
      </c>
      <c r="AJ74" s="19">
        <v>2500.0</v>
      </c>
      <c r="AK74" s="19">
        <v>20.0</v>
      </c>
      <c r="AL74" s="19">
        <v>0.0</v>
      </c>
      <c r="AM74" s="25"/>
      <c r="AN74" s="19">
        <v>700.0</v>
      </c>
      <c r="AO74" s="19">
        <v>900.0</v>
      </c>
      <c r="AP74" s="24" t="s">
        <v>757</v>
      </c>
      <c r="AQ74" s="19"/>
    </row>
    <row r="75">
      <c r="A75" s="19">
        <v>69.0</v>
      </c>
      <c r="B75" s="20" t="s">
        <v>976</v>
      </c>
      <c r="C75" s="20" t="s">
        <v>977</v>
      </c>
      <c r="D75" s="20" t="s">
        <v>978</v>
      </c>
      <c r="E75" s="20" t="s">
        <v>49</v>
      </c>
      <c r="F75" s="23" t="s">
        <v>69</v>
      </c>
      <c r="G75" s="55">
        <f>+918826355335</f>
        <v>918826355335</v>
      </c>
      <c r="H75" s="20" t="s">
        <v>75</v>
      </c>
      <c r="I75" s="20" t="s">
        <v>76</v>
      </c>
      <c r="J75" s="20" t="s">
        <v>76</v>
      </c>
      <c r="K75" s="20" t="s">
        <v>55</v>
      </c>
      <c r="L75" s="20" t="s">
        <v>56</v>
      </c>
      <c r="M75" s="20" t="s">
        <v>57</v>
      </c>
      <c r="N75" s="20" t="s">
        <v>58</v>
      </c>
      <c r="O75" s="19">
        <v>999.0</v>
      </c>
      <c r="P75" s="25"/>
      <c r="Q75" s="20" t="s">
        <v>59</v>
      </c>
      <c r="R75" s="20" t="s">
        <v>58</v>
      </c>
      <c r="S75" s="20" t="s">
        <v>58</v>
      </c>
      <c r="T75" s="20" t="s">
        <v>275</v>
      </c>
      <c r="U75" s="25"/>
      <c r="V75" s="20" t="s">
        <v>61</v>
      </c>
      <c r="W75" s="20" t="s">
        <v>58</v>
      </c>
      <c r="X75" s="20" t="s">
        <v>58</v>
      </c>
      <c r="Y75" s="20" t="s">
        <v>58</v>
      </c>
      <c r="Z75" s="20" t="s">
        <v>58</v>
      </c>
      <c r="AA75" s="20" t="s">
        <v>58</v>
      </c>
      <c r="AB75" s="20" t="s">
        <v>58</v>
      </c>
      <c r="AC75" s="20" t="s">
        <v>58</v>
      </c>
      <c r="AD75" s="20" t="s">
        <v>58</v>
      </c>
      <c r="AE75" s="20" t="s">
        <v>58</v>
      </c>
      <c r="AF75" s="20" t="s">
        <v>61</v>
      </c>
      <c r="AG75" s="20" t="s">
        <v>61</v>
      </c>
      <c r="AH75" s="20" t="s">
        <v>58</v>
      </c>
      <c r="AI75" s="19">
        <v>50.0</v>
      </c>
      <c r="AJ75" s="19">
        <v>10000.0</v>
      </c>
      <c r="AK75" s="19">
        <v>50.0</v>
      </c>
      <c r="AL75" s="19">
        <v>0.0</v>
      </c>
      <c r="AM75" s="25"/>
      <c r="AN75" s="19">
        <v>999.0</v>
      </c>
      <c r="AO75" s="19">
        <v>0.0</v>
      </c>
      <c r="AP75" s="24" t="s">
        <v>757</v>
      </c>
      <c r="AQ75" s="19"/>
    </row>
    <row r="76">
      <c r="A76" s="19">
        <v>70.0</v>
      </c>
      <c r="B76" s="20" t="s">
        <v>986</v>
      </c>
      <c r="C76" s="20" t="s">
        <v>987</v>
      </c>
      <c r="D76" s="53" t="s">
        <v>988</v>
      </c>
      <c r="E76" s="20" t="s">
        <v>49</v>
      </c>
      <c r="F76" s="23" t="s">
        <v>69</v>
      </c>
      <c r="G76" s="58">
        <f>+919810735112</f>
        <v>919810735112</v>
      </c>
      <c r="H76" s="20" t="s">
        <v>989</v>
      </c>
      <c r="I76" s="20" t="s">
        <v>362</v>
      </c>
      <c r="J76" s="20" t="s">
        <v>362</v>
      </c>
      <c r="K76" s="20" t="s">
        <v>55</v>
      </c>
      <c r="L76" s="20" t="s">
        <v>56</v>
      </c>
      <c r="M76" s="20" t="s">
        <v>57</v>
      </c>
      <c r="N76" s="20" t="s">
        <v>58</v>
      </c>
      <c r="O76" s="19">
        <v>500.0</v>
      </c>
      <c r="P76" s="19">
        <v>750.0</v>
      </c>
      <c r="Q76" s="20" t="s">
        <v>59</v>
      </c>
      <c r="R76" s="20" t="s">
        <v>58</v>
      </c>
      <c r="S76" s="20" t="s">
        <v>58</v>
      </c>
      <c r="T76" s="25"/>
      <c r="U76" s="25"/>
      <c r="V76" s="20" t="s">
        <v>61</v>
      </c>
      <c r="W76" s="20" t="s">
        <v>58</v>
      </c>
      <c r="X76" s="20" t="s">
        <v>58</v>
      </c>
      <c r="Y76" s="20" t="s">
        <v>58</v>
      </c>
      <c r="Z76" s="20" t="s">
        <v>58</v>
      </c>
      <c r="AA76" s="20" t="s">
        <v>58</v>
      </c>
      <c r="AB76" s="20" t="s">
        <v>58</v>
      </c>
      <c r="AC76" s="20" t="s">
        <v>58</v>
      </c>
      <c r="AD76" s="20" t="s">
        <v>58</v>
      </c>
      <c r="AE76" s="20" t="s">
        <v>58</v>
      </c>
      <c r="AF76" s="20" t="s">
        <v>61</v>
      </c>
      <c r="AG76" s="20" t="s">
        <v>61</v>
      </c>
      <c r="AH76" s="20" t="s">
        <v>58</v>
      </c>
      <c r="AI76" s="19">
        <v>20.0</v>
      </c>
      <c r="AJ76" s="19">
        <v>10000.0</v>
      </c>
      <c r="AK76" s="19">
        <v>20.0</v>
      </c>
      <c r="AL76" s="19">
        <v>0.0</v>
      </c>
      <c r="AM76" s="25"/>
      <c r="AN76" s="19">
        <v>500.0</v>
      </c>
      <c r="AO76" s="19">
        <v>750.0</v>
      </c>
      <c r="AP76" s="26" t="s">
        <v>757</v>
      </c>
      <c r="AQ76" s="19"/>
    </row>
    <row r="77">
      <c r="A77" s="19">
        <v>71.0</v>
      </c>
      <c r="B77" s="20" t="s">
        <v>995</v>
      </c>
      <c r="C77" s="20" t="s">
        <v>996</v>
      </c>
      <c r="D77" s="59" t="s">
        <v>69</v>
      </c>
      <c r="E77" s="20" t="s">
        <v>49</v>
      </c>
      <c r="F77" s="23" t="s">
        <v>69</v>
      </c>
      <c r="G77" s="60" t="s">
        <v>69</v>
      </c>
      <c r="H77" s="20" t="s">
        <v>623</v>
      </c>
      <c r="I77" s="20" t="s">
        <v>624</v>
      </c>
      <c r="J77" s="20" t="s">
        <v>624</v>
      </c>
      <c r="K77" s="20" t="s">
        <v>55</v>
      </c>
      <c r="L77" s="20" t="s">
        <v>56</v>
      </c>
      <c r="M77" s="20" t="s">
        <v>57</v>
      </c>
      <c r="N77" s="20" t="s">
        <v>58</v>
      </c>
      <c r="O77" s="19">
        <v>800.0</v>
      </c>
      <c r="P77" s="19">
        <v>1500.0</v>
      </c>
      <c r="Q77" s="20" t="s">
        <v>59</v>
      </c>
      <c r="R77" s="20" t="s">
        <v>58</v>
      </c>
      <c r="S77" s="20" t="s">
        <v>58</v>
      </c>
      <c r="T77" s="25"/>
      <c r="U77" s="25"/>
      <c r="V77" s="20" t="s">
        <v>61</v>
      </c>
      <c r="W77" s="20" t="s">
        <v>58</v>
      </c>
      <c r="X77" s="20" t="s">
        <v>58</v>
      </c>
      <c r="Y77" s="20" t="s">
        <v>58</v>
      </c>
      <c r="Z77" s="20" t="s">
        <v>58</v>
      </c>
      <c r="AA77" s="20" t="s">
        <v>58</v>
      </c>
      <c r="AB77" s="20" t="s">
        <v>58</v>
      </c>
      <c r="AC77" s="20" t="s">
        <v>58</v>
      </c>
      <c r="AD77" s="20" t="s">
        <v>58</v>
      </c>
      <c r="AE77" s="20" t="s">
        <v>58</v>
      </c>
      <c r="AF77" s="20" t="s">
        <v>61</v>
      </c>
      <c r="AG77" s="20" t="s">
        <v>61</v>
      </c>
      <c r="AH77" s="20" t="s">
        <v>58</v>
      </c>
      <c r="AI77" s="19">
        <v>50.0</v>
      </c>
      <c r="AJ77" s="19">
        <v>5000.0</v>
      </c>
      <c r="AK77" s="19">
        <v>50.0</v>
      </c>
      <c r="AL77" s="19">
        <v>0.0</v>
      </c>
      <c r="AM77" s="25"/>
      <c r="AN77" s="19">
        <v>800.0</v>
      </c>
      <c r="AO77" s="19">
        <v>1500.0</v>
      </c>
      <c r="AP77" s="26" t="s">
        <v>757</v>
      </c>
      <c r="AQ77" s="19"/>
    </row>
    <row r="78">
      <c r="A78" s="19">
        <v>72.0</v>
      </c>
      <c r="B78" s="20" t="s">
        <v>997</v>
      </c>
      <c r="C78" s="20" t="s">
        <v>998</v>
      </c>
      <c r="D78" s="20" t="s">
        <v>999</v>
      </c>
      <c r="E78" s="20" t="s">
        <v>49</v>
      </c>
      <c r="F78" s="23" t="s">
        <v>69</v>
      </c>
      <c r="G78" s="55">
        <f>+919990585000</f>
        <v>919990585000</v>
      </c>
      <c r="H78" s="20" t="s">
        <v>1000</v>
      </c>
      <c r="I78" s="20" t="s">
        <v>1001</v>
      </c>
      <c r="J78" s="20" t="s">
        <v>1001</v>
      </c>
      <c r="K78" s="20" t="s">
        <v>55</v>
      </c>
      <c r="L78" s="20" t="s">
        <v>56</v>
      </c>
      <c r="M78" s="20" t="s">
        <v>57</v>
      </c>
      <c r="N78" s="20" t="s">
        <v>58</v>
      </c>
      <c r="O78" s="19">
        <v>650.0</v>
      </c>
      <c r="P78" s="19">
        <v>850.0</v>
      </c>
      <c r="Q78" s="20" t="s">
        <v>59</v>
      </c>
      <c r="R78" s="20" t="s">
        <v>58</v>
      </c>
      <c r="S78" s="20" t="s">
        <v>58</v>
      </c>
      <c r="T78" s="20" t="s">
        <v>275</v>
      </c>
      <c r="U78" s="25"/>
      <c r="V78" s="20" t="s">
        <v>61</v>
      </c>
      <c r="W78" s="20" t="s">
        <v>58</v>
      </c>
      <c r="X78" s="20" t="s">
        <v>58</v>
      </c>
      <c r="Y78" s="20" t="s">
        <v>58</v>
      </c>
      <c r="Z78" s="20" t="s">
        <v>58</v>
      </c>
      <c r="AA78" s="20" t="s">
        <v>58</v>
      </c>
      <c r="AB78" s="20" t="s">
        <v>58</v>
      </c>
      <c r="AC78" s="20" t="s">
        <v>58</v>
      </c>
      <c r="AD78" s="20" t="s">
        <v>58</v>
      </c>
      <c r="AE78" s="20" t="s">
        <v>58</v>
      </c>
      <c r="AF78" s="20" t="s">
        <v>61</v>
      </c>
      <c r="AG78" s="20" t="s">
        <v>61</v>
      </c>
      <c r="AH78" s="20" t="s">
        <v>58</v>
      </c>
      <c r="AI78" s="19">
        <v>20.0</v>
      </c>
      <c r="AJ78" s="19">
        <v>500.0</v>
      </c>
      <c r="AK78" s="19">
        <v>20.0</v>
      </c>
      <c r="AL78" s="19">
        <v>0.0</v>
      </c>
      <c r="AM78" s="25"/>
      <c r="AN78" s="19">
        <v>650.0</v>
      </c>
      <c r="AO78" s="19">
        <v>850.0</v>
      </c>
      <c r="AP78" s="24" t="s">
        <v>757</v>
      </c>
      <c r="AQ78" s="19"/>
    </row>
    <row r="79">
      <c r="A79" s="19">
        <v>73.0</v>
      </c>
      <c r="B79" s="20" t="s">
        <v>1004</v>
      </c>
      <c r="C79" s="20" t="s">
        <v>1005</v>
      </c>
      <c r="D79" s="53" t="s">
        <v>1006</v>
      </c>
      <c r="E79" s="20" t="s">
        <v>49</v>
      </c>
      <c r="F79" s="23" t="s">
        <v>69</v>
      </c>
      <c r="G79" s="54">
        <v>8.047176666E9</v>
      </c>
      <c r="H79" s="20" t="s">
        <v>75</v>
      </c>
      <c r="I79" s="20" t="s">
        <v>76</v>
      </c>
      <c r="J79" s="20" t="s">
        <v>76</v>
      </c>
      <c r="K79" s="20" t="s">
        <v>55</v>
      </c>
      <c r="L79" s="20" t="s">
        <v>56</v>
      </c>
      <c r="M79" s="20" t="s">
        <v>57</v>
      </c>
      <c r="N79" s="20" t="s">
        <v>58</v>
      </c>
      <c r="O79" s="19">
        <v>1499.0</v>
      </c>
      <c r="P79" s="19">
        <v>1799.0</v>
      </c>
      <c r="Q79" s="20" t="s">
        <v>59</v>
      </c>
      <c r="R79" s="20" t="s">
        <v>58</v>
      </c>
      <c r="S79" s="20" t="s">
        <v>58</v>
      </c>
      <c r="T79" s="25"/>
      <c r="U79" s="25"/>
      <c r="V79" s="20" t="s">
        <v>61</v>
      </c>
      <c r="W79" s="20" t="s">
        <v>58</v>
      </c>
      <c r="X79" s="20" t="s">
        <v>58</v>
      </c>
      <c r="Y79" s="20" t="s">
        <v>58</v>
      </c>
      <c r="Z79" s="20" t="s">
        <v>58</v>
      </c>
      <c r="AA79" s="20" t="s">
        <v>58</v>
      </c>
      <c r="AB79" s="20" t="s">
        <v>58</v>
      </c>
      <c r="AC79" s="20" t="s">
        <v>58</v>
      </c>
      <c r="AD79" s="20" t="s">
        <v>58</v>
      </c>
      <c r="AE79" s="20" t="s">
        <v>58</v>
      </c>
      <c r="AF79" s="20" t="s">
        <v>61</v>
      </c>
      <c r="AG79" s="20" t="s">
        <v>61</v>
      </c>
      <c r="AH79" s="20" t="s">
        <v>58</v>
      </c>
      <c r="AI79" s="19">
        <v>30.0</v>
      </c>
      <c r="AJ79" s="19">
        <v>500.0</v>
      </c>
      <c r="AK79" s="19">
        <v>30.0</v>
      </c>
      <c r="AL79" s="19">
        <v>0.0</v>
      </c>
      <c r="AM79" s="25"/>
      <c r="AN79" s="19">
        <v>1499.0</v>
      </c>
      <c r="AO79" s="19">
        <v>1799.0</v>
      </c>
      <c r="AP79" s="26" t="s">
        <v>757</v>
      </c>
      <c r="AQ79" s="19"/>
    </row>
    <row r="80">
      <c r="A80" s="19">
        <v>74.0</v>
      </c>
      <c r="B80" s="20" t="s">
        <v>1012</v>
      </c>
      <c r="C80" s="20" t="s">
        <v>1013</v>
      </c>
      <c r="D80" s="53" t="s">
        <v>1014</v>
      </c>
      <c r="E80" s="20" t="s">
        <v>49</v>
      </c>
      <c r="F80" s="23" t="s">
        <v>69</v>
      </c>
      <c r="G80" s="54" t="s">
        <v>1018</v>
      </c>
      <c r="H80" s="20" t="s">
        <v>266</v>
      </c>
      <c r="I80" s="20" t="s">
        <v>267</v>
      </c>
      <c r="J80" s="20" t="s">
        <v>267</v>
      </c>
      <c r="K80" s="20" t="s">
        <v>55</v>
      </c>
      <c r="L80" s="20" t="s">
        <v>56</v>
      </c>
      <c r="M80" s="20" t="s">
        <v>57</v>
      </c>
      <c r="N80" s="20" t="s">
        <v>58</v>
      </c>
      <c r="O80" s="19">
        <v>500.0</v>
      </c>
      <c r="P80" s="25"/>
      <c r="Q80" s="20" t="s">
        <v>59</v>
      </c>
      <c r="R80" s="20" t="s">
        <v>58</v>
      </c>
      <c r="S80" s="20" t="s">
        <v>58</v>
      </c>
      <c r="T80" s="25"/>
      <c r="U80" s="25"/>
      <c r="V80" s="20" t="s">
        <v>61</v>
      </c>
      <c r="W80" s="20" t="s">
        <v>58</v>
      </c>
      <c r="X80" s="20" t="s">
        <v>58</v>
      </c>
      <c r="Y80" s="20" t="s">
        <v>58</v>
      </c>
      <c r="Z80" s="20" t="s">
        <v>58</v>
      </c>
      <c r="AA80" s="20" t="s">
        <v>58</v>
      </c>
      <c r="AB80" s="20" t="s">
        <v>58</v>
      </c>
      <c r="AC80" s="20" t="s">
        <v>58</v>
      </c>
      <c r="AD80" s="20" t="s">
        <v>58</v>
      </c>
      <c r="AE80" s="20" t="s">
        <v>58</v>
      </c>
      <c r="AF80" s="20" t="s">
        <v>61</v>
      </c>
      <c r="AG80" s="20" t="s">
        <v>61</v>
      </c>
      <c r="AH80" s="20" t="s">
        <v>58</v>
      </c>
      <c r="AI80" s="19">
        <v>50.0</v>
      </c>
      <c r="AJ80" s="19">
        <v>20000.0</v>
      </c>
      <c r="AK80" s="19">
        <v>50.0</v>
      </c>
      <c r="AL80" s="19">
        <v>0.0</v>
      </c>
      <c r="AM80" s="25"/>
      <c r="AN80" s="19">
        <v>500.0</v>
      </c>
      <c r="AO80" s="19">
        <v>0.0</v>
      </c>
      <c r="AP80" s="26" t="s">
        <v>757</v>
      </c>
      <c r="AQ80" s="19"/>
    </row>
    <row r="81">
      <c r="A81" s="19">
        <v>75.0</v>
      </c>
      <c r="B81" s="20" t="s">
        <v>1021</v>
      </c>
      <c r="C81" s="20" t="s">
        <v>1022</v>
      </c>
      <c r="D81" s="53" t="s">
        <v>1023</v>
      </c>
      <c r="E81" s="20" t="s">
        <v>49</v>
      </c>
      <c r="F81" s="23" t="s">
        <v>69</v>
      </c>
      <c r="G81" s="54" t="s">
        <v>1025</v>
      </c>
      <c r="H81" s="20" t="s">
        <v>75</v>
      </c>
      <c r="I81" s="20" t="s">
        <v>76</v>
      </c>
      <c r="J81" s="20" t="s">
        <v>76</v>
      </c>
      <c r="K81" s="20" t="s">
        <v>55</v>
      </c>
      <c r="L81" s="20" t="s">
        <v>56</v>
      </c>
      <c r="M81" s="20" t="s">
        <v>57</v>
      </c>
      <c r="N81" s="20" t="s">
        <v>58</v>
      </c>
      <c r="O81" s="19">
        <v>800.0</v>
      </c>
      <c r="P81" s="19">
        <v>1000.0</v>
      </c>
      <c r="Q81" s="20" t="s">
        <v>59</v>
      </c>
      <c r="R81" s="20" t="s">
        <v>58</v>
      </c>
      <c r="S81" s="20" t="s">
        <v>58</v>
      </c>
      <c r="T81" s="25"/>
      <c r="U81" s="25"/>
      <c r="V81" s="20" t="s">
        <v>61</v>
      </c>
      <c r="W81" s="20" t="s">
        <v>58</v>
      </c>
      <c r="X81" s="20" t="s">
        <v>58</v>
      </c>
      <c r="Y81" s="20" t="s">
        <v>58</v>
      </c>
      <c r="Z81" s="20" t="s">
        <v>58</v>
      </c>
      <c r="AA81" s="20" t="s">
        <v>58</v>
      </c>
      <c r="AB81" s="20" t="s">
        <v>58</v>
      </c>
      <c r="AC81" s="20" t="s">
        <v>58</v>
      </c>
      <c r="AD81" s="20" t="s">
        <v>58</v>
      </c>
      <c r="AE81" s="20" t="s">
        <v>58</v>
      </c>
      <c r="AF81" s="20" t="s">
        <v>61</v>
      </c>
      <c r="AG81" s="20" t="s">
        <v>61</v>
      </c>
      <c r="AH81" s="20" t="s">
        <v>58</v>
      </c>
      <c r="AI81" s="19">
        <v>100.0</v>
      </c>
      <c r="AJ81" s="19">
        <v>2000.0</v>
      </c>
      <c r="AK81" s="19">
        <v>100.0</v>
      </c>
      <c r="AL81" s="19">
        <v>0.0</v>
      </c>
      <c r="AM81" s="25"/>
      <c r="AN81" s="19">
        <v>800.0</v>
      </c>
      <c r="AO81" s="19">
        <v>1000.0</v>
      </c>
      <c r="AP81" s="26" t="s">
        <v>757</v>
      </c>
      <c r="AQ81" s="19"/>
    </row>
    <row r="82">
      <c r="A82" s="19">
        <v>76.0</v>
      </c>
      <c r="B82" s="20" t="s">
        <v>1029</v>
      </c>
      <c r="C82" s="20" t="s">
        <v>1030</v>
      </c>
      <c r="D82" s="53" t="s">
        <v>1031</v>
      </c>
      <c r="E82" s="20" t="s">
        <v>49</v>
      </c>
      <c r="F82" s="23" t="s">
        <v>69</v>
      </c>
      <c r="G82" s="54" t="s">
        <v>1033</v>
      </c>
      <c r="H82" s="20" t="s">
        <v>1034</v>
      </c>
      <c r="I82" s="20" t="s">
        <v>1035</v>
      </c>
      <c r="J82" s="20" t="s">
        <v>1035</v>
      </c>
      <c r="K82" s="20" t="s">
        <v>55</v>
      </c>
      <c r="L82" s="20" t="s">
        <v>56</v>
      </c>
      <c r="M82" s="20" t="s">
        <v>57</v>
      </c>
      <c r="N82" s="20" t="s">
        <v>58</v>
      </c>
      <c r="O82" s="19">
        <v>650.0</v>
      </c>
      <c r="P82" s="19">
        <v>900.0</v>
      </c>
      <c r="Q82" s="20" t="s">
        <v>59</v>
      </c>
      <c r="R82" s="20" t="s">
        <v>58</v>
      </c>
      <c r="S82" s="20" t="s">
        <v>58</v>
      </c>
      <c r="T82" s="25"/>
      <c r="U82" s="25"/>
      <c r="V82" s="20" t="s">
        <v>61</v>
      </c>
      <c r="W82" s="20" t="s">
        <v>58</v>
      </c>
      <c r="X82" s="20" t="s">
        <v>58</v>
      </c>
      <c r="Y82" s="20" t="s">
        <v>58</v>
      </c>
      <c r="Z82" s="20" t="s">
        <v>58</v>
      </c>
      <c r="AA82" s="20" t="s">
        <v>58</v>
      </c>
      <c r="AB82" s="20" t="s">
        <v>58</v>
      </c>
      <c r="AC82" s="20" t="s">
        <v>58</v>
      </c>
      <c r="AD82" s="20" t="s">
        <v>58</v>
      </c>
      <c r="AE82" s="20" t="s">
        <v>58</v>
      </c>
      <c r="AF82" s="20" t="s">
        <v>61</v>
      </c>
      <c r="AG82" s="20" t="s">
        <v>61</v>
      </c>
      <c r="AH82" s="20" t="s">
        <v>58</v>
      </c>
      <c r="AI82" s="19">
        <v>20.0</v>
      </c>
      <c r="AJ82" s="19">
        <v>350.0</v>
      </c>
      <c r="AK82" s="19">
        <v>20.0</v>
      </c>
      <c r="AL82" s="19">
        <v>0.0</v>
      </c>
      <c r="AM82" s="25"/>
      <c r="AN82" s="19">
        <v>650.0</v>
      </c>
      <c r="AO82" s="19">
        <v>900.0</v>
      </c>
      <c r="AP82" s="26" t="s">
        <v>757</v>
      </c>
      <c r="AQ82" s="19"/>
    </row>
    <row r="83">
      <c r="A83" s="19">
        <v>77.0</v>
      </c>
      <c r="B83" s="20" t="s">
        <v>983</v>
      </c>
      <c r="C83" s="20" t="s">
        <v>984</v>
      </c>
      <c r="D83" s="53" t="s">
        <v>1042</v>
      </c>
      <c r="E83" s="20" t="s">
        <v>49</v>
      </c>
      <c r="F83" s="23" t="s">
        <v>69</v>
      </c>
      <c r="G83" s="54" t="s">
        <v>1033</v>
      </c>
      <c r="H83" s="20" t="s">
        <v>75</v>
      </c>
      <c r="I83" s="20" t="s">
        <v>76</v>
      </c>
      <c r="J83" s="20" t="s">
        <v>76</v>
      </c>
      <c r="K83" s="20" t="s">
        <v>55</v>
      </c>
      <c r="L83" s="20" t="s">
        <v>56</v>
      </c>
      <c r="M83" s="20" t="s">
        <v>57</v>
      </c>
      <c r="N83" s="20" t="s">
        <v>58</v>
      </c>
      <c r="O83" s="19">
        <v>1200.0</v>
      </c>
      <c r="P83" s="19">
        <v>1500.0</v>
      </c>
      <c r="Q83" s="20" t="s">
        <v>59</v>
      </c>
      <c r="R83" s="20" t="s">
        <v>58</v>
      </c>
      <c r="S83" s="20" t="s">
        <v>58</v>
      </c>
      <c r="T83" s="25"/>
      <c r="U83" s="25"/>
      <c r="V83" s="20" t="s">
        <v>61</v>
      </c>
      <c r="W83" s="20" t="s">
        <v>58</v>
      </c>
      <c r="X83" s="20" t="s">
        <v>58</v>
      </c>
      <c r="Y83" s="20" t="s">
        <v>58</v>
      </c>
      <c r="Z83" s="20" t="s">
        <v>58</v>
      </c>
      <c r="AA83" s="20" t="s">
        <v>58</v>
      </c>
      <c r="AB83" s="20" t="s">
        <v>58</v>
      </c>
      <c r="AC83" s="20" t="s">
        <v>58</v>
      </c>
      <c r="AD83" s="20" t="s">
        <v>58</v>
      </c>
      <c r="AE83" s="20" t="s">
        <v>58</v>
      </c>
      <c r="AF83" s="20" t="s">
        <v>61</v>
      </c>
      <c r="AG83" s="20" t="s">
        <v>61</v>
      </c>
      <c r="AH83" s="20" t="s">
        <v>58</v>
      </c>
      <c r="AI83" s="19">
        <v>100.0</v>
      </c>
      <c r="AJ83" s="19">
        <v>5000.0</v>
      </c>
      <c r="AK83" s="19">
        <v>100.0</v>
      </c>
      <c r="AL83" s="19">
        <v>0.0</v>
      </c>
      <c r="AM83" s="25"/>
      <c r="AN83" s="19">
        <v>1200.0</v>
      </c>
      <c r="AO83" s="19">
        <v>1500.0</v>
      </c>
      <c r="AP83" s="26" t="s">
        <v>757</v>
      </c>
      <c r="AQ83" s="19"/>
    </row>
    <row r="84">
      <c r="A84" s="19">
        <v>78.0</v>
      </c>
      <c r="B84" s="20" t="s">
        <v>1044</v>
      </c>
      <c r="C84" s="20" t="s">
        <v>1045</v>
      </c>
      <c r="D84" s="53" t="s">
        <v>1046</v>
      </c>
      <c r="E84" s="20" t="s">
        <v>49</v>
      </c>
      <c r="F84" s="23" t="s">
        <v>69</v>
      </c>
      <c r="G84" s="54">
        <f>919810096224
</f>
        <v>919810096224</v>
      </c>
      <c r="H84" s="20" t="s">
        <v>664</v>
      </c>
      <c r="I84" s="20" t="s">
        <v>665</v>
      </c>
      <c r="J84" s="20" t="s">
        <v>665</v>
      </c>
      <c r="K84" s="20" t="s">
        <v>55</v>
      </c>
      <c r="L84" s="20" t="s">
        <v>56</v>
      </c>
      <c r="M84" s="20" t="s">
        <v>57</v>
      </c>
      <c r="N84" s="20" t="s">
        <v>58</v>
      </c>
      <c r="O84" s="19">
        <v>1000.0</v>
      </c>
      <c r="P84" s="25"/>
      <c r="Q84" s="20" t="s">
        <v>59</v>
      </c>
      <c r="R84" s="20" t="s">
        <v>58</v>
      </c>
      <c r="S84" s="20" t="s">
        <v>58</v>
      </c>
      <c r="T84" s="25"/>
      <c r="U84" s="25"/>
      <c r="V84" s="20" t="s">
        <v>61</v>
      </c>
      <c r="W84" s="20" t="s">
        <v>58</v>
      </c>
      <c r="X84" s="20" t="s">
        <v>58</v>
      </c>
      <c r="Y84" s="20" t="s">
        <v>58</v>
      </c>
      <c r="Z84" s="20" t="s">
        <v>58</v>
      </c>
      <c r="AA84" s="20" t="s">
        <v>58</v>
      </c>
      <c r="AB84" s="20" t="s">
        <v>58</v>
      </c>
      <c r="AC84" s="20" t="s">
        <v>58</v>
      </c>
      <c r="AD84" s="20" t="s">
        <v>58</v>
      </c>
      <c r="AE84" s="20" t="s">
        <v>58</v>
      </c>
      <c r="AF84" s="20" t="s">
        <v>61</v>
      </c>
      <c r="AG84" s="20" t="s">
        <v>61</v>
      </c>
      <c r="AH84" s="20" t="s">
        <v>58</v>
      </c>
      <c r="AI84" s="19">
        <v>500.0</v>
      </c>
      <c r="AJ84" s="19">
        <v>4000.0</v>
      </c>
      <c r="AK84" s="19">
        <v>500.0</v>
      </c>
      <c r="AL84" s="19">
        <v>0.0</v>
      </c>
      <c r="AM84" s="25"/>
      <c r="AN84" s="19">
        <v>1000.0</v>
      </c>
      <c r="AO84" s="19">
        <v>0.0</v>
      </c>
      <c r="AP84" s="26" t="s">
        <v>757</v>
      </c>
      <c r="AQ84" s="19"/>
    </row>
    <row r="85">
      <c r="A85" s="19">
        <v>79.0</v>
      </c>
      <c r="B85" s="20" t="s">
        <v>1054</v>
      </c>
      <c r="C85" s="20" t="s">
        <v>1056</v>
      </c>
      <c r="D85" s="20" t="s">
        <v>1058</v>
      </c>
      <c r="E85" s="20" t="s">
        <v>49</v>
      </c>
      <c r="F85" s="23" t="s">
        <v>69</v>
      </c>
      <c r="G85" s="55">
        <f>+918130525641</f>
        <v>918130525641</v>
      </c>
      <c r="H85" s="20" t="s">
        <v>376</v>
      </c>
      <c r="I85" s="20" t="s">
        <v>377</v>
      </c>
      <c r="J85" s="20" t="s">
        <v>377</v>
      </c>
      <c r="K85" s="20" t="s">
        <v>55</v>
      </c>
      <c r="L85" s="20" t="s">
        <v>56</v>
      </c>
      <c r="M85" s="20" t="s">
        <v>57</v>
      </c>
      <c r="N85" s="20" t="s">
        <v>58</v>
      </c>
      <c r="O85" s="19">
        <v>1200.0</v>
      </c>
      <c r="P85" s="19">
        <v>1450.0</v>
      </c>
      <c r="Q85" s="20" t="s">
        <v>59</v>
      </c>
      <c r="R85" s="20" t="s">
        <v>58</v>
      </c>
      <c r="S85" s="20" t="s">
        <v>58</v>
      </c>
      <c r="T85" s="20" t="s">
        <v>1059</v>
      </c>
      <c r="U85" s="25"/>
      <c r="V85" s="20" t="s">
        <v>61</v>
      </c>
      <c r="W85" s="20" t="s">
        <v>58</v>
      </c>
      <c r="X85" s="20" t="s">
        <v>58</v>
      </c>
      <c r="Y85" s="20" t="s">
        <v>58</v>
      </c>
      <c r="Z85" s="20" t="s">
        <v>58</v>
      </c>
      <c r="AA85" s="20" t="s">
        <v>58</v>
      </c>
      <c r="AB85" s="20" t="s">
        <v>58</v>
      </c>
      <c r="AC85" s="20" t="s">
        <v>58</v>
      </c>
      <c r="AD85" s="20" t="s">
        <v>58</v>
      </c>
      <c r="AE85" s="20" t="s">
        <v>58</v>
      </c>
      <c r="AF85" s="20" t="s">
        <v>61</v>
      </c>
      <c r="AG85" s="20" t="s">
        <v>61</v>
      </c>
      <c r="AH85" s="20" t="s">
        <v>58</v>
      </c>
      <c r="AI85" s="19">
        <v>70.0</v>
      </c>
      <c r="AJ85" s="19">
        <v>1000.0</v>
      </c>
      <c r="AK85" s="19">
        <v>70.0</v>
      </c>
      <c r="AL85" s="19">
        <v>0.0</v>
      </c>
      <c r="AM85" s="25"/>
      <c r="AN85" s="19">
        <v>1200.0</v>
      </c>
      <c r="AO85" s="19">
        <v>1450.0</v>
      </c>
      <c r="AP85" s="24" t="s">
        <v>757</v>
      </c>
      <c r="AQ85" s="19"/>
    </row>
    <row r="86">
      <c r="A86" s="19">
        <v>80.0</v>
      </c>
      <c r="B86" s="20" t="s">
        <v>1064</v>
      </c>
      <c r="C86" s="20" t="s">
        <v>1065</v>
      </c>
      <c r="D86" s="20" t="s">
        <v>1066</v>
      </c>
      <c r="E86" s="20" t="s">
        <v>49</v>
      </c>
      <c r="F86" s="23" t="s">
        <v>69</v>
      </c>
      <c r="G86" s="55">
        <f>+919811392901</f>
        <v>919811392901</v>
      </c>
      <c r="H86" s="20" t="s">
        <v>784</v>
      </c>
      <c r="I86" s="20" t="s">
        <v>785</v>
      </c>
      <c r="J86" s="20" t="s">
        <v>785</v>
      </c>
      <c r="K86" s="20" t="s">
        <v>55</v>
      </c>
      <c r="L86" s="20" t="s">
        <v>56</v>
      </c>
      <c r="M86" s="20" t="s">
        <v>57</v>
      </c>
      <c r="N86" s="20" t="s">
        <v>58</v>
      </c>
      <c r="O86" s="19">
        <v>450.0</v>
      </c>
      <c r="P86" s="19">
        <v>650.0</v>
      </c>
      <c r="Q86" s="20" t="s">
        <v>59</v>
      </c>
      <c r="R86" s="20" t="s">
        <v>58</v>
      </c>
      <c r="S86" s="20" t="s">
        <v>58</v>
      </c>
      <c r="T86" s="25"/>
      <c r="U86" s="25"/>
      <c r="V86" s="20" t="s">
        <v>61</v>
      </c>
      <c r="W86" s="20" t="s">
        <v>58</v>
      </c>
      <c r="X86" s="20" t="s">
        <v>58</v>
      </c>
      <c r="Y86" s="20" t="s">
        <v>58</v>
      </c>
      <c r="Z86" s="20" t="s">
        <v>58</v>
      </c>
      <c r="AA86" s="20" t="s">
        <v>58</v>
      </c>
      <c r="AB86" s="20" t="s">
        <v>58</v>
      </c>
      <c r="AC86" s="20" t="s">
        <v>58</v>
      </c>
      <c r="AD86" s="20" t="s">
        <v>58</v>
      </c>
      <c r="AE86" s="20" t="s">
        <v>58</v>
      </c>
      <c r="AF86" s="20" t="s">
        <v>61</v>
      </c>
      <c r="AG86" s="20" t="s">
        <v>61</v>
      </c>
      <c r="AH86" s="20" t="s">
        <v>58</v>
      </c>
      <c r="AI86" s="19">
        <v>50.0</v>
      </c>
      <c r="AJ86" s="19">
        <v>200.0</v>
      </c>
      <c r="AK86" s="19">
        <v>50.0</v>
      </c>
      <c r="AL86" s="19">
        <v>0.0</v>
      </c>
      <c r="AM86" s="25"/>
      <c r="AN86" s="19">
        <v>450.0</v>
      </c>
      <c r="AO86" s="19">
        <v>650.0</v>
      </c>
      <c r="AP86" s="24" t="s">
        <v>757</v>
      </c>
      <c r="AQ86" s="19"/>
    </row>
    <row r="87">
      <c r="A87" s="19">
        <v>81.0</v>
      </c>
      <c r="B87" s="20" t="s">
        <v>1071</v>
      </c>
      <c r="C87" s="20" t="s">
        <v>1072</v>
      </c>
      <c r="D87" s="53" t="s">
        <v>1074</v>
      </c>
      <c r="E87" s="20" t="s">
        <v>49</v>
      </c>
      <c r="F87" s="23" t="s">
        <v>69</v>
      </c>
      <c r="G87" s="55">
        <f>+919650106661</f>
        <v>919650106661</v>
      </c>
      <c r="H87" s="20" t="s">
        <v>53</v>
      </c>
      <c r="I87" s="20" t="s">
        <v>54</v>
      </c>
      <c r="J87" s="20" t="s">
        <v>54</v>
      </c>
      <c r="K87" s="20" t="s">
        <v>55</v>
      </c>
      <c r="L87" s="20" t="s">
        <v>56</v>
      </c>
      <c r="M87" s="20" t="s">
        <v>57</v>
      </c>
      <c r="N87" s="20" t="s">
        <v>58</v>
      </c>
      <c r="O87" s="19">
        <v>800.0</v>
      </c>
      <c r="P87" s="19">
        <v>1100.0</v>
      </c>
      <c r="Q87" s="20" t="s">
        <v>59</v>
      </c>
      <c r="R87" s="20" t="s">
        <v>58</v>
      </c>
      <c r="S87" s="20" t="s">
        <v>58</v>
      </c>
      <c r="T87" s="25"/>
      <c r="U87" s="25"/>
      <c r="V87" s="20" t="s">
        <v>61</v>
      </c>
      <c r="W87" s="20" t="s">
        <v>58</v>
      </c>
      <c r="X87" s="20" t="s">
        <v>58</v>
      </c>
      <c r="Y87" s="20" t="s">
        <v>58</v>
      </c>
      <c r="Z87" s="20" t="s">
        <v>58</v>
      </c>
      <c r="AA87" s="20" t="s">
        <v>58</v>
      </c>
      <c r="AB87" s="20" t="s">
        <v>58</v>
      </c>
      <c r="AC87" s="20" t="s">
        <v>58</v>
      </c>
      <c r="AD87" s="20" t="s">
        <v>58</v>
      </c>
      <c r="AE87" s="20" t="s">
        <v>58</v>
      </c>
      <c r="AF87" s="20" t="s">
        <v>61</v>
      </c>
      <c r="AG87" s="20" t="s">
        <v>61</v>
      </c>
      <c r="AH87" s="20" t="s">
        <v>58</v>
      </c>
      <c r="AI87" s="19">
        <v>100.0</v>
      </c>
      <c r="AJ87" s="19">
        <v>5000.0</v>
      </c>
      <c r="AK87" s="19">
        <v>100.0</v>
      </c>
      <c r="AL87" s="19">
        <v>0.0</v>
      </c>
      <c r="AM87" s="25"/>
      <c r="AN87" s="19">
        <v>800.0</v>
      </c>
      <c r="AO87" s="19">
        <v>1100.0</v>
      </c>
      <c r="AP87" s="26" t="s">
        <v>757</v>
      </c>
      <c r="AQ87" s="19"/>
    </row>
    <row r="88">
      <c r="A88" s="19">
        <v>82.0</v>
      </c>
      <c r="B88" s="20" t="s">
        <v>1085</v>
      </c>
      <c r="C88" s="20" t="s">
        <v>1086</v>
      </c>
      <c r="D88" s="53" t="s">
        <v>1087</v>
      </c>
      <c r="E88" s="20" t="s">
        <v>49</v>
      </c>
      <c r="F88" s="23" t="s">
        <v>69</v>
      </c>
      <c r="G88" s="55">
        <f>+918178981825</f>
        <v>918178981825</v>
      </c>
      <c r="H88" s="20" t="s">
        <v>989</v>
      </c>
      <c r="I88" s="20" t="s">
        <v>362</v>
      </c>
      <c r="J88" s="20" t="s">
        <v>362</v>
      </c>
      <c r="K88" s="20" t="s">
        <v>55</v>
      </c>
      <c r="L88" s="20" t="s">
        <v>56</v>
      </c>
      <c r="M88" s="20" t="s">
        <v>57</v>
      </c>
      <c r="N88" s="20" t="s">
        <v>58</v>
      </c>
      <c r="O88" s="19">
        <v>200.0</v>
      </c>
      <c r="P88" s="19">
        <v>420.0</v>
      </c>
      <c r="Q88" s="20" t="s">
        <v>59</v>
      </c>
      <c r="R88" s="20" t="s">
        <v>58</v>
      </c>
      <c r="S88" s="20" t="s">
        <v>58</v>
      </c>
      <c r="T88" s="25"/>
      <c r="U88" s="25"/>
      <c r="V88" s="20" t="s">
        <v>61</v>
      </c>
      <c r="W88" s="20" t="s">
        <v>58</v>
      </c>
      <c r="X88" s="20" t="s">
        <v>58</v>
      </c>
      <c r="Y88" s="20" t="s">
        <v>58</v>
      </c>
      <c r="Z88" s="20" t="s">
        <v>58</v>
      </c>
      <c r="AA88" s="20" t="s">
        <v>58</v>
      </c>
      <c r="AB88" s="20" t="s">
        <v>58</v>
      </c>
      <c r="AC88" s="20" t="s">
        <v>58</v>
      </c>
      <c r="AD88" s="20" t="s">
        <v>58</v>
      </c>
      <c r="AE88" s="20" t="s">
        <v>58</v>
      </c>
      <c r="AF88" s="20" t="s">
        <v>61</v>
      </c>
      <c r="AG88" s="20" t="s">
        <v>61</v>
      </c>
      <c r="AH88" s="20" t="s">
        <v>58</v>
      </c>
      <c r="AI88" s="19">
        <v>10.0</v>
      </c>
      <c r="AJ88" s="19">
        <v>20000.0</v>
      </c>
      <c r="AK88" s="19">
        <v>10.0</v>
      </c>
      <c r="AL88" s="19">
        <v>0.0</v>
      </c>
      <c r="AM88" s="25"/>
      <c r="AN88" s="19">
        <v>200.0</v>
      </c>
      <c r="AO88" s="19">
        <v>420.0</v>
      </c>
      <c r="AP88" s="26" t="s">
        <v>757</v>
      </c>
      <c r="AQ88" s="19"/>
    </row>
    <row r="89">
      <c r="A89" s="19">
        <v>83.0</v>
      </c>
      <c r="B89" s="20" t="s">
        <v>1093</v>
      </c>
      <c r="C89" s="20" t="s">
        <v>1094</v>
      </c>
      <c r="D89" s="53" t="s">
        <v>1095</v>
      </c>
      <c r="E89" s="20" t="s">
        <v>49</v>
      </c>
      <c r="F89" s="23" t="s">
        <v>69</v>
      </c>
      <c r="G89" s="58">
        <f>+919711345294</f>
        <v>919711345294</v>
      </c>
      <c r="H89" s="20" t="s">
        <v>540</v>
      </c>
      <c r="I89" s="20" t="s">
        <v>541</v>
      </c>
      <c r="J89" s="20" t="s">
        <v>541</v>
      </c>
      <c r="K89" s="20" t="s">
        <v>55</v>
      </c>
      <c r="L89" s="20" t="s">
        <v>56</v>
      </c>
      <c r="M89" s="20" t="s">
        <v>57</v>
      </c>
      <c r="N89" s="20" t="s">
        <v>58</v>
      </c>
      <c r="O89" s="19">
        <v>750.0</v>
      </c>
      <c r="P89" s="19">
        <v>1000.0</v>
      </c>
      <c r="Q89" s="20" t="s">
        <v>59</v>
      </c>
      <c r="R89" s="20" t="s">
        <v>58</v>
      </c>
      <c r="S89" s="20" t="s">
        <v>58</v>
      </c>
      <c r="T89" s="25"/>
      <c r="U89" s="25"/>
      <c r="V89" s="20" t="s">
        <v>61</v>
      </c>
      <c r="W89" s="20" t="s">
        <v>58</v>
      </c>
      <c r="X89" s="20" t="s">
        <v>58</v>
      </c>
      <c r="Y89" s="20" t="s">
        <v>58</v>
      </c>
      <c r="Z89" s="20" t="s">
        <v>58</v>
      </c>
      <c r="AA89" s="20" t="s">
        <v>58</v>
      </c>
      <c r="AB89" s="20" t="s">
        <v>58</v>
      </c>
      <c r="AC89" s="20" t="s">
        <v>58</v>
      </c>
      <c r="AD89" s="20" t="s">
        <v>58</v>
      </c>
      <c r="AE89" s="20" t="s">
        <v>58</v>
      </c>
      <c r="AF89" s="20" t="s">
        <v>61</v>
      </c>
      <c r="AG89" s="20" t="s">
        <v>61</v>
      </c>
      <c r="AH89" s="20" t="s">
        <v>58</v>
      </c>
      <c r="AI89" s="19">
        <v>250.0</v>
      </c>
      <c r="AJ89" s="19">
        <v>5000.0</v>
      </c>
      <c r="AK89" s="19">
        <v>250.0</v>
      </c>
      <c r="AL89" s="19">
        <v>0.0</v>
      </c>
      <c r="AM89" s="25"/>
      <c r="AN89" s="19">
        <v>750.0</v>
      </c>
      <c r="AO89" s="19">
        <v>1000.0</v>
      </c>
      <c r="AP89" s="26" t="s">
        <v>757</v>
      </c>
      <c r="AQ89" s="19"/>
    </row>
    <row r="90">
      <c r="A90" s="19">
        <v>84.0</v>
      </c>
      <c r="B90" s="20" t="s">
        <v>1104</v>
      </c>
      <c r="C90" s="20" t="s">
        <v>1105</v>
      </c>
      <c r="D90" s="20" t="s">
        <v>1108</v>
      </c>
      <c r="E90" s="20" t="s">
        <v>49</v>
      </c>
      <c r="F90" s="23" t="s">
        <v>69</v>
      </c>
      <c r="G90" s="55">
        <f>+919953204487</f>
        <v>919953204487</v>
      </c>
      <c r="H90" s="20" t="s">
        <v>397</v>
      </c>
      <c r="I90" s="20" t="s">
        <v>398</v>
      </c>
      <c r="J90" s="20" t="s">
        <v>398</v>
      </c>
      <c r="K90" s="20" t="s">
        <v>55</v>
      </c>
      <c r="L90" s="20" t="s">
        <v>56</v>
      </c>
      <c r="M90" s="20" t="s">
        <v>57</v>
      </c>
      <c r="N90" s="20" t="s">
        <v>58</v>
      </c>
      <c r="O90" s="19">
        <v>1000.0</v>
      </c>
      <c r="P90" s="19">
        <v>1500.0</v>
      </c>
      <c r="Q90" s="20" t="s">
        <v>59</v>
      </c>
      <c r="R90" s="20" t="s">
        <v>58</v>
      </c>
      <c r="S90" s="20" t="s">
        <v>58</v>
      </c>
      <c r="T90" s="20" t="s">
        <v>275</v>
      </c>
      <c r="U90" s="25"/>
      <c r="V90" s="20" t="s">
        <v>61</v>
      </c>
      <c r="W90" s="20" t="s">
        <v>58</v>
      </c>
      <c r="X90" s="20" t="s">
        <v>58</v>
      </c>
      <c r="Y90" s="20" t="s">
        <v>58</v>
      </c>
      <c r="Z90" s="20" t="s">
        <v>58</v>
      </c>
      <c r="AA90" s="20" t="s">
        <v>58</v>
      </c>
      <c r="AB90" s="20" t="s">
        <v>58</v>
      </c>
      <c r="AC90" s="20" t="s">
        <v>58</v>
      </c>
      <c r="AD90" s="20" t="s">
        <v>58</v>
      </c>
      <c r="AE90" s="20" t="s">
        <v>58</v>
      </c>
      <c r="AF90" s="20" t="s">
        <v>61</v>
      </c>
      <c r="AG90" s="20" t="s">
        <v>61</v>
      </c>
      <c r="AH90" s="20" t="s">
        <v>58</v>
      </c>
      <c r="AI90" s="19">
        <v>100.0</v>
      </c>
      <c r="AJ90" s="19">
        <v>10000.0</v>
      </c>
      <c r="AK90" s="19">
        <v>100.0</v>
      </c>
      <c r="AL90" s="19">
        <v>0.0</v>
      </c>
      <c r="AM90" s="25"/>
      <c r="AN90" s="19">
        <v>1000.0</v>
      </c>
      <c r="AO90" s="19">
        <v>1500.0</v>
      </c>
      <c r="AP90" s="24" t="s">
        <v>757</v>
      </c>
      <c r="AQ90" s="19"/>
    </row>
    <row r="91">
      <c r="A91" s="19">
        <v>85.0</v>
      </c>
      <c r="B91" s="20" t="s">
        <v>1118</v>
      </c>
      <c r="C91" s="20" t="s">
        <v>1119</v>
      </c>
      <c r="D91" s="20" t="s">
        <v>1120</v>
      </c>
      <c r="E91" s="20" t="s">
        <v>49</v>
      </c>
      <c r="F91" s="23" t="s">
        <v>69</v>
      </c>
      <c r="G91" s="58">
        <f>+919811661401</f>
        <v>919811661401</v>
      </c>
      <c r="H91" s="20" t="s">
        <v>967</v>
      </c>
      <c r="I91" s="20" t="s">
        <v>968</v>
      </c>
      <c r="J91" s="20" t="s">
        <v>968</v>
      </c>
      <c r="K91" s="20" t="s">
        <v>55</v>
      </c>
      <c r="L91" s="20" t="s">
        <v>56</v>
      </c>
      <c r="M91" s="20" t="s">
        <v>57</v>
      </c>
      <c r="N91" s="20" t="s">
        <v>58</v>
      </c>
      <c r="O91" s="19">
        <v>1000.0</v>
      </c>
      <c r="P91" s="19">
        <v>1500.0</v>
      </c>
      <c r="Q91" s="20" t="s">
        <v>59</v>
      </c>
      <c r="R91" s="20" t="s">
        <v>58</v>
      </c>
      <c r="S91" s="20" t="s">
        <v>58</v>
      </c>
      <c r="T91" s="20" t="s">
        <v>275</v>
      </c>
      <c r="U91" s="25"/>
      <c r="V91" s="20" t="s">
        <v>61</v>
      </c>
      <c r="W91" s="20" t="s">
        <v>58</v>
      </c>
      <c r="X91" s="20" t="s">
        <v>58</v>
      </c>
      <c r="Y91" s="20" t="s">
        <v>58</v>
      </c>
      <c r="Z91" s="20" t="s">
        <v>58</v>
      </c>
      <c r="AA91" s="20" t="s">
        <v>58</v>
      </c>
      <c r="AB91" s="20" t="s">
        <v>58</v>
      </c>
      <c r="AC91" s="20" t="s">
        <v>58</v>
      </c>
      <c r="AD91" s="20" t="s">
        <v>58</v>
      </c>
      <c r="AE91" s="20" t="s">
        <v>58</v>
      </c>
      <c r="AF91" s="20" t="s">
        <v>61</v>
      </c>
      <c r="AG91" s="20" t="s">
        <v>61</v>
      </c>
      <c r="AH91" s="20" t="s">
        <v>58</v>
      </c>
      <c r="AI91" s="19">
        <v>30.0</v>
      </c>
      <c r="AJ91" s="19">
        <v>700.0</v>
      </c>
      <c r="AK91" s="19">
        <v>30.0</v>
      </c>
      <c r="AL91" s="19">
        <v>0.0</v>
      </c>
      <c r="AM91" s="25"/>
      <c r="AN91" s="19">
        <v>1000.0</v>
      </c>
      <c r="AO91" s="19">
        <v>1500.0</v>
      </c>
      <c r="AP91" s="24" t="s">
        <v>757</v>
      </c>
      <c r="AQ91" s="19"/>
    </row>
    <row r="92">
      <c r="A92" s="19">
        <v>86.0</v>
      </c>
      <c r="B92" s="20" t="s">
        <v>1123</v>
      </c>
      <c r="C92" s="20" t="s">
        <v>1124</v>
      </c>
      <c r="D92" s="20" t="s">
        <v>1125</v>
      </c>
      <c r="E92" s="20" t="s">
        <v>49</v>
      </c>
      <c r="F92" s="23" t="s">
        <v>69</v>
      </c>
      <c r="G92" s="55">
        <f>+919582990732</f>
        <v>919582990732</v>
      </c>
      <c r="H92" s="20" t="s">
        <v>75</v>
      </c>
      <c r="I92" s="20" t="s">
        <v>76</v>
      </c>
      <c r="J92" s="20" t="s">
        <v>76</v>
      </c>
      <c r="K92" s="20" t="s">
        <v>55</v>
      </c>
      <c r="L92" s="20" t="s">
        <v>56</v>
      </c>
      <c r="M92" s="20" t="s">
        <v>57</v>
      </c>
      <c r="N92" s="20" t="s">
        <v>58</v>
      </c>
      <c r="O92" s="19">
        <v>2500.0</v>
      </c>
      <c r="P92" s="19">
        <v>3500.0</v>
      </c>
      <c r="Q92" s="20" t="s">
        <v>59</v>
      </c>
      <c r="R92" s="20" t="s">
        <v>58</v>
      </c>
      <c r="S92" s="20" t="s">
        <v>58</v>
      </c>
      <c r="T92" s="25"/>
      <c r="U92" s="25"/>
      <c r="V92" s="20" t="s">
        <v>61</v>
      </c>
      <c r="W92" s="20" t="s">
        <v>58</v>
      </c>
      <c r="X92" s="20" t="s">
        <v>58</v>
      </c>
      <c r="Y92" s="20" t="s">
        <v>58</v>
      </c>
      <c r="Z92" s="20" t="s">
        <v>58</v>
      </c>
      <c r="AA92" s="20" t="s">
        <v>58</v>
      </c>
      <c r="AB92" s="20" t="s">
        <v>58</v>
      </c>
      <c r="AC92" s="20" t="s">
        <v>58</v>
      </c>
      <c r="AD92" s="20" t="s">
        <v>58</v>
      </c>
      <c r="AE92" s="20" t="s">
        <v>58</v>
      </c>
      <c r="AF92" s="20" t="s">
        <v>61</v>
      </c>
      <c r="AG92" s="20" t="s">
        <v>61</v>
      </c>
      <c r="AH92" s="20" t="s">
        <v>58</v>
      </c>
      <c r="AI92" s="19">
        <v>30.0</v>
      </c>
      <c r="AJ92" s="19">
        <v>15000.0</v>
      </c>
      <c r="AK92" s="19">
        <v>30.0</v>
      </c>
      <c r="AL92" s="19">
        <v>0.0</v>
      </c>
      <c r="AM92" s="20" t="s">
        <v>1127</v>
      </c>
      <c r="AN92" s="19">
        <v>2500.0</v>
      </c>
      <c r="AO92" s="19">
        <v>3500.0</v>
      </c>
      <c r="AP92" s="24" t="s">
        <v>757</v>
      </c>
      <c r="AQ92" s="19"/>
    </row>
    <row r="93">
      <c r="A93" s="19">
        <v>87.0</v>
      </c>
      <c r="B93" s="20" t="s">
        <v>1128</v>
      </c>
      <c r="C93" s="20" t="s">
        <v>1129</v>
      </c>
      <c r="D93" s="20" t="s">
        <v>1130</v>
      </c>
      <c r="E93" s="20" t="s">
        <v>49</v>
      </c>
      <c r="F93" s="23" t="s">
        <v>69</v>
      </c>
      <c r="G93" s="55">
        <f>+918800421881</f>
        <v>918800421881</v>
      </c>
      <c r="H93" s="20" t="s">
        <v>784</v>
      </c>
      <c r="I93" s="20" t="s">
        <v>785</v>
      </c>
      <c r="J93" s="20" t="s">
        <v>785</v>
      </c>
      <c r="K93" s="20" t="s">
        <v>55</v>
      </c>
      <c r="L93" s="20" t="s">
        <v>56</v>
      </c>
      <c r="M93" s="20" t="s">
        <v>57</v>
      </c>
      <c r="N93" s="20" t="s">
        <v>58</v>
      </c>
      <c r="O93" s="19">
        <v>900.0</v>
      </c>
      <c r="P93" s="19">
        <v>1100.0</v>
      </c>
      <c r="Q93" s="20" t="s">
        <v>59</v>
      </c>
      <c r="R93" s="20" t="s">
        <v>58</v>
      </c>
      <c r="S93" s="20" t="s">
        <v>58</v>
      </c>
      <c r="T93" s="20" t="s">
        <v>275</v>
      </c>
      <c r="U93" s="25"/>
      <c r="V93" s="20" t="s">
        <v>61</v>
      </c>
      <c r="W93" s="20" t="s">
        <v>58</v>
      </c>
      <c r="X93" s="20" t="s">
        <v>58</v>
      </c>
      <c r="Y93" s="20" t="s">
        <v>58</v>
      </c>
      <c r="Z93" s="20" t="s">
        <v>58</v>
      </c>
      <c r="AA93" s="20" t="s">
        <v>58</v>
      </c>
      <c r="AB93" s="20" t="s">
        <v>58</v>
      </c>
      <c r="AC93" s="20" t="s">
        <v>58</v>
      </c>
      <c r="AD93" s="20" t="s">
        <v>58</v>
      </c>
      <c r="AE93" s="20" t="s">
        <v>58</v>
      </c>
      <c r="AF93" s="20" t="s">
        <v>61</v>
      </c>
      <c r="AG93" s="20" t="s">
        <v>61</v>
      </c>
      <c r="AH93" s="20" t="s">
        <v>58</v>
      </c>
      <c r="AI93" s="19">
        <v>20.0</v>
      </c>
      <c r="AJ93" s="19">
        <v>3000.0</v>
      </c>
      <c r="AK93" s="19">
        <v>20.0</v>
      </c>
      <c r="AL93" s="19">
        <v>0.0</v>
      </c>
      <c r="AM93" s="25"/>
      <c r="AN93" s="19">
        <v>900.0</v>
      </c>
      <c r="AO93" s="19">
        <v>1100.0</v>
      </c>
      <c r="AP93" s="24" t="s">
        <v>757</v>
      </c>
      <c r="AQ93" s="19"/>
    </row>
    <row r="94">
      <c r="A94" s="19">
        <v>88.0</v>
      </c>
      <c r="B94" s="20" t="s">
        <v>1140</v>
      </c>
      <c r="C94" s="20" t="s">
        <v>1141</v>
      </c>
      <c r="D94" s="20" t="s">
        <v>1143</v>
      </c>
      <c r="E94" s="20" t="s">
        <v>49</v>
      </c>
      <c r="F94" s="23" t="s">
        <v>69</v>
      </c>
      <c r="G94" s="55">
        <f>+919811291272</f>
        <v>919811291272</v>
      </c>
      <c r="H94" s="20" t="s">
        <v>75</v>
      </c>
      <c r="I94" s="20" t="s">
        <v>76</v>
      </c>
      <c r="J94" s="20" t="s">
        <v>76</v>
      </c>
      <c r="K94" s="20" t="s">
        <v>55</v>
      </c>
      <c r="L94" s="20" t="s">
        <v>56</v>
      </c>
      <c r="M94" s="20" t="s">
        <v>57</v>
      </c>
      <c r="N94" s="20" t="s">
        <v>58</v>
      </c>
      <c r="O94" s="19">
        <v>250.0</v>
      </c>
      <c r="P94" s="19">
        <v>400.0</v>
      </c>
      <c r="Q94" s="20" t="s">
        <v>59</v>
      </c>
      <c r="R94" s="20" t="s">
        <v>58</v>
      </c>
      <c r="S94" s="20" t="s">
        <v>58</v>
      </c>
      <c r="T94" s="25"/>
      <c r="U94" s="25"/>
      <c r="V94" s="20" t="s">
        <v>61</v>
      </c>
      <c r="W94" s="20" t="s">
        <v>58</v>
      </c>
      <c r="X94" s="20" t="s">
        <v>58</v>
      </c>
      <c r="Y94" s="20" t="s">
        <v>58</v>
      </c>
      <c r="Z94" s="20" t="s">
        <v>58</v>
      </c>
      <c r="AA94" s="20" t="s">
        <v>58</v>
      </c>
      <c r="AB94" s="20" t="s">
        <v>58</v>
      </c>
      <c r="AC94" s="20" t="s">
        <v>58</v>
      </c>
      <c r="AD94" s="20" t="s">
        <v>58</v>
      </c>
      <c r="AE94" s="20" t="s">
        <v>58</v>
      </c>
      <c r="AF94" s="20" t="s">
        <v>61</v>
      </c>
      <c r="AG94" s="20" t="s">
        <v>61</v>
      </c>
      <c r="AH94" s="20" t="s">
        <v>58</v>
      </c>
      <c r="AI94" s="19">
        <v>25.0</v>
      </c>
      <c r="AJ94" s="19">
        <v>2500.0</v>
      </c>
      <c r="AK94" s="19">
        <v>25.0</v>
      </c>
      <c r="AL94" s="19">
        <v>0.0</v>
      </c>
      <c r="AM94" s="25"/>
      <c r="AN94" s="19">
        <v>250.0</v>
      </c>
      <c r="AO94" s="19">
        <v>400.0</v>
      </c>
      <c r="AP94" s="24" t="s">
        <v>757</v>
      </c>
      <c r="AQ94" s="19"/>
    </row>
    <row r="95">
      <c r="A95" s="19">
        <v>89.0</v>
      </c>
      <c r="B95" s="20" t="s">
        <v>1148</v>
      </c>
      <c r="C95" s="20" t="s">
        <v>1149</v>
      </c>
      <c r="D95" s="20" t="s">
        <v>1150</v>
      </c>
      <c r="E95" s="20" t="s">
        <v>49</v>
      </c>
      <c r="F95" s="23" t="s">
        <v>69</v>
      </c>
      <c r="G95" s="57">
        <v>9.1981067955E11</v>
      </c>
      <c r="H95" s="20" t="s">
        <v>967</v>
      </c>
      <c r="I95" s="20" t="s">
        <v>968</v>
      </c>
      <c r="J95" s="20" t="s">
        <v>968</v>
      </c>
      <c r="K95" s="20" t="s">
        <v>55</v>
      </c>
      <c r="L95" s="20" t="s">
        <v>56</v>
      </c>
      <c r="M95" s="20" t="s">
        <v>57</v>
      </c>
      <c r="N95" s="20" t="s">
        <v>58</v>
      </c>
      <c r="O95" s="19">
        <v>500.0</v>
      </c>
      <c r="P95" s="19">
        <v>650.0</v>
      </c>
      <c r="Q95" s="20" t="s">
        <v>59</v>
      </c>
      <c r="R95" s="20" t="s">
        <v>58</v>
      </c>
      <c r="S95" s="20" t="s">
        <v>58</v>
      </c>
      <c r="T95" s="20" t="s">
        <v>1151</v>
      </c>
      <c r="U95" s="25"/>
      <c r="V95" s="20" t="s">
        <v>61</v>
      </c>
      <c r="W95" s="20" t="s">
        <v>58</v>
      </c>
      <c r="X95" s="20" t="s">
        <v>58</v>
      </c>
      <c r="Y95" s="20" t="s">
        <v>58</v>
      </c>
      <c r="Z95" s="20" t="s">
        <v>58</v>
      </c>
      <c r="AA95" s="20" t="s">
        <v>58</v>
      </c>
      <c r="AB95" s="20" t="s">
        <v>58</v>
      </c>
      <c r="AC95" s="20" t="s">
        <v>58</v>
      </c>
      <c r="AD95" s="20" t="s">
        <v>58</v>
      </c>
      <c r="AE95" s="20" t="s">
        <v>58</v>
      </c>
      <c r="AF95" s="20" t="s">
        <v>61</v>
      </c>
      <c r="AG95" s="20" t="s">
        <v>61</v>
      </c>
      <c r="AH95" s="20" t="s">
        <v>58</v>
      </c>
      <c r="AI95" s="19">
        <v>50.0</v>
      </c>
      <c r="AJ95" s="19">
        <v>5000.0</v>
      </c>
      <c r="AK95" s="19">
        <v>50.0</v>
      </c>
      <c r="AL95" s="19">
        <v>0.0</v>
      </c>
      <c r="AM95" s="25"/>
      <c r="AN95" s="19">
        <v>500.0</v>
      </c>
      <c r="AO95" s="19">
        <v>650.0</v>
      </c>
      <c r="AP95" s="24" t="s">
        <v>757</v>
      </c>
      <c r="AQ95" s="19"/>
    </row>
    <row r="96">
      <c r="A96" s="19">
        <v>90.0</v>
      </c>
      <c r="B96" s="20" t="s">
        <v>1153</v>
      </c>
      <c r="C96" s="20" t="s">
        <v>1154</v>
      </c>
      <c r="D96" s="20" t="s">
        <v>1155</v>
      </c>
      <c r="E96" s="20" t="s">
        <v>49</v>
      </c>
      <c r="F96" s="23" t="s">
        <v>69</v>
      </c>
      <c r="G96" s="55">
        <f>+919540961347</f>
        <v>919540961347</v>
      </c>
      <c r="H96" s="20" t="s">
        <v>664</v>
      </c>
      <c r="I96" s="20" t="s">
        <v>665</v>
      </c>
      <c r="J96" s="20" t="s">
        <v>665</v>
      </c>
      <c r="K96" s="20" t="s">
        <v>55</v>
      </c>
      <c r="L96" s="20" t="s">
        <v>56</v>
      </c>
      <c r="M96" s="20" t="s">
        <v>57</v>
      </c>
      <c r="N96" s="20" t="s">
        <v>58</v>
      </c>
      <c r="O96" s="19">
        <v>800.0</v>
      </c>
      <c r="P96" s="19">
        <v>12000.0</v>
      </c>
      <c r="Q96" s="20" t="s">
        <v>59</v>
      </c>
      <c r="R96" s="20" t="s">
        <v>58</v>
      </c>
      <c r="S96" s="20" t="s">
        <v>58</v>
      </c>
      <c r="T96" s="20" t="s">
        <v>275</v>
      </c>
      <c r="U96" s="20" t="s">
        <v>275</v>
      </c>
      <c r="V96" s="20" t="s">
        <v>61</v>
      </c>
      <c r="W96" s="20" t="s">
        <v>58</v>
      </c>
      <c r="X96" s="20" t="s">
        <v>58</v>
      </c>
      <c r="Y96" s="20" t="s">
        <v>58</v>
      </c>
      <c r="Z96" s="20" t="s">
        <v>58</v>
      </c>
      <c r="AA96" s="20" t="s">
        <v>58</v>
      </c>
      <c r="AB96" s="20" t="s">
        <v>58</v>
      </c>
      <c r="AC96" s="20" t="s">
        <v>58</v>
      </c>
      <c r="AD96" s="20" t="s">
        <v>61</v>
      </c>
      <c r="AE96" s="20" t="s">
        <v>58</v>
      </c>
      <c r="AF96" s="20" t="s">
        <v>61</v>
      </c>
      <c r="AG96" s="20" t="s">
        <v>61</v>
      </c>
      <c r="AH96" s="20" t="s">
        <v>58</v>
      </c>
      <c r="AI96" s="19">
        <v>50.0</v>
      </c>
      <c r="AJ96" s="19">
        <v>5000.0</v>
      </c>
      <c r="AK96" s="19">
        <v>50.0</v>
      </c>
      <c r="AL96" s="19">
        <v>0.0</v>
      </c>
      <c r="AM96" s="20" t="s">
        <v>1161</v>
      </c>
      <c r="AN96" s="19">
        <v>800.0</v>
      </c>
      <c r="AO96" s="19">
        <v>12000.0</v>
      </c>
      <c r="AP96" s="24" t="s">
        <v>757</v>
      </c>
      <c r="AQ96" s="19"/>
    </row>
    <row r="97">
      <c r="A97" s="19">
        <v>91.0</v>
      </c>
      <c r="B97" s="20" t="s">
        <v>1162</v>
      </c>
      <c r="C97" s="20" t="s">
        <v>1163</v>
      </c>
      <c r="D97" s="20" t="s">
        <v>1164</v>
      </c>
      <c r="E97" s="20" t="s">
        <v>49</v>
      </c>
      <c r="F97" s="23" t="s">
        <v>69</v>
      </c>
      <c r="G97" s="55">
        <f>+919971950077</f>
        <v>919971950077</v>
      </c>
      <c r="H97" s="20" t="s">
        <v>376</v>
      </c>
      <c r="I97" s="20" t="s">
        <v>377</v>
      </c>
      <c r="J97" s="20" t="s">
        <v>377</v>
      </c>
      <c r="K97" s="20" t="s">
        <v>55</v>
      </c>
      <c r="L97" s="20" t="s">
        <v>56</v>
      </c>
      <c r="M97" s="20" t="s">
        <v>57</v>
      </c>
      <c r="N97" s="20" t="s">
        <v>58</v>
      </c>
      <c r="O97" s="19">
        <v>2000.0</v>
      </c>
      <c r="P97" s="19">
        <v>2000.0</v>
      </c>
      <c r="Q97" s="20" t="s">
        <v>59</v>
      </c>
      <c r="R97" s="20" t="s">
        <v>58</v>
      </c>
      <c r="S97" s="20" t="s">
        <v>58</v>
      </c>
      <c r="T97" s="25"/>
      <c r="U97" s="25"/>
      <c r="V97" s="20" t="s">
        <v>61</v>
      </c>
      <c r="W97" s="20" t="s">
        <v>58</v>
      </c>
      <c r="X97" s="20" t="s">
        <v>58</v>
      </c>
      <c r="Y97" s="20" t="s">
        <v>58</v>
      </c>
      <c r="Z97" s="20" t="s">
        <v>58</v>
      </c>
      <c r="AA97" s="20" t="s">
        <v>58</v>
      </c>
      <c r="AB97" s="20" t="s">
        <v>58</v>
      </c>
      <c r="AC97" s="20" t="s">
        <v>58</v>
      </c>
      <c r="AD97" s="20" t="s">
        <v>58</v>
      </c>
      <c r="AE97" s="20" t="s">
        <v>58</v>
      </c>
      <c r="AF97" s="20" t="s">
        <v>61</v>
      </c>
      <c r="AG97" s="20" t="s">
        <v>61</v>
      </c>
      <c r="AH97" s="20" t="s">
        <v>58</v>
      </c>
      <c r="AI97" s="19">
        <v>20.0</v>
      </c>
      <c r="AJ97" s="19">
        <v>500.0</v>
      </c>
      <c r="AK97" s="19">
        <v>20.0</v>
      </c>
      <c r="AL97" s="19">
        <v>0.0</v>
      </c>
      <c r="AM97" s="25"/>
      <c r="AN97" s="19">
        <v>2000.0</v>
      </c>
      <c r="AO97" s="19">
        <v>2000.0</v>
      </c>
      <c r="AP97" s="24" t="s">
        <v>757</v>
      </c>
      <c r="AQ97" s="19"/>
    </row>
    <row r="98">
      <c r="A98" s="19">
        <v>92.0</v>
      </c>
      <c r="B98" s="20" t="s">
        <v>1171</v>
      </c>
      <c r="C98" s="20" t="s">
        <v>1172</v>
      </c>
      <c r="D98" s="20" t="s">
        <v>1173</v>
      </c>
      <c r="E98" s="20" t="s">
        <v>49</v>
      </c>
      <c r="F98" s="23" t="s">
        <v>69</v>
      </c>
      <c r="G98" s="63" t="s">
        <v>69</v>
      </c>
      <c r="H98" s="20" t="s">
        <v>53</v>
      </c>
      <c r="I98" s="20" t="s">
        <v>54</v>
      </c>
      <c r="J98" s="20" t="s">
        <v>54</v>
      </c>
      <c r="K98" s="20" t="s">
        <v>55</v>
      </c>
      <c r="L98" s="20" t="s">
        <v>56</v>
      </c>
      <c r="M98" s="20" t="s">
        <v>57</v>
      </c>
      <c r="N98" s="20" t="s">
        <v>58</v>
      </c>
      <c r="O98" s="19">
        <v>800.0</v>
      </c>
      <c r="P98" s="19">
        <v>1000.0</v>
      </c>
      <c r="Q98" s="20" t="s">
        <v>59</v>
      </c>
      <c r="R98" s="20" t="s">
        <v>58</v>
      </c>
      <c r="S98" s="20" t="s">
        <v>58</v>
      </c>
      <c r="T98" s="20" t="s">
        <v>275</v>
      </c>
      <c r="U98" s="25"/>
      <c r="V98" s="20" t="s">
        <v>61</v>
      </c>
      <c r="W98" s="20" t="s">
        <v>58</v>
      </c>
      <c r="X98" s="20" t="s">
        <v>58</v>
      </c>
      <c r="Y98" s="20" t="s">
        <v>58</v>
      </c>
      <c r="Z98" s="20" t="s">
        <v>58</v>
      </c>
      <c r="AA98" s="20" t="s">
        <v>58</v>
      </c>
      <c r="AB98" s="20" t="s">
        <v>58</v>
      </c>
      <c r="AC98" s="20" t="s">
        <v>58</v>
      </c>
      <c r="AD98" s="20" t="s">
        <v>58</v>
      </c>
      <c r="AE98" s="20" t="s">
        <v>58</v>
      </c>
      <c r="AF98" s="20" t="s">
        <v>61</v>
      </c>
      <c r="AG98" s="20" t="s">
        <v>61</v>
      </c>
      <c r="AH98" s="20" t="s">
        <v>58</v>
      </c>
      <c r="AI98" s="19">
        <v>25.0</v>
      </c>
      <c r="AJ98" s="19">
        <v>125.0</v>
      </c>
      <c r="AK98" s="19">
        <v>25.0</v>
      </c>
      <c r="AL98" s="19">
        <v>0.0</v>
      </c>
      <c r="AM98" s="25"/>
      <c r="AN98" s="19">
        <v>800.0</v>
      </c>
      <c r="AO98" s="19">
        <v>1000.0</v>
      </c>
      <c r="AP98" s="24" t="s">
        <v>757</v>
      </c>
      <c r="AQ98" s="19"/>
    </row>
    <row r="99">
      <c r="A99" s="19">
        <v>93.0</v>
      </c>
      <c r="B99" s="20" t="s">
        <v>1177</v>
      </c>
      <c r="C99" s="20" t="s">
        <v>1178</v>
      </c>
      <c r="D99" s="53" t="s">
        <v>1179</v>
      </c>
      <c r="E99" s="20" t="s">
        <v>49</v>
      </c>
      <c r="F99" s="23" t="s">
        <v>69</v>
      </c>
      <c r="G99" s="55">
        <f>+919582767611</f>
        <v>919582767611</v>
      </c>
      <c r="H99" s="20" t="s">
        <v>325</v>
      </c>
      <c r="I99" s="20" t="s">
        <v>326</v>
      </c>
      <c r="J99" s="20" t="s">
        <v>326</v>
      </c>
      <c r="K99" s="20" t="s">
        <v>55</v>
      </c>
      <c r="L99" s="20" t="s">
        <v>56</v>
      </c>
      <c r="M99" s="20" t="s">
        <v>57</v>
      </c>
      <c r="N99" s="20" t="s">
        <v>58</v>
      </c>
      <c r="O99" s="19">
        <v>1300.0</v>
      </c>
      <c r="P99" s="19">
        <v>1500.0</v>
      </c>
      <c r="Q99" s="20" t="s">
        <v>59</v>
      </c>
      <c r="R99" s="20" t="s">
        <v>58</v>
      </c>
      <c r="S99" s="20" t="s">
        <v>58</v>
      </c>
      <c r="T99" s="25"/>
      <c r="U99" s="25"/>
      <c r="V99" s="20" t="s">
        <v>61</v>
      </c>
      <c r="W99" s="20" t="s">
        <v>58</v>
      </c>
      <c r="X99" s="20" t="s">
        <v>58</v>
      </c>
      <c r="Y99" s="20" t="s">
        <v>58</v>
      </c>
      <c r="Z99" s="20" t="s">
        <v>58</v>
      </c>
      <c r="AA99" s="20" t="s">
        <v>58</v>
      </c>
      <c r="AB99" s="20" t="s">
        <v>58</v>
      </c>
      <c r="AC99" s="20" t="s">
        <v>58</v>
      </c>
      <c r="AD99" s="20" t="s">
        <v>58</v>
      </c>
      <c r="AE99" s="20" t="s">
        <v>58</v>
      </c>
      <c r="AF99" s="20" t="s">
        <v>61</v>
      </c>
      <c r="AG99" s="20" t="s">
        <v>61</v>
      </c>
      <c r="AH99" s="20" t="s">
        <v>58</v>
      </c>
      <c r="AI99" s="19">
        <v>50.0</v>
      </c>
      <c r="AJ99" s="19">
        <v>1000.0</v>
      </c>
      <c r="AK99" s="19">
        <v>50.0</v>
      </c>
      <c r="AL99" s="19">
        <v>0.0</v>
      </c>
      <c r="AM99" s="25"/>
      <c r="AN99" s="19">
        <v>1300.0</v>
      </c>
      <c r="AO99" s="19">
        <v>1500.0</v>
      </c>
      <c r="AP99" s="26" t="s">
        <v>757</v>
      </c>
      <c r="AQ99" s="19"/>
    </row>
    <row r="100">
      <c r="A100" s="19">
        <v>94.0</v>
      </c>
      <c r="B100" s="20" t="s">
        <v>1187</v>
      </c>
      <c r="C100" s="20" t="s">
        <v>1188</v>
      </c>
      <c r="D100" s="59" t="s">
        <v>69</v>
      </c>
      <c r="E100" s="20" t="s">
        <v>49</v>
      </c>
      <c r="F100" s="23" t="s">
        <v>69</v>
      </c>
      <c r="G100" s="60" t="s">
        <v>69</v>
      </c>
      <c r="H100" s="20" t="s">
        <v>1000</v>
      </c>
      <c r="I100" s="20" t="s">
        <v>1001</v>
      </c>
      <c r="J100" s="20" t="s">
        <v>1001</v>
      </c>
      <c r="K100" s="20" t="s">
        <v>55</v>
      </c>
      <c r="L100" s="20" t="s">
        <v>56</v>
      </c>
      <c r="M100" s="20" t="s">
        <v>57</v>
      </c>
      <c r="N100" s="20" t="s">
        <v>58</v>
      </c>
      <c r="O100" s="19">
        <v>2850.0</v>
      </c>
      <c r="P100" s="19">
        <v>3150.0</v>
      </c>
      <c r="Q100" s="20" t="s">
        <v>59</v>
      </c>
      <c r="R100" s="20" t="s">
        <v>58</v>
      </c>
      <c r="S100" s="20" t="s">
        <v>58</v>
      </c>
      <c r="T100" s="25"/>
      <c r="U100" s="25"/>
      <c r="V100" s="20" t="s">
        <v>61</v>
      </c>
      <c r="W100" s="20" t="s">
        <v>58</v>
      </c>
      <c r="X100" s="20" t="s">
        <v>58</v>
      </c>
      <c r="Y100" s="20" t="s">
        <v>58</v>
      </c>
      <c r="Z100" s="20" t="s">
        <v>58</v>
      </c>
      <c r="AA100" s="20" t="s">
        <v>58</v>
      </c>
      <c r="AB100" s="20" t="s">
        <v>58</v>
      </c>
      <c r="AC100" s="20" t="s">
        <v>58</v>
      </c>
      <c r="AD100" s="20" t="s">
        <v>58</v>
      </c>
      <c r="AE100" s="20" t="s">
        <v>58</v>
      </c>
      <c r="AF100" s="20" t="s">
        <v>61</v>
      </c>
      <c r="AG100" s="20" t="s">
        <v>61</v>
      </c>
      <c r="AH100" s="20" t="s">
        <v>58</v>
      </c>
      <c r="AI100" s="19">
        <v>50.0</v>
      </c>
      <c r="AJ100" s="19">
        <v>5000.0</v>
      </c>
      <c r="AK100" s="19">
        <v>50.0</v>
      </c>
      <c r="AL100" s="19">
        <v>0.0</v>
      </c>
      <c r="AM100" s="25"/>
      <c r="AN100" s="19">
        <v>2850.0</v>
      </c>
      <c r="AO100" s="19">
        <v>3150.0</v>
      </c>
      <c r="AP100" s="26" t="s">
        <v>757</v>
      </c>
      <c r="AQ100" s="19"/>
    </row>
    <row r="101">
      <c r="A101" s="19">
        <v>95.0</v>
      </c>
      <c r="B101" s="20" t="s">
        <v>1080</v>
      </c>
      <c r="C101" s="20" t="s">
        <v>1081</v>
      </c>
      <c r="D101" s="53" t="s">
        <v>1201</v>
      </c>
      <c r="E101" s="20" t="s">
        <v>49</v>
      </c>
      <c r="F101" s="23" t="s">
        <v>69</v>
      </c>
      <c r="G101" s="55">
        <f>+919971091088</f>
        <v>919971091088</v>
      </c>
      <c r="H101" s="20" t="s">
        <v>53</v>
      </c>
      <c r="I101" s="20" t="s">
        <v>54</v>
      </c>
      <c r="J101" s="20" t="s">
        <v>54</v>
      </c>
      <c r="K101" s="20" t="s">
        <v>55</v>
      </c>
      <c r="L101" s="20" t="s">
        <v>56</v>
      </c>
      <c r="M101" s="20" t="s">
        <v>57</v>
      </c>
      <c r="N101" s="20" t="s">
        <v>58</v>
      </c>
      <c r="O101" s="19">
        <v>900.0</v>
      </c>
      <c r="P101" s="19">
        <v>900.0</v>
      </c>
      <c r="Q101" s="20" t="s">
        <v>59</v>
      </c>
      <c r="R101" s="20" t="s">
        <v>58</v>
      </c>
      <c r="S101" s="20" t="s">
        <v>58</v>
      </c>
      <c r="T101" s="25"/>
      <c r="U101" s="25"/>
      <c r="V101" s="20" t="s">
        <v>61</v>
      </c>
      <c r="W101" s="20" t="s">
        <v>58</v>
      </c>
      <c r="X101" s="20" t="s">
        <v>58</v>
      </c>
      <c r="Y101" s="20" t="s">
        <v>58</v>
      </c>
      <c r="Z101" s="20" t="s">
        <v>58</v>
      </c>
      <c r="AA101" s="20" t="s">
        <v>58</v>
      </c>
      <c r="AB101" s="20" t="s">
        <v>58</v>
      </c>
      <c r="AC101" s="20" t="s">
        <v>58</v>
      </c>
      <c r="AD101" s="20" t="s">
        <v>58</v>
      </c>
      <c r="AE101" s="20" t="s">
        <v>58</v>
      </c>
      <c r="AF101" s="20" t="s">
        <v>61</v>
      </c>
      <c r="AG101" s="20" t="s">
        <v>61</v>
      </c>
      <c r="AH101" s="20" t="s">
        <v>58</v>
      </c>
      <c r="AI101" s="19">
        <v>50.0</v>
      </c>
      <c r="AJ101" s="19">
        <v>1500.0</v>
      </c>
      <c r="AK101" s="19">
        <v>50.0</v>
      </c>
      <c r="AL101" s="19">
        <v>0.0</v>
      </c>
      <c r="AM101" s="25"/>
      <c r="AN101" s="19">
        <v>900.0</v>
      </c>
      <c r="AO101" s="19">
        <v>900.0</v>
      </c>
      <c r="AP101" s="26" t="s">
        <v>757</v>
      </c>
      <c r="AQ101" s="19"/>
    </row>
    <row r="102">
      <c r="A102" s="19">
        <v>96.0</v>
      </c>
      <c r="B102" s="20" t="s">
        <v>1218</v>
      </c>
      <c r="C102" s="20" t="s">
        <v>1219</v>
      </c>
      <c r="D102" s="64" t="s">
        <v>1220</v>
      </c>
      <c r="E102" s="20" t="s">
        <v>49</v>
      </c>
      <c r="F102" s="23" t="s">
        <v>69</v>
      </c>
      <c r="G102" s="55">
        <f>+919358316001</f>
        <v>919358316001</v>
      </c>
      <c r="H102" s="20" t="s">
        <v>930</v>
      </c>
      <c r="I102" s="20" t="s">
        <v>931</v>
      </c>
      <c r="J102" s="20" t="s">
        <v>931</v>
      </c>
      <c r="K102" s="20" t="s">
        <v>55</v>
      </c>
      <c r="L102" s="20" t="s">
        <v>56</v>
      </c>
      <c r="M102" s="20" t="s">
        <v>57</v>
      </c>
      <c r="N102" s="20" t="s">
        <v>58</v>
      </c>
      <c r="O102" s="19">
        <v>350.0</v>
      </c>
      <c r="P102" s="19">
        <v>650.0</v>
      </c>
      <c r="Q102" s="20" t="s">
        <v>59</v>
      </c>
      <c r="R102" s="20" t="s">
        <v>58</v>
      </c>
      <c r="S102" s="20" t="s">
        <v>58</v>
      </c>
      <c r="T102" s="25"/>
      <c r="U102" s="25"/>
      <c r="V102" s="20" t="s">
        <v>61</v>
      </c>
      <c r="W102" s="20" t="s">
        <v>58</v>
      </c>
      <c r="X102" s="20" t="s">
        <v>58</v>
      </c>
      <c r="Y102" s="20" t="s">
        <v>58</v>
      </c>
      <c r="Z102" s="20" t="s">
        <v>58</v>
      </c>
      <c r="AA102" s="20" t="s">
        <v>58</v>
      </c>
      <c r="AB102" s="20" t="s">
        <v>58</v>
      </c>
      <c r="AC102" s="20" t="s">
        <v>58</v>
      </c>
      <c r="AD102" s="20" t="s">
        <v>58</v>
      </c>
      <c r="AE102" s="20" t="s">
        <v>58</v>
      </c>
      <c r="AF102" s="20" t="s">
        <v>61</v>
      </c>
      <c r="AG102" s="20" t="s">
        <v>61</v>
      </c>
      <c r="AH102" s="20" t="s">
        <v>58</v>
      </c>
      <c r="AI102" s="19">
        <v>150.0</v>
      </c>
      <c r="AJ102" s="19">
        <v>1000.0</v>
      </c>
      <c r="AK102" s="19">
        <v>150.0</v>
      </c>
      <c r="AL102" s="19">
        <v>0.0</v>
      </c>
      <c r="AM102" s="25"/>
      <c r="AN102" s="19">
        <v>350.0</v>
      </c>
      <c r="AO102" s="19">
        <v>650.0</v>
      </c>
      <c r="AP102" s="26" t="s">
        <v>757</v>
      </c>
      <c r="AQ102" s="19"/>
    </row>
    <row r="103">
      <c r="A103" s="19">
        <v>97.0</v>
      </c>
      <c r="B103" s="20" t="s">
        <v>1232</v>
      </c>
      <c r="C103" s="20" t="s">
        <v>1233</v>
      </c>
      <c r="D103" s="53" t="s">
        <v>1234</v>
      </c>
      <c r="E103" s="20" t="s">
        <v>49</v>
      </c>
      <c r="F103" s="23" t="s">
        <v>69</v>
      </c>
      <c r="G103" s="65">
        <f>918218088072
</f>
        <v>918218088072</v>
      </c>
      <c r="H103" s="20" t="s">
        <v>75</v>
      </c>
      <c r="I103" s="20" t="s">
        <v>76</v>
      </c>
      <c r="J103" s="20" t="s">
        <v>76</v>
      </c>
      <c r="K103" s="20" t="s">
        <v>55</v>
      </c>
      <c r="L103" s="20" t="s">
        <v>56</v>
      </c>
      <c r="M103" s="20" t="s">
        <v>57</v>
      </c>
      <c r="N103" s="20" t="s">
        <v>58</v>
      </c>
      <c r="O103" s="19">
        <v>1200.0</v>
      </c>
      <c r="P103" s="19">
        <v>1500.0</v>
      </c>
      <c r="Q103" s="20" t="s">
        <v>59</v>
      </c>
      <c r="R103" s="20" t="s">
        <v>58</v>
      </c>
      <c r="S103" s="20" t="s">
        <v>58</v>
      </c>
      <c r="T103" s="25"/>
      <c r="U103" s="25"/>
      <c r="V103" s="20" t="s">
        <v>61</v>
      </c>
      <c r="W103" s="20" t="s">
        <v>58</v>
      </c>
      <c r="X103" s="20" t="s">
        <v>58</v>
      </c>
      <c r="Y103" s="20" t="s">
        <v>58</v>
      </c>
      <c r="Z103" s="20" t="s">
        <v>58</v>
      </c>
      <c r="AA103" s="20" t="s">
        <v>58</v>
      </c>
      <c r="AB103" s="20" t="s">
        <v>58</v>
      </c>
      <c r="AC103" s="20" t="s">
        <v>58</v>
      </c>
      <c r="AD103" s="20" t="s">
        <v>58</v>
      </c>
      <c r="AE103" s="20" t="s">
        <v>58</v>
      </c>
      <c r="AF103" s="20" t="s">
        <v>61</v>
      </c>
      <c r="AG103" s="20" t="s">
        <v>61</v>
      </c>
      <c r="AH103" s="20" t="s">
        <v>58</v>
      </c>
      <c r="AI103" s="19">
        <v>20.0</v>
      </c>
      <c r="AJ103" s="19">
        <v>200.0</v>
      </c>
      <c r="AK103" s="19">
        <v>20.0</v>
      </c>
      <c r="AL103" s="19">
        <v>0.0</v>
      </c>
      <c r="AM103" s="25"/>
      <c r="AN103" s="19">
        <v>1200.0</v>
      </c>
      <c r="AO103" s="19">
        <v>1500.0</v>
      </c>
      <c r="AP103" s="26" t="s">
        <v>757</v>
      </c>
      <c r="AQ103" s="19"/>
    </row>
    <row r="104">
      <c r="A104" s="19">
        <v>98.0</v>
      </c>
      <c r="B104" s="20" t="s">
        <v>1250</v>
      </c>
      <c r="C104" s="20" t="s">
        <v>1252</v>
      </c>
      <c r="D104" s="53" t="s">
        <v>1254</v>
      </c>
      <c r="E104" s="20" t="s">
        <v>49</v>
      </c>
      <c r="F104" s="23" t="s">
        <v>69</v>
      </c>
      <c r="G104" s="55">
        <f>+919311276771</f>
        <v>919311276771</v>
      </c>
      <c r="H104" s="20" t="s">
        <v>1258</v>
      </c>
      <c r="I104" s="20" t="s">
        <v>1259</v>
      </c>
      <c r="J104" s="20" t="s">
        <v>1259</v>
      </c>
      <c r="K104" s="20" t="s">
        <v>55</v>
      </c>
      <c r="L104" s="20" t="s">
        <v>56</v>
      </c>
      <c r="M104" s="20" t="s">
        <v>57</v>
      </c>
      <c r="N104" s="20" t="s">
        <v>58</v>
      </c>
      <c r="O104" s="19">
        <v>1000.0</v>
      </c>
      <c r="P104" s="19">
        <v>2500.0</v>
      </c>
      <c r="Q104" s="20" t="s">
        <v>59</v>
      </c>
      <c r="R104" s="20" t="s">
        <v>58</v>
      </c>
      <c r="S104" s="20" t="s">
        <v>58</v>
      </c>
      <c r="T104" s="25"/>
      <c r="U104" s="25"/>
      <c r="V104" s="20" t="s">
        <v>61</v>
      </c>
      <c r="W104" s="20" t="s">
        <v>58</v>
      </c>
      <c r="X104" s="20" t="s">
        <v>58</v>
      </c>
      <c r="Y104" s="20" t="s">
        <v>58</v>
      </c>
      <c r="Z104" s="20" t="s">
        <v>58</v>
      </c>
      <c r="AA104" s="20" t="s">
        <v>58</v>
      </c>
      <c r="AB104" s="20" t="s">
        <v>58</v>
      </c>
      <c r="AC104" s="20" t="s">
        <v>58</v>
      </c>
      <c r="AD104" s="20" t="s">
        <v>58</v>
      </c>
      <c r="AE104" s="20" t="s">
        <v>58</v>
      </c>
      <c r="AF104" s="20" t="s">
        <v>61</v>
      </c>
      <c r="AG104" s="20" t="s">
        <v>61</v>
      </c>
      <c r="AH104" s="20" t="s">
        <v>58</v>
      </c>
      <c r="AI104" s="19">
        <v>100.0</v>
      </c>
      <c r="AJ104" s="19">
        <v>5000.0</v>
      </c>
      <c r="AK104" s="19">
        <v>100.0</v>
      </c>
      <c r="AL104" s="19">
        <v>0.0</v>
      </c>
      <c r="AM104" s="25"/>
      <c r="AN104" s="19">
        <v>1000.0</v>
      </c>
      <c r="AO104" s="19">
        <v>2500.0</v>
      </c>
      <c r="AP104" s="26" t="s">
        <v>757</v>
      </c>
      <c r="AQ104" s="19"/>
    </row>
    <row r="105">
      <c r="A105" s="19">
        <v>99.0</v>
      </c>
      <c r="B105" s="20" t="s">
        <v>1265</v>
      </c>
      <c r="C105" s="20" t="s">
        <v>1267</v>
      </c>
      <c r="D105" s="53" t="s">
        <v>1268</v>
      </c>
      <c r="E105" s="20" t="s">
        <v>49</v>
      </c>
      <c r="F105" s="23" t="s">
        <v>69</v>
      </c>
      <c r="G105" s="55">
        <f>+919711114258</f>
        <v>919711114258</v>
      </c>
      <c r="H105" s="20" t="s">
        <v>53</v>
      </c>
      <c r="I105" s="20" t="s">
        <v>54</v>
      </c>
      <c r="J105" s="20" t="s">
        <v>54</v>
      </c>
      <c r="K105" s="20" t="s">
        <v>55</v>
      </c>
      <c r="L105" s="20" t="s">
        <v>56</v>
      </c>
      <c r="M105" s="20" t="s">
        <v>57</v>
      </c>
      <c r="N105" s="20" t="s">
        <v>58</v>
      </c>
      <c r="O105" s="19">
        <v>1600.0</v>
      </c>
      <c r="P105" s="19">
        <v>1800.0</v>
      </c>
      <c r="Q105" s="20" t="s">
        <v>59</v>
      </c>
      <c r="R105" s="20" t="s">
        <v>58</v>
      </c>
      <c r="S105" s="20" t="s">
        <v>58</v>
      </c>
      <c r="T105" s="25"/>
      <c r="U105" s="25"/>
      <c r="V105" s="20" t="s">
        <v>61</v>
      </c>
      <c r="W105" s="20" t="s">
        <v>58</v>
      </c>
      <c r="X105" s="20" t="s">
        <v>58</v>
      </c>
      <c r="Y105" s="20" t="s">
        <v>58</v>
      </c>
      <c r="Z105" s="20" t="s">
        <v>58</v>
      </c>
      <c r="AA105" s="20" t="s">
        <v>58</v>
      </c>
      <c r="AB105" s="20" t="s">
        <v>58</v>
      </c>
      <c r="AC105" s="20" t="s">
        <v>58</v>
      </c>
      <c r="AD105" s="20" t="s">
        <v>58</v>
      </c>
      <c r="AE105" s="20" t="s">
        <v>58</v>
      </c>
      <c r="AF105" s="20" t="s">
        <v>61</v>
      </c>
      <c r="AG105" s="20" t="s">
        <v>61</v>
      </c>
      <c r="AH105" s="20" t="s">
        <v>58</v>
      </c>
      <c r="AI105" s="19">
        <v>2000.0</v>
      </c>
      <c r="AJ105" s="19">
        <v>50.0</v>
      </c>
      <c r="AK105" s="19">
        <v>2000.0</v>
      </c>
      <c r="AL105" s="19">
        <v>0.0</v>
      </c>
      <c r="AM105" s="25"/>
      <c r="AN105" s="19">
        <v>1600.0</v>
      </c>
      <c r="AO105" s="19">
        <v>1800.0</v>
      </c>
      <c r="AP105" s="26" t="s">
        <v>757</v>
      </c>
      <c r="AQ105" s="19"/>
    </row>
    <row r="106">
      <c r="A106" s="19">
        <v>100.0</v>
      </c>
      <c r="B106" s="20" t="s">
        <v>1276</v>
      </c>
      <c r="C106" s="20" t="s">
        <v>1277</v>
      </c>
      <c r="D106" s="53" t="s">
        <v>1278</v>
      </c>
      <c r="E106" s="20" t="s">
        <v>49</v>
      </c>
      <c r="F106" s="23" t="s">
        <v>69</v>
      </c>
      <c r="G106" s="60" t="s">
        <v>69</v>
      </c>
      <c r="H106" s="20" t="s">
        <v>1281</v>
      </c>
      <c r="I106" s="20" t="s">
        <v>1283</v>
      </c>
      <c r="J106" s="20" t="s">
        <v>1283</v>
      </c>
      <c r="K106" s="20" t="s">
        <v>55</v>
      </c>
      <c r="L106" s="20" t="s">
        <v>56</v>
      </c>
      <c r="M106" s="20" t="s">
        <v>57</v>
      </c>
      <c r="N106" s="20" t="s">
        <v>58</v>
      </c>
      <c r="O106" s="19">
        <v>1200.0</v>
      </c>
      <c r="P106" s="19">
        <v>1500.0</v>
      </c>
      <c r="Q106" s="20" t="s">
        <v>59</v>
      </c>
      <c r="R106" s="20" t="s">
        <v>58</v>
      </c>
      <c r="S106" s="20" t="s">
        <v>58</v>
      </c>
      <c r="T106" s="25"/>
      <c r="U106" s="25"/>
      <c r="V106" s="20" t="s">
        <v>61</v>
      </c>
      <c r="W106" s="20" t="s">
        <v>58</v>
      </c>
      <c r="X106" s="20" t="s">
        <v>58</v>
      </c>
      <c r="Y106" s="20" t="s">
        <v>58</v>
      </c>
      <c r="Z106" s="20" t="s">
        <v>58</v>
      </c>
      <c r="AA106" s="20" t="s">
        <v>58</v>
      </c>
      <c r="AB106" s="20" t="s">
        <v>58</v>
      </c>
      <c r="AC106" s="20" t="s">
        <v>58</v>
      </c>
      <c r="AD106" s="20" t="s">
        <v>58</v>
      </c>
      <c r="AE106" s="20" t="s">
        <v>58</v>
      </c>
      <c r="AF106" s="20" t="s">
        <v>61</v>
      </c>
      <c r="AG106" s="20" t="s">
        <v>61</v>
      </c>
      <c r="AH106" s="20" t="s">
        <v>58</v>
      </c>
      <c r="AI106" s="19">
        <v>100.0</v>
      </c>
      <c r="AJ106" s="19">
        <v>2000.0</v>
      </c>
      <c r="AK106" s="19">
        <v>100.0</v>
      </c>
      <c r="AL106" s="19">
        <v>0.0</v>
      </c>
      <c r="AM106" s="25"/>
      <c r="AN106" s="19">
        <v>1200.0</v>
      </c>
      <c r="AO106" s="19">
        <v>1500.0</v>
      </c>
      <c r="AP106" s="26" t="s">
        <v>757</v>
      </c>
      <c r="AQ106" s="19"/>
    </row>
    <row r="107">
      <c r="A107" s="19">
        <v>101.0</v>
      </c>
      <c r="B107" s="20" t="s">
        <v>1285</v>
      </c>
      <c r="C107" s="20" t="s">
        <v>1286</v>
      </c>
      <c r="D107" s="53" t="s">
        <v>1287</v>
      </c>
      <c r="E107" s="20" t="s">
        <v>49</v>
      </c>
      <c r="F107" s="23" t="s">
        <v>69</v>
      </c>
      <c r="G107" s="55">
        <f>+919779954640</f>
        <v>919779954640</v>
      </c>
      <c r="H107" s="20" t="s">
        <v>1288</v>
      </c>
      <c r="I107" s="20" t="s">
        <v>1289</v>
      </c>
      <c r="J107" s="20" t="s">
        <v>1289</v>
      </c>
      <c r="K107" s="20" t="s">
        <v>55</v>
      </c>
      <c r="L107" s="20" t="s">
        <v>56</v>
      </c>
      <c r="M107" s="20" t="s">
        <v>57</v>
      </c>
      <c r="N107" s="20" t="s">
        <v>58</v>
      </c>
      <c r="O107" s="19">
        <v>900.0</v>
      </c>
      <c r="P107" s="19">
        <v>1000.0</v>
      </c>
      <c r="Q107" s="20" t="s">
        <v>59</v>
      </c>
      <c r="R107" s="20" t="s">
        <v>58</v>
      </c>
      <c r="S107" s="20" t="s">
        <v>58</v>
      </c>
      <c r="T107" s="25"/>
      <c r="U107" s="25"/>
      <c r="V107" s="20" t="s">
        <v>61</v>
      </c>
      <c r="W107" s="20" t="s">
        <v>58</v>
      </c>
      <c r="X107" s="20" t="s">
        <v>58</v>
      </c>
      <c r="Y107" s="20" t="s">
        <v>58</v>
      </c>
      <c r="Z107" s="20" t="s">
        <v>58</v>
      </c>
      <c r="AA107" s="20" t="s">
        <v>58</v>
      </c>
      <c r="AB107" s="20" t="s">
        <v>58</v>
      </c>
      <c r="AC107" s="20" t="s">
        <v>58</v>
      </c>
      <c r="AD107" s="20" t="s">
        <v>58</v>
      </c>
      <c r="AE107" s="20" t="s">
        <v>58</v>
      </c>
      <c r="AF107" s="20" t="s">
        <v>61</v>
      </c>
      <c r="AG107" s="20" t="s">
        <v>61</v>
      </c>
      <c r="AH107" s="20" t="s">
        <v>58</v>
      </c>
      <c r="AI107" s="19">
        <v>10.0</v>
      </c>
      <c r="AJ107" s="19">
        <v>1000.0</v>
      </c>
      <c r="AK107" s="19">
        <v>10.0</v>
      </c>
      <c r="AL107" s="19">
        <v>0.0</v>
      </c>
      <c r="AM107" s="25"/>
      <c r="AN107" s="19">
        <v>900.0</v>
      </c>
      <c r="AO107" s="19">
        <v>1000.0</v>
      </c>
      <c r="AP107" s="26" t="s">
        <v>757</v>
      </c>
      <c r="AQ107" s="19"/>
    </row>
    <row r="108">
      <c r="A108" s="19">
        <v>102.0</v>
      </c>
      <c r="B108" s="20" t="s">
        <v>1294</v>
      </c>
      <c r="C108" s="20" t="s">
        <v>1295</v>
      </c>
      <c r="D108" s="53" t="s">
        <v>1296</v>
      </c>
      <c r="E108" s="20" t="s">
        <v>49</v>
      </c>
      <c r="F108" s="23" t="s">
        <v>69</v>
      </c>
      <c r="G108" s="55">
        <f>+919266570985</f>
        <v>919266570985</v>
      </c>
      <c r="H108" s="20" t="s">
        <v>540</v>
      </c>
      <c r="I108" s="20" t="s">
        <v>541</v>
      </c>
      <c r="J108" s="20" t="s">
        <v>541</v>
      </c>
      <c r="K108" s="20" t="s">
        <v>55</v>
      </c>
      <c r="L108" s="20" t="s">
        <v>56</v>
      </c>
      <c r="M108" s="20" t="s">
        <v>57</v>
      </c>
      <c r="N108" s="20" t="s">
        <v>58</v>
      </c>
      <c r="O108" s="19">
        <v>1500.0</v>
      </c>
      <c r="P108" s="19">
        <v>1999.0</v>
      </c>
      <c r="Q108" s="20" t="s">
        <v>59</v>
      </c>
      <c r="R108" s="20" t="s">
        <v>58</v>
      </c>
      <c r="S108" s="20" t="s">
        <v>58</v>
      </c>
      <c r="T108" s="25"/>
      <c r="U108" s="25"/>
      <c r="V108" s="20" t="s">
        <v>61</v>
      </c>
      <c r="W108" s="20" t="s">
        <v>58</v>
      </c>
      <c r="X108" s="20" t="s">
        <v>58</v>
      </c>
      <c r="Y108" s="20" t="s">
        <v>58</v>
      </c>
      <c r="Z108" s="20" t="s">
        <v>58</v>
      </c>
      <c r="AA108" s="20" t="s">
        <v>58</v>
      </c>
      <c r="AB108" s="20" t="s">
        <v>58</v>
      </c>
      <c r="AC108" s="20" t="s">
        <v>58</v>
      </c>
      <c r="AD108" s="20" t="s">
        <v>58</v>
      </c>
      <c r="AE108" s="20" t="s">
        <v>58</v>
      </c>
      <c r="AF108" s="20" t="s">
        <v>61</v>
      </c>
      <c r="AG108" s="20" t="s">
        <v>61</v>
      </c>
      <c r="AH108" s="20" t="s">
        <v>58</v>
      </c>
      <c r="AI108" s="19">
        <v>100.0</v>
      </c>
      <c r="AJ108" s="19">
        <v>1500.0</v>
      </c>
      <c r="AK108" s="19">
        <v>100.0</v>
      </c>
      <c r="AL108" s="19">
        <v>0.0</v>
      </c>
      <c r="AM108" s="25"/>
      <c r="AN108" s="19">
        <v>1500.0</v>
      </c>
      <c r="AO108" s="19">
        <v>1999.0</v>
      </c>
      <c r="AP108" s="26" t="s">
        <v>757</v>
      </c>
      <c r="AQ108" s="19"/>
    </row>
    <row r="109">
      <c r="A109" s="19">
        <v>103.0</v>
      </c>
      <c r="B109" s="20" t="s">
        <v>1300</v>
      </c>
      <c r="C109" s="20" t="s">
        <v>1302</v>
      </c>
      <c r="D109" s="53" t="s">
        <v>1304</v>
      </c>
      <c r="E109" s="20" t="s">
        <v>49</v>
      </c>
      <c r="F109" s="23" t="s">
        <v>69</v>
      </c>
      <c r="G109" s="55">
        <f>+918826650318</f>
        <v>918826650318</v>
      </c>
      <c r="H109" s="20" t="s">
        <v>664</v>
      </c>
      <c r="I109" s="20" t="s">
        <v>665</v>
      </c>
      <c r="J109" s="20" t="s">
        <v>665</v>
      </c>
      <c r="K109" s="20" t="s">
        <v>55</v>
      </c>
      <c r="L109" s="20" t="s">
        <v>56</v>
      </c>
      <c r="M109" s="20" t="s">
        <v>57</v>
      </c>
      <c r="N109" s="20" t="s">
        <v>58</v>
      </c>
      <c r="O109" s="19">
        <v>1000.0</v>
      </c>
      <c r="P109" s="25"/>
      <c r="Q109" s="20" t="s">
        <v>59</v>
      </c>
      <c r="R109" s="20" t="s">
        <v>58</v>
      </c>
      <c r="S109" s="20" t="s">
        <v>58</v>
      </c>
      <c r="T109" s="25"/>
      <c r="U109" s="25"/>
      <c r="V109" s="20" t="s">
        <v>61</v>
      </c>
      <c r="W109" s="20" t="s">
        <v>58</v>
      </c>
      <c r="X109" s="20" t="s">
        <v>58</v>
      </c>
      <c r="Y109" s="20" t="s">
        <v>58</v>
      </c>
      <c r="Z109" s="20" t="s">
        <v>58</v>
      </c>
      <c r="AA109" s="20" t="s">
        <v>58</v>
      </c>
      <c r="AB109" s="20" t="s">
        <v>58</v>
      </c>
      <c r="AC109" s="20" t="s">
        <v>58</v>
      </c>
      <c r="AD109" s="20" t="s">
        <v>58</v>
      </c>
      <c r="AE109" s="20" t="s">
        <v>58</v>
      </c>
      <c r="AF109" s="20" t="s">
        <v>61</v>
      </c>
      <c r="AG109" s="20" t="s">
        <v>61</v>
      </c>
      <c r="AH109" s="20" t="s">
        <v>58</v>
      </c>
      <c r="AI109" s="19">
        <v>250.0</v>
      </c>
      <c r="AJ109" s="19">
        <v>5000.0</v>
      </c>
      <c r="AK109" s="19">
        <v>250.0</v>
      </c>
      <c r="AL109" s="19">
        <v>0.0</v>
      </c>
      <c r="AM109" s="25"/>
      <c r="AN109" s="19">
        <v>1000.0</v>
      </c>
      <c r="AO109" s="19">
        <v>0.0</v>
      </c>
      <c r="AP109" s="26" t="s">
        <v>757</v>
      </c>
      <c r="AQ109" s="19"/>
    </row>
    <row r="110">
      <c r="A110" s="19">
        <v>104.0</v>
      </c>
      <c r="B110" s="20" t="s">
        <v>1309</v>
      </c>
      <c r="C110" s="20" t="s">
        <v>1310</v>
      </c>
      <c r="D110" s="20" t="s">
        <v>1311</v>
      </c>
      <c r="E110" s="20" t="s">
        <v>49</v>
      </c>
      <c r="F110" s="23" t="s">
        <v>69</v>
      </c>
      <c r="G110" s="55">
        <f>+919599036200</f>
        <v>919599036200</v>
      </c>
      <c r="H110" s="20" t="s">
        <v>784</v>
      </c>
      <c r="I110" s="20" t="s">
        <v>785</v>
      </c>
      <c r="J110" s="20" t="s">
        <v>785</v>
      </c>
      <c r="K110" s="20" t="s">
        <v>55</v>
      </c>
      <c r="L110" s="20" t="s">
        <v>56</v>
      </c>
      <c r="M110" s="20" t="s">
        <v>57</v>
      </c>
      <c r="N110" s="20" t="s">
        <v>58</v>
      </c>
      <c r="O110" s="19">
        <v>700.0</v>
      </c>
      <c r="P110" s="19">
        <v>1100.0</v>
      </c>
      <c r="Q110" s="20" t="s">
        <v>59</v>
      </c>
      <c r="R110" s="20" t="s">
        <v>58</v>
      </c>
      <c r="S110" s="20" t="s">
        <v>58</v>
      </c>
      <c r="T110" s="20" t="s">
        <v>1312</v>
      </c>
      <c r="U110" s="25"/>
      <c r="V110" s="20" t="s">
        <v>61</v>
      </c>
      <c r="W110" s="20" t="s">
        <v>58</v>
      </c>
      <c r="X110" s="20" t="s">
        <v>58</v>
      </c>
      <c r="Y110" s="20" t="s">
        <v>58</v>
      </c>
      <c r="Z110" s="20" t="s">
        <v>58</v>
      </c>
      <c r="AA110" s="20" t="s">
        <v>58</v>
      </c>
      <c r="AB110" s="20" t="s">
        <v>58</v>
      </c>
      <c r="AC110" s="20" t="s">
        <v>58</v>
      </c>
      <c r="AD110" s="20" t="s">
        <v>58</v>
      </c>
      <c r="AE110" s="20" t="s">
        <v>58</v>
      </c>
      <c r="AF110" s="20" t="s">
        <v>61</v>
      </c>
      <c r="AG110" s="20" t="s">
        <v>61</v>
      </c>
      <c r="AH110" s="20" t="s">
        <v>58</v>
      </c>
      <c r="AI110" s="19">
        <v>0.0</v>
      </c>
      <c r="AJ110" s="19">
        <v>5000.0</v>
      </c>
      <c r="AK110" s="19">
        <v>0.0</v>
      </c>
      <c r="AL110" s="19">
        <v>0.0</v>
      </c>
      <c r="AM110" s="25"/>
      <c r="AN110" s="19">
        <v>700.0</v>
      </c>
      <c r="AO110" s="19">
        <v>1100.0</v>
      </c>
      <c r="AP110" s="24" t="s">
        <v>757</v>
      </c>
      <c r="AQ110" s="19"/>
    </row>
    <row r="111">
      <c r="A111" s="19">
        <v>105.0</v>
      </c>
      <c r="B111" s="20" t="s">
        <v>1313</v>
      </c>
      <c r="C111" s="20" t="s">
        <v>1314</v>
      </c>
      <c r="D111" s="53" t="s">
        <v>1315</v>
      </c>
      <c r="E111" s="20" t="s">
        <v>49</v>
      </c>
      <c r="F111" s="25"/>
      <c r="G111" s="55">
        <f>+919953956543</f>
        <v>919953956543</v>
      </c>
      <c r="H111" s="20" t="s">
        <v>53</v>
      </c>
      <c r="I111" s="20" t="s">
        <v>54</v>
      </c>
      <c r="J111" s="20" t="s">
        <v>54</v>
      </c>
      <c r="K111" s="20" t="s">
        <v>55</v>
      </c>
      <c r="L111" s="20" t="s">
        <v>56</v>
      </c>
      <c r="M111" s="20" t="s">
        <v>57</v>
      </c>
      <c r="N111" s="20" t="s">
        <v>58</v>
      </c>
      <c r="O111" s="19">
        <v>500.0</v>
      </c>
      <c r="P111" s="25"/>
      <c r="Q111" s="20" t="s">
        <v>59</v>
      </c>
      <c r="R111" s="20" t="s">
        <v>58</v>
      </c>
      <c r="S111" s="20" t="s">
        <v>58</v>
      </c>
      <c r="T111" s="25"/>
      <c r="U111" s="25"/>
      <c r="V111" s="20" t="s">
        <v>61</v>
      </c>
      <c r="W111" s="20" t="s">
        <v>58</v>
      </c>
      <c r="X111" s="20" t="s">
        <v>58</v>
      </c>
      <c r="Y111" s="20" t="s">
        <v>58</v>
      </c>
      <c r="Z111" s="20" t="s">
        <v>58</v>
      </c>
      <c r="AA111" s="20" t="s">
        <v>58</v>
      </c>
      <c r="AB111" s="20" t="s">
        <v>58</v>
      </c>
      <c r="AC111" s="20" t="s">
        <v>58</v>
      </c>
      <c r="AD111" s="20" t="s">
        <v>58</v>
      </c>
      <c r="AE111" s="20" t="s">
        <v>58</v>
      </c>
      <c r="AF111" s="20" t="s">
        <v>61</v>
      </c>
      <c r="AG111" s="20" t="s">
        <v>61</v>
      </c>
      <c r="AH111" s="20" t="s">
        <v>58</v>
      </c>
      <c r="AI111" s="19">
        <v>25.0</v>
      </c>
      <c r="AJ111" s="19">
        <v>2000.0</v>
      </c>
      <c r="AK111" s="19">
        <v>25.0</v>
      </c>
      <c r="AL111" s="19">
        <v>0.0</v>
      </c>
      <c r="AM111" s="25"/>
      <c r="AN111" s="19">
        <v>500.0</v>
      </c>
      <c r="AO111" s="19">
        <v>0.0</v>
      </c>
      <c r="AP111" s="26" t="s">
        <v>757</v>
      </c>
      <c r="AQ111" s="19"/>
    </row>
    <row r="112">
      <c r="A112" s="19">
        <v>106.0</v>
      </c>
      <c r="B112" s="20" t="s">
        <v>1320</v>
      </c>
      <c r="C112" s="20" t="s">
        <v>1321</v>
      </c>
      <c r="D112" s="20" t="s">
        <v>1322</v>
      </c>
      <c r="E112" s="20" t="s">
        <v>49</v>
      </c>
      <c r="F112" s="23" t="s">
        <v>69</v>
      </c>
      <c r="G112" s="55">
        <f>+919810313564</f>
        <v>919810313564</v>
      </c>
      <c r="H112" s="20" t="s">
        <v>599</v>
      </c>
      <c r="I112" s="20" t="s">
        <v>601</v>
      </c>
      <c r="J112" s="20" t="s">
        <v>601</v>
      </c>
      <c r="K112" s="20" t="s">
        <v>55</v>
      </c>
      <c r="L112" s="20" t="s">
        <v>56</v>
      </c>
      <c r="M112" s="20" t="s">
        <v>57</v>
      </c>
      <c r="N112" s="20" t="s">
        <v>58</v>
      </c>
      <c r="O112" s="19">
        <v>1500.0</v>
      </c>
      <c r="P112" s="19">
        <v>1800.0</v>
      </c>
      <c r="Q112" s="20" t="s">
        <v>59</v>
      </c>
      <c r="R112" s="20" t="s">
        <v>58</v>
      </c>
      <c r="S112" s="20" t="s">
        <v>58</v>
      </c>
      <c r="T112" s="20" t="s">
        <v>275</v>
      </c>
      <c r="U112" s="25"/>
      <c r="V112" s="20" t="s">
        <v>61</v>
      </c>
      <c r="W112" s="20" t="s">
        <v>58</v>
      </c>
      <c r="X112" s="20" t="s">
        <v>58</v>
      </c>
      <c r="Y112" s="20" t="s">
        <v>58</v>
      </c>
      <c r="Z112" s="20" t="s">
        <v>58</v>
      </c>
      <c r="AA112" s="20" t="s">
        <v>58</v>
      </c>
      <c r="AB112" s="20" t="s">
        <v>58</v>
      </c>
      <c r="AC112" s="20" t="s">
        <v>58</v>
      </c>
      <c r="AD112" s="20" t="s">
        <v>58</v>
      </c>
      <c r="AE112" s="20" t="s">
        <v>58</v>
      </c>
      <c r="AF112" s="20" t="s">
        <v>61</v>
      </c>
      <c r="AG112" s="20" t="s">
        <v>61</v>
      </c>
      <c r="AH112" s="20" t="s">
        <v>58</v>
      </c>
      <c r="AI112" s="19">
        <v>15.0</v>
      </c>
      <c r="AJ112" s="19">
        <v>1000.0</v>
      </c>
      <c r="AK112" s="19">
        <v>15.0</v>
      </c>
      <c r="AL112" s="19">
        <v>0.0</v>
      </c>
      <c r="AM112" s="25"/>
      <c r="AN112" s="19">
        <v>1500.0</v>
      </c>
      <c r="AO112" s="19">
        <v>1800.0</v>
      </c>
      <c r="AP112" s="24" t="s">
        <v>757</v>
      </c>
      <c r="AQ112" s="19"/>
    </row>
    <row r="113">
      <c r="A113" s="19">
        <v>107.0</v>
      </c>
      <c r="B113" s="20" t="s">
        <v>1328</v>
      </c>
      <c r="C113" s="20" t="s">
        <v>1329</v>
      </c>
      <c r="D113" s="53" t="s">
        <v>1330</v>
      </c>
      <c r="E113" s="20" t="s">
        <v>49</v>
      </c>
      <c r="F113" s="23" t="s">
        <v>69</v>
      </c>
      <c r="G113" s="55">
        <f>+919811578910</f>
        <v>919811578910</v>
      </c>
      <c r="H113" s="20" t="s">
        <v>75</v>
      </c>
      <c r="I113" s="20" t="s">
        <v>76</v>
      </c>
      <c r="J113" s="20" t="s">
        <v>76</v>
      </c>
      <c r="K113" s="20" t="s">
        <v>55</v>
      </c>
      <c r="L113" s="20" t="s">
        <v>56</v>
      </c>
      <c r="M113" s="20" t="s">
        <v>57</v>
      </c>
      <c r="N113" s="20" t="s">
        <v>58</v>
      </c>
      <c r="O113" s="19">
        <v>700.0</v>
      </c>
      <c r="P113" s="19">
        <v>800.0</v>
      </c>
      <c r="Q113" s="20" t="s">
        <v>59</v>
      </c>
      <c r="R113" s="20" t="s">
        <v>58</v>
      </c>
      <c r="S113" s="20" t="s">
        <v>58</v>
      </c>
      <c r="T113" s="25"/>
      <c r="U113" s="25"/>
      <c r="V113" s="20" t="s">
        <v>61</v>
      </c>
      <c r="W113" s="20" t="s">
        <v>58</v>
      </c>
      <c r="X113" s="20" t="s">
        <v>58</v>
      </c>
      <c r="Y113" s="20" t="s">
        <v>58</v>
      </c>
      <c r="Z113" s="20" t="s">
        <v>58</v>
      </c>
      <c r="AA113" s="20" t="s">
        <v>58</v>
      </c>
      <c r="AB113" s="20" t="s">
        <v>58</v>
      </c>
      <c r="AC113" s="20" t="s">
        <v>58</v>
      </c>
      <c r="AD113" s="20" t="s">
        <v>58</v>
      </c>
      <c r="AE113" s="20" t="s">
        <v>58</v>
      </c>
      <c r="AF113" s="20" t="s">
        <v>61</v>
      </c>
      <c r="AG113" s="20" t="s">
        <v>61</v>
      </c>
      <c r="AH113" s="20" t="s">
        <v>58</v>
      </c>
      <c r="AI113" s="19">
        <v>70.0</v>
      </c>
      <c r="AJ113" s="19">
        <v>5000.0</v>
      </c>
      <c r="AK113" s="19">
        <v>70.0</v>
      </c>
      <c r="AL113" s="19">
        <v>0.0</v>
      </c>
      <c r="AM113" s="25"/>
      <c r="AN113" s="19">
        <v>700.0</v>
      </c>
      <c r="AO113" s="19">
        <v>800.0</v>
      </c>
      <c r="AP113" s="26" t="s">
        <v>757</v>
      </c>
      <c r="AQ113" s="19"/>
    </row>
    <row r="114">
      <c r="A114" s="19">
        <v>108.0</v>
      </c>
      <c r="B114" s="20" t="s">
        <v>1332</v>
      </c>
      <c r="C114" s="20" t="s">
        <v>1333</v>
      </c>
      <c r="D114" s="53" t="s">
        <v>1334</v>
      </c>
      <c r="E114" s="20" t="s">
        <v>49</v>
      </c>
      <c r="F114" s="23" t="s">
        <v>69</v>
      </c>
      <c r="G114" s="55">
        <f>+919899779339</f>
        <v>919899779339</v>
      </c>
      <c r="H114" s="20" t="s">
        <v>53</v>
      </c>
      <c r="I114" s="20" t="s">
        <v>54</v>
      </c>
      <c r="J114" s="20" t="s">
        <v>54</v>
      </c>
      <c r="K114" s="20" t="s">
        <v>55</v>
      </c>
      <c r="L114" s="20" t="s">
        <v>56</v>
      </c>
      <c r="M114" s="20" t="s">
        <v>57</v>
      </c>
      <c r="N114" s="20" t="s">
        <v>58</v>
      </c>
      <c r="O114" s="19">
        <v>450.0</v>
      </c>
      <c r="P114" s="19">
        <v>500.0</v>
      </c>
      <c r="Q114" s="20" t="s">
        <v>59</v>
      </c>
      <c r="R114" s="20" t="s">
        <v>58</v>
      </c>
      <c r="S114" s="20" t="s">
        <v>58</v>
      </c>
      <c r="T114" s="25"/>
      <c r="U114" s="25"/>
      <c r="V114" s="20" t="s">
        <v>61</v>
      </c>
      <c r="W114" s="20" t="s">
        <v>58</v>
      </c>
      <c r="X114" s="20" t="s">
        <v>58</v>
      </c>
      <c r="Y114" s="20" t="s">
        <v>58</v>
      </c>
      <c r="Z114" s="20" t="s">
        <v>58</v>
      </c>
      <c r="AA114" s="20" t="s">
        <v>58</v>
      </c>
      <c r="AB114" s="20" t="s">
        <v>58</v>
      </c>
      <c r="AC114" s="20" t="s">
        <v>58</v>
      </c>
      <c r="AD114" s="20" t="s">
        <v>58</v>
      </c>
      <c r="AE114" s="20" t="s">
        <v>58</v>
      </c>
      <c r="AF114" s="20" t="s">
        <v>61</v>
      </c>
      <c r="AG114" s="20" t="s">
        <v>61</v>
      </c>
      <c r="AH114" s="20" t="s">
        <v>58</v>
      </c>
      <c r="AI114" s="19">
        <v>50.0</v>
      </c>
      <c r="AJ114" s="19">
        <v>700.0</v>
      </c>
      <c r="AK114" s="19">
        <v>50.0</v>
      </c>
      <c r="AL114" s="19">
        <v>0.0</v>
      </c>
      <c r="AM114" s="25"/>
      <c r="AN114" s="19">
        <v>450.0</v>
      </c>
      <c r="AO114" s="19">
        <v>500.0</v>
      </c>
      <c r="AP114" s="26" t="s">
        <v>757</v>
      </c>
      <c r="AQ114" s="19"/>
    </row>
    <row r="115">
      <c r="A115" s="19">
        <v>109.0</v>
      </c>
      <c r="B115" s="20" t="s">
        <v>1342</v>
      </c>
      <c r="C115" s="20" t="s">
        <v>1343</v>
      </c>
      <c r="D115" s="53" t="s">
        <v>1344</v>
      </c>
      <c r="E115" s="20" t="s">
        <v>49</v>
      </c>
      <c r="F115" s="23" t="s">
        <v>69</v>
      </c>
      <c r="G115" s="55">
        <f>+918800122498</f>
        <v>918800122498</v>
      </c>
      <c r="H115" s="20" t="s">
        <v>75</v>
      </c>
      <c r="I115" s="20" t="s">
        <v>76</v>
      </c>
      <c r="J115" s="20" t="s">
        <v>76</v>
      </c>
      <c r="K115" s="20" t="s">
        <v>55</v>
      </c>
      <c r="L115" s="20" t="s">
        <v>56</v>
      </c>
      <c r="M115" s="20" t="s">
        <v>57</v>
      </c>
      <c r="N115" s="20" t="s">
        <v>58</v>
      </c>
      <c r="O115" s="19">
        <v>699.0</v>
      </c>
      <c r="P115" s="19">
        <v>1099.0</v>
      </c>
      <c r="Q115" s="20" t="s">
        <v>59</v>
      </c>
      <c r="R115" s="20" t="s">
        <v>58</v>
      </c>
      <c r="S115" s="20" t="s">
        <v>58</v>
      </c>
      <c r="T115" s="25"/>
      <c r="U115" s="25"/>
      <c r="V115" s="20" t="s">
        <v>61</v>
      </c>
      <c r="W115" s="20" t="s">
        <v>58</v>
      </c>
      <c r="X115" s="20" t="s">
        <v>58</v>
      </c>
      <c r="Y115" s="20" t="s">
        <v>58</v>
      </c>
      <c r="Z115" s="20" t="s">
        <v>58</v>
      </c>
      <c r="AA115" s="20" t="s">
        <v>58</v>
      </c>
      <c r="AB115" s="20" t="s">
        <v>58</v>
      </c>
      <c r="AC115" s="20" t="s">
        <v>58</v>
      </c>
      <c r="AD115" s="20" t="s">
        <v>58</v>
      </c>
      <c r="AE115" s="20" t="s">
        <v>58</v>
      </c>
      <c r="AF115" s="20" t="s">
        <v>61</v>
      </c>
      <c r="AG115" s="20" t="s">
        <v>61</v>
      </c>
      <c r="AH115" s="20" t="s">
        <v>58</v>
      </c>
      <c r="AI115" s="19">
        <v>25.0</v>
      </c>
      <c r="AJ115" s="19">
        <v>5000.0</v>
      </c>
      <c r="AK115" s="19">
        <v>25.0</v>
      </c>
      <c r="AL115" s="19">
        <v>0.0</v>
      </c>
      <c r="AM115" s="25"/>
      <c r="AN115" s="19">
        <v>699.0</v>
      </c>
      <c r="AO115" s="19">
        <v>1099.0</v>
      </c>
      <c r="AP115" s="26" t="s">
        <v>757</v>
      </c>
      <c r="AQ115" s="19"/>
    </row>
    <row r="116">
      <c r="A116" s="19">
        <v>110.0</v>
      </c>
      <c r="B116" s="20" t="s">
        <v>1346</v>
      </c>
      <c r="C116" s="20" t="s">
        <v>1348</v>
      </c>
      <c r="D116" s="53" t="s">
        <v>1349</v>
      </c>
      <c r="E116" s="20" t="s">
        <v>49</v>
      </c>
      <c r="F116" s="23" t="s">
        <v>69</v>
      </c>
      <c r="G116" s="55">
        <f>+919319233304</f>
        <v>919319233304</v>
      </c>
      <c r="H116" s="20" t="s">
        <v>75</v>
      </c>
      <c r="I116" s="20" t="s">
        <v>76</v>
      </c>
      <c r="J116" s="20" t="s">
        <v>76</v>
      </c>
      <c r="K116" s="20" t="s">
        <v>55</v>
      </c>
      <c r="L116" s="20" t="s">
        <v>56</v>
      </c>
      <c r="M116" s="20" t="s">
        <v>57</v>
      </c>
      <c r="N116" s="20" t="s">
        <v>58</v>
      </c>
      <c r="O116" s="19">
        <v>600.0</v>
      </c>
      <c r="P116" s="19">
        <v>900.0</v>
      </c>
      <c r="Q116" s="20" t="s">
        <v>59</v>
      </c>
      <c r="R116" s="20" t="s">
        <v>58</v>
      </c>
      <c r="S116" s="20" t="s">
        <v>58</v>
      </c>
      <c r="T116" s="25"/>
      <c r="U116" s="25"/>
      <c r="V116" s="20" t="s">
        <v>61</v>
      </c>
      <c r="W116" s="20" t="s">
        <v>58</v>
      </c>
      <c r="X116" s="20" t="s">
        <v>58</v>
      </c>
      <c r="Y116" s="20" t="s">
        <v>58</v>
      </c>
      <c r="Z116" s="20" t="s">
        <v>58</v>
      </c>
      <c r="AA116" s="20" t="s">
        <v>58</v>
      </c>
      <c r="AB116" s="20" t="s">
        <v>58</v>
      </c>
      <c r="AC116" s="20" t="s">
        <v>58</v>
      </c>
      <c r="AD116" s="20" t="s">
        <v>58</v>
      </c>
      <c r="AE116" s="20" t="s">
        <v>58</v>
      </c>
      <c r="AF116" s="20" t="s">
        <v>61</v>
      </c>
      <c r="AG116" s="20" t="s">
        <v>61</v>
      </c>
      <c r="AH116" s="20" t="s">
        <v>58</v>
      </c>
      <c r="AI116" s="19">
        <v>100.0</v>
      </c>
      <c r="AJ116" s="19">
        <v>2000.0</v>
      </c>
      <c r="AK116" s="19">
        <v>100.0</v>
      </c>
      <c r="AL116" s="19">
        <v>0.0</v>
      </c>
      <c r="AM116" s="25"/>
      <c r="AN116" s="19">
        <v>600.0</v>
      </c>
      <c r="AO116" s="19">
        <v>900.0</v>
      </c>
      <c r="AP116" s="26" t="s">
        <v>757</v>
      </c>
      <c r="AQ116" s="19"/>
    </row>
    <row r="117">
      <c r="A117" s="19">
        <v>111.0</v>
      </c>
      <c r="B117" s="20" t="s">
        <v>1354</v>
      </c>
      <c r="C117" s="20" t="s">
        <v>1355</v>
      </c>
      <c r="D117" s="59" t="s">
        <v>69</v>
      </c>
      <c r="E117" s="20" t="s">
        <v>49</v>
      </c>
      <c r="F117" s="23" t="s">
        <v>69</v>
      </c>
      <c r="G117" s="60" t="s">
        <v>69</v>
      </c>
      <c r="H117" s="20" t="s">
        <v>75</v>
      </c>
      <c r="I117" s="20" t="s">
        <v>76</v>
      </c>
      <c r="J117" s="20" t="s">
        <v>76</v>
      </c>
      <c r="K117" s="20" t="s">
        <v>55</v>
      </c>
      <c r="L117" s="20" t="s">
        <v>56</v>
      </c>
      <c r="M117" s="20" t="s">
        <v>57</v>
      </c>
      <c r="N117" s="20" t="s">
        <v>58</v>
      </c>
      <c r="O117" s="19">
        <v>750.0</v>
      </c>
      <c r="P117" s="19">
        <v>950.0</v>
      </c>
      <c r="Q117" s="20" t="s">
        <v>59</v>
      </c>
      <c r="R117" s="20" t="s">
        <v>58</v>
      </c>
      <c r="S117" s="20" t="s">
        <v>58</v>
      </c>
      <c r="T117" s="25"/>
      <c r="U117" s="25"/>
      <c r="V117" s="20" t="s">
        <v>61</v>
      </c>
      <c r="W117" s="20" t="s">
        <v>58</v>
      </c>
      <c r="X117" s="20" t="s">
        <v>58</v>
      </c>
      <c r="Y117" s="20" t="s">
        <v>58</v>
      </c>
      <c r="Z117" s="20" t="s">
        <v>58</v>
      </c>
      <c r="AA117" s="20" t="s">
        <v>58</v>
      </c>
      <c r="AB117" s="20" t="s">
        <v>58</v>
      </c>
      <c r="AC117" s="20" t="s">
        <v>58</v>
      </c>
      <c r="AD117" s="20" t="s">
        <v>58</v>
      </c>
      <c r="AE117" s="20" t="s">
        <v>58</v>
      </c>
      <c r="AF117" s="20" t="s">
        <v>61</v>
      </c>
      <c r="AG117" s="20" t="s">
        <v>61</v>
      </c>
      <c r="AH117" s="20" t="s">
        <v>58</v>
      </c>
      <c r="AI117" s="19">
        <v>150.0</v>
      </c>
      <c r="AJ117" s="19">
        <v>2000.0</v>
      </c>
      <c r="AK117" s="19">
        <v>150.0</v>
      </c>
      <c r="AL117" s="19">
        <v>0.0</v>
      </c>
      <c r="AM117" s="25"/>
      <c r="AN117" s="19">
        <v>750.0</v>
      </c>
      <c r="AO117" s="19">
        <v>950.0</v>
      </c>
      <c r="AP117" s="26" t="s">
        <v>757</v>
      </c>
      <c r="AQ117" s="19"/>
    </row>
    <row r="118">
      <c r="A118" s="19">
        <v>112.0</v>
      </c>
      <c r="B118" s="20" t="s">
        <v>1357</v>
      </c>
      <c r="C118" s="20" t="s">
        <v>1358</v>
      </c>
      <c r="D118" s="53" t="s">
        <v>1359</v>
      </c>
      <c r="E118" s="20" t="s">
        <v>49</v>
      </c>
      <c r="F118" s="23" t="s">
        <v>69</v>
      </c>
      <c r="G118" s="55">
        <f>+919289650355</f>
        <v>919289650355</v>
      </c>
      <c r="H118" s="20" t="s">
        <v>397</v>
      </c>
      <c r="I118" s="20" t="s">
        <v>398</v>
      </c>
      <c r="J118" s="20" t="s">
        <v>398</v>
      </c>
      <c r="K118" s="20" t="s">
        <v>55</v>
      </c>
      <c r="L118" s="20" t="s">
        <v>56</v>
      </c>
      <c r="M118" s="20" t="s">
        <v>57</v>
      </c>
      <c r="N118" s="20" t="s">
        <v>58</v>
      </c>
      <c r="O118" s="19">
        <v>600.0</v>
      </c>
      <c r="P118" s="19">
        <v>750.0</v>
      </c>
      <c r="Q118" s="20" t="s">
        <v>59</v>
      </c>
      <c r="R118" s="20" t="s">
        <v>58</v>
      </c>
      <c r="S118" s="20" t="s">
        <v>58</v>
      </c>
      <c r="T118" s="25"/>
      <c r="U118" s="25"/>
      <c r="V118" s="20" t="s">
        <v>61</v>
      </c>
      <c r="W118" s="20" t="s">
        <v>58</v>
      </c>
      <c r="X118" s="20" t="s">
        <v>58</v>
      </c>
      <c r="Y118" s="20" t="s">
        <v>58</v>
      </c>
      <c r="Z118" s="20" t="s">
        <v>58</v>
      </c>
      <c r="AA118" s="20" t="s">
        <v>58</v>
      </c>
      <c r="AB118" s="20" t="s">
        <v>58</v>
      </c>
      <c r="AC118" s="20" t="s">
        <v>58</v>
      </c>
      <c r="AD118" s="20" t="s">
        <v>58</v>
      </c>
      <c r="AE118" s="20" t="s">
        <v>58</v>
      </c>
      <c r="AF118" s="20" t="s">
        <v>61</v>
      </c>
      <c r="AG118" s="20" t="s">
        <v>61</v>
      </c>
      <c r="AH118" s="20" t="s">
        <v>58</v>
      </c>
      <c r="AI118" s="19">
        <v>50.0</v>
      </c>
      <c r="AJ118" s="19">
        <v>5000.0</v>
      </c>
      <c r="AK118" s="19">
        <v>50.0</v>
      </c>
      <c r="AL118" s="19">
        <v>0.0</v>
      </c>
      <c r="AM118" s="25"/>
      <c r="AN118" s="19">
        <v>600.0</v>
      </c>
      <c r="AO118" s="19">
        <v>750.0</v>
      </c>
      <c r="AP118" s="26" t="s">
        <v>757</v>
      </c>
      <c r="AQ118" s="19"/>
    </row>
    <row r="119">
      <c r="A119" s="19">
        <v>113.0</v>
      </c>
      <c r="B119" s="20" t="s">
        <v>1364</v>
      </c>
      <c r="C119" s="20" t="s">
        <v>1365</v>
      </c>
      <c r="D119" s="70" t="s">
        <v>1369</v>
      </c>
      <c r="E119" s="20" t="s">
        <v>49</v>
      </c>
      <c r="F119" s="23" t="s">
        <v>69</v>
      </c>
      <c r="G119" s="60" t="s">
        <v>69</v>
      </c>
      <c r="H119" s="20" t="s">
        <v>1370</v>
      </c>
      <c r="I119" s="20" t="s">
        <v>1209</v>
      </c>
      <c r="J119" s="20" t="s">
        <v>1209</v>
      </c>
      <c r="K119" s="20" t="s">
        <v>55</v>
      </c>
      <c r="L119" s="20" t="s">
        <v>56</v>
      </c>
      <c r="M119" s="20" t="s">
        <v>57</v>
      </c>
      <c r="N119" s="20" t="s">
        <v>58</v>
      </c>
      <c r="O119" s="19">
        <v>1000.0</v>
      </c>
      <c r="P119" s="19">
        <v>1400.0</v>
      </c>
      <c r="Q119" s="20" t="s">
        <v>59</v>
      </c>
      <c r="R119" s="20" t="s">
        <v>58</v>
      </c>
      <c r="S119" s="20" t="s">
        <v>58</v>
      </c>
      <c r="T119" s="25"/>
      <c r="U119" s="25"/>
      <c r="V119" s="20" t="s">
        <v>61</v>
      </c>
      <c r="W119" s="20" t="s">
        <v>58</v>
      </c>
      <c r="X119" s="20" t="s">
        <v>58</v>
      </c>
      <c r="Y119" s="20" t="s">
        <v>58</v>
      </c>
      <c r="Z119" s="20" t="s">
        <v>58</v>
      </c>
      <c r="AA119" s="20" t="s">
        <v>58</v>
      </c>
      <c r="AB119" s="20" t="s">
        <v>58</v>
      </c>
      <c r="AC119" s="20" t="s">
        <v>58</v>
      </c>
      <c r="AD119" s="20" t="s">
        <v>58</v>
      </c>
      <c r="AE119" s="20" t="s">
        <v>58</v>
      </c>
      <c r="AF119" s="20" t="s">
        <v>61</v>
      </c>
      <c r="AG119" s="20" t="s">
        <v>61</v>
      </c>
      <c r="AH119" s="20" t="s">
        <v>58</v>
      </c>
      <c r="AI119" s="19">
        <v>50.0</v>
      </c>
      <c r="AJ119" s="19">
        <v>2000.0</v>
      </c>
      <c r="AK119" s="19">
        <v>50.0</v>
      </c>
      <c r="AL119" s="19">
        <v>0.0</v>
      </c>
      <c r="AM119" s="25"/>
      <c r="AN119" s="19">
        <v>1000.0</v>
      </c>
      <c r="AO119" s="19">
        <v>1400.0</v>
      </c>
      <c r="AP119" s="26" t="s">
        <v>757</v>
      </c>
      <c r="AQ119" s="19"/>
    </row>
    <row r="120">
      <c r="A120" s="19">
        <v>114.0</v>
      </c>
      <c r="B120" s="20" t="s">
        <v>68</v>
      </c>
      <c r="C120" s="20" t="s">
        <v>70</v>
      </c>
      <c r="D120" s="53" t="s">
        <v>1371</v>
      </c>
      <c r="E120" s="20" t="s">
        <v>49</v>
      </c>
      <c r="F120" s="23" t="s">
        <v>69</v>
      </c>
      <c r="G120" s="55">
        <f>+918130594659</f>
        <v>918130594659</v>
      </c>
      <c r="H120" s="20" t="s">
        <v>75</v>
      </c>
      <c r="I120" s="20" t="s">
        <v>76</v>
      </c>
      <c r="J120" s="20" t="s">
        <v>76</v>
      </c>
      <c r="K120" s="20" t="s">
        <v>55</v>
      </c>
      <c r="L120" s="20" t="s">
        <v>56</v>
      </c>
      <c r="M120" s="20" t="s">
        <v>57</v>
      </c>
      <c r="N120" s="20" t="s">
        <v>58</v>
      </c>
      <c r="O120" s="19">
        <v>3000.0</v>
      </c>
      <c r="P120" s="19">
        <v>3500.0</v>
      </c>
      <c r="Q120" s="20" t="s">
        <v>59</v>
      </c>
      <c r="R120" s="20" t="s">
        <v>58</v>
      </c>
      <c r="S120" s="20" t="s">
        <v>58</v>
      </c>
      <c r="T120" s="25"/>
      <c r="U120" s="25"/>
      <c r="V120" s="20" t="s">
        <v>61</v>
      </c>
      <c r="W120" s="20" t="s">
        <v>58</v>
      </c>
      <c r="X120" s="20" t="s">
        <v>58</v>
      </c>
      <c r="Y120" s="20" t="s">
        <v>58</v>
      </c>
      <c r="Z120" s="20" t="s">
        <v>58</v>
      </c>
      <c r="AA120" s="20" t="s">
        <v>58</v>
      </c>
      <c r="AB120" s="20" t="s">
        <v>58</v>
      </c>
      <c r="AC120" s="20" t="s">
        <v>58</v>
      </c>
      <c r="AD120" s="20" t="s">
        <v>58</v>
      </c>
      <c r="AE120" s="20" t="s">
        <v>58</v>
      </c>
      <c r="AF120" s="20" t="s">
        <v>61</v>
      </c>
      <c r="AG120" s="20" t="s">
        <v>61</v>
      </c>
      <c r="AH120" s="20" t="s">
        <v>58</v>
      </c>
      <c r="AI120" s="19">
        <v>150.0</v>
      </c>
      <c r="AJ120" s="19">
        <v>1500.0</v>
      </c>
      <c r="AK120" s="19">
        <v>150.0</v>
      </c>
      <c r="AL120" s="19">
        <v>0.0</v>
      </c>
      <c r="AM120" s="25"/>
      <c r="AN120" s="19">
        <v>3000.0</v>
      </c>
      <c r="AO120" s="19">
        <v>3500.0</v>
      </c>
      <c r="AP120" s="26" t="s">
        <v>757</v>
      </c>
      <c r="AQ120" s="19"/>
    </row>
    <row r="121">
      <c r="A121" s="19">
        <v>115.0</v>
      </c>
      <c r="B121" s="20" t="s">
        <v>46</v>
      </c>
      <c r="C121" s="20" t="s">
        <v>47</v>
      </c>
      <c r="D121" s="53" t="s">
        <v>429</v>
      </c>
      <c r="E121" s="20" t="s">
        <v>49</v>
      </c>
      <c r="F121" s="23" t="s">
        <v>69</v>
      </c>
      <c r="G121" s="55">
        <f>+918447750692</f>
        <v>918447750692</v>
      </c>
      <c r="H121" s="20" t="s">
        <v>53</v>
      </c>
      <c r="I121" s="20" t="s">
        <v>54</v>
      </c>
      <c r="J121" s="20" t="s">
        <v>54</v>
      </c>
      <c r="K121" s="20" t="s">
        <v>55</v>
      </c>
      <c r="L121" s="20" t="s">
        <v>56</v>
      </c>
      <c r="M121" s="20" t="s">
        <v>57</v>
      </c>
      <c r="N121" s="20" t="s">
        <v>58</v>
      </c>
      <c r="O121" s="19">
        <v>1000.0</v>
      </c>
      <c r="P121" s="19">
        <v>1200.0</v>
      </c>
      <c r="Q121" s="20" t="s">
        <v>59</v>
      </c>
      <c r="R121" s="20" t="s">
        <v>58</v>
      </c>
      <c r="S121" s="20" t="s">
        <v>58</v>
      </c>
      <c r="T121" s="25"/>
      <c r="U121" s="25"/>
      <c r="V121" s="20" t="s">
        <v>61</v>
      </c>
      <c r="W121" s="20" t="s">
        <v>58</v>
      </c>
      <c r="X121" s="20" t="s">
        <v>58</v>
      </c>
      <c r="Y121" s="20" t="s">
        <v>58</v>
      </c>
      <c r="Z121" s="20" t="s">
        <v>58</v>
      </c>
      <c r="AA121" s="20" t="s">
        <v>58</v>
      </c>
      <c r="AB121" s="20" t="s">
        <v>58</v>
      </c>
      <c r="AC121" s="20" t="s">
        <v>58</v>
      </c>
      <c r="AD121" s="20" t="s">
        <v>58</v>
      </c>
      <c r="AE121" s="20" t="s">
        <v>58</v>
      </c>
      <c r="AF121" s="20" t="s">
        <v>61</v>
      </c>
      <c r="AG121" s="20" t="s">
        <v>61</v>
      </c>
      <c r="AH121" s="20" t="s">
        <v>58</v>
      </c>
      <c r="AI121" s="19">
        <v>2000.0</v>
      </c>
      <c r="AJ121" s="19">
        <v>2000.0</v>
      </c>
      <c r="AK121" s="19">
        <v>2000.0</v>
      </c>
      <c r="AL121" s="19">
        <v>0.0</v>
      </c>
      <c r="AM121" s="25"/>
      <c r="AN121" s="19">
        <v>1000.0</v>
      </c>
      <c r="AO121" s="19">
        <v>1200.0</v>
      </c>
      <c r="AP121" s="26" t="s">
        <v>757</v>
      </c>
      <c r="AQ121" s="19"/>
    </row>
    <row r="122">
      <c r="A122" s="19">
        <v>116.0</v>
      </c>
      <c r="B122" s="20" t="s">
        <v>93</v>
      </c>
      <c r="C122" s="20" t="s">
        <v>94</v>
      </c>
      <c r="D122" s="20" t="s">
        <v>95</v>
      </c>
      <c r="E122" s="20" t="s">
        <v>49</v>
      </c>
      <c r="F122" s="23" t="s">
        <v>69</v>
      </c>
      <c r="G122" s="55">
        <f>+919310812341</f>
        <v>919310812341</v>
      </c>
      <c r="H122" s="20" t="s">
        <v>107</v>
      </c>
      <c r="I122" s="20" t="s">
        <v>109</v>
      </c>
      <c r="J122" s="20" t="s">
        <v>74</v>
      </c>
      <c r="K122" s="20" t="s">
        <v>55</v>
      </c>
      <c r="L122" s="20" t="s">
        <v>56</v>
      </c>
      <c r="M122" s="20" t="s">
        <v>57</v>
      </c>
      <c r="N122" s="20" t="s">
        <v>58</v>
      </c>
      <c r="O122" s="19">
        <v>1000.0</v>
      </c>
      <c r="P122" s="25"/>
      <c r="Q122" s="20" t="s">
        <v>59</v>
      </c>
      <c r="R122" s="20" t="s">
        <v>58</v>
      </c>
      <c r="S122" s="20" t="s">
        <v>58</v>
      </c>
      <c r="T122" s="25"/>
      <c r="U122" s="25"/>
      <c r="V122" s="20" t="s">
        <v>61</v>
      </c>
      <c r="W122" s="20" t="s">
        <v>58</v>
      </c>
      <c r="X122" s="20" t="s">
        <v>58</v>
      </c>
      <c r="Y122" s="20" t="s">
        <v>58</v>
      </c>
      <c r="Z122" s="20" t="s">
        <v>58</v>
      </c>
      <c r="AA122" s="20" t="s">
        <v>58</v>
      </c>
      <c r="AB122" s="20" t="s">
        <v>58</v>
      </c>
      <c r="AC122" s="20" t="s">
        <v>58</v>
      </c>
      <c r="AD122" s="20" t="s">
        <v>58</v>
      </c>
      <c r="AE122" s="20" t="s">
        <v>58</v>
      </c>
      <c r="AF122" s="20" t="s">
        <v>61</v>
      </c>
      <c r="AG122" s="20" t="s">
        <v>61</v>
      </c>
      <c r="AH122" s="20" t="s">
        <v>58</v>
      </c>
      <c r="AI122" s="19">
        <v>100.0</v>
      </c>
      <c r="AJ122" s="19">
        <v>50000.0</v>
      </c>
      <c r="AK122" s="19">
        <v>100.0</v>
      </c>
      <c r="AL122" s="19">
        <v>0.0</v>
      </c>
      <c r="AM122" s="25"/>
      <c r="AN122" s="19">
        <v>1000.0</v>
      </c>
      <c r="AO122" s="19">
        <v>0.0</v>
      </c>
      <c r="AP122" s="24" t="s">
        <v>757</v>
      </c>
      <c r="AQ122" s="19"/>
    </row>
    <row r="123">
      <c r="A123" s="19">
        <v>117.0</v>
      </c>
      <c r="B123" s="20" t="s">
        <v>128</v>
      </c>
      <c r="C123" s="20" t="s">
        <v>129</v>
      </c>
      <c r="D123" s="20" t="s">
        <v>130</v>
      </c>
      <c r="E123" s="20" t="s">
        <v>49</v>
      </c>
      <c r="F123" s="23" t="s">
        <v>69</v>
      </c>
      <c r="G123" s="55">
        <f>+918802338595</f>
        <v>918802338595</v>
      </c>
      <c r="H123" s="20" t="s">
        <v>142</v>
      </c>
      <c r="I123" s="20" t="s">
        <v>144</v>
      </c>
      <c r="J123" s="20" t="s">
        <v>74</v>
      </c>
      <c r="K123" s="20" t="s">
        <v>55</v>
      </c>
      <c r="L123" s="20" t="s">
        <v>56</v>
      </c>
      <c r="M123" s="20" t="s">
        <v>57</v>
      </c>
      <c r="N123" s="20" t="s">
        <v>58</v>
      </c>
      <c r="O123" s="19">
        <v>1600.0</v>
      </c>
      <c r="P123" s="19">
        <v>1900.0</v>
      </c>
      <c r="Q123" s="20" t="s">
        <v>59</v>
      </c>
      <c r="R123" s="20" t="s">
        <v>58</v>
      </c>
      <c r="S123" s="20" t="s">
        <v>58</v>
      </c>
      <c r="T123" s="20" t="s">
        <v>1003</v>
      </c>
      <c r="U123" s="25"/>
      <c r="V123" s="20" t="s">
        <v>61</v>
      </c>
      <c r="W123" s="20" t="s">
        <v>58</v>
      </c>
      <c r="X123" s="20" t="s">
        <v>58</v>
      </c>
      <c r="Y123" s="20" t="s">
        <v>58</v>
      </c>
      <c r="Z123" s="20" t="s">
        <v>58</v>
      </c>
      <c r="AA123" s="20" t="s">
        <v>58</v>
      </c>
      <c r="AB123" s="20" t="s">
        <v>58</v>
      </c>
      <c r="AC123" s="20" t="s">
        <v>58</v>
      </c>
      <c r="AD123" s="20" t="s">
        <v>58</v>
      </c>
      <c r="AE123" s="20" t="s">
        <v>58</v>
      </c>
      <c r="AF123" s="20" t="s">
        <v>61</v>
      </c>
      <c r="AG123" s="20" t="s">
        <v>61</v>
      </c>
      <c r="AH123" s="20" t="s">
        <v>58</v>
      </c>
      <c r="AI123" s="19">
        <v>50.0</v>
      </c>
      <c r="AJ123" s="19">
        <v>2000.0</v>
      </c>
      <c r="AK123" s="19">
        <v>50.0</v>
      </c>
      <c r="AL123" s="19">
        <v>0.0</v>
      </c>
      <c r="AM123" s="25"/>
      <c r="AN123" s="19">
        <v>1600.0</v>
      </c>
      <c r="AO123" s="19">
        <v>1900.0</v>
      </c>
      <c r="AP123" s="24" t="s">
        <v>757</v>
      </c>
      <c r="AQ123" s="19"/>
    </row>
    <row r="124">
      <c r="A124" s="19">
        <v>118.0</v>
      </c>
      <c r="B124" s="20" t="s">
        <v>133</v>
      </c>
      <c r="C124" s="20" t="s">
        <v>134</v>
      </c>
      <c r="D124" s="20" t="s">
        <v>135</v>
      </c>
      <c r="E124" s="20" t="s">
        <v>49</v>
      </c>
      <c r="F124" s="23" t="s">
        <v>69</v>
      </c>
      <c r="G124" s="55">
        <f>+918130308994</f>
        <v>918130308994</v>
      </c>
      <c r="H124" s="20" t="s">
        <v>147</v>
      </c>
      <c r="I124" s="20" t="s">
        <v>148</v>
      </c>
      <c r="J124" s="20" t="s">
        <v>148</v>
      </c>
      <c r="K124" s="20" t="s">
        <v>55</v>
      </c>
      <c r="L124" s="20" t="s">
        <v>56</v>
      </c>
      <c r="M124" s="20" t="s">
        <v>57</v>
      </c>
      <c r="N124" s="20" t="s">
        <v>58</v>
      </c>
      <c r="O124" s="19">
        <v>700.0</v>
      </c>
      <c r="P124" s="19">
        <v>900.0</v>
      </c>
      <c r="Q124" s="20" t="s">
        <v>59</v>
      </c>
      <c r="R124" s="20" t="s">
        <v>58</v>
      </c>
      <c r="S124" s="20" t="s">
        <v>58</v>
      </c>
      <c r="T124" s="20" t="s">
        <v>127</v>
      </c>
      <c r="U124" s="25"/>
      <c r="V124" s="20" t="s">
        <v>61</v>
      </c>
      <c r="W124" s="20" t="s">
        <v>58</v>
      </c>
      <c r="X124" s="20" t="s">
        <v>58</v>
      </c>
      <c r="Y124" s="20" t="s">
        <v>58</v>
      </c>
      <c r="Z124" s="20" t="s">
        <v>58</v>
      </c>
      <c r="AA124" s="20" t="s">
        <v>58</v>
      </c>
      <c r="AB124" s="20" t="s">
        <v>58</v>
      </c>
      <c r="AC124" s="20" t="s">
        <v>58</v>
      </c>
      <c r="AD124" s="20" t="s">
        <v>58</v>
      </c>
      <c r="AE124" s="20" t="s">
        <v>58</v>
      </c>
      <c r="AF124" s="20" t="s">
        <v>61</v>
      </c>
      <c r="AG124" s="20" t="s">
        <v>61</v>
      </c>
      <c r="AH124" s="20" t="s">
        <v>58</v>
      </c>
      <c r="AI124" s="19">
        <v>100.0</v>
      </c>
      <c r="AJ124" s="19">
        <v>5000.0</v>
      </c>
      <c r="AK124" s="19">
        <v>100.0</v>
      </c>
      <c r="AL124" s="19">
        <v>0.0</v>
      </c>
      <c r="AM124" s="25"/>
      <c r="AN124" s="19">
        <v>700.0</v>
      </c>
      <c r="AO124" s="19">
        <v>900.0</v>
      </c>
      <c r="AP124" s="24" t="s">
        <v>757</v>
      </c>
      <c r="AQ124" s="19"/>
    </row>
    <row r="125">
      <c r="A125" s="19">
        <v>119.0</v>
      </c>
      <c r="B125" s="20" t="s">
        <v>1390</v>
      </c>
      <c r="C125" s="20" t="s">
        <v>1391</v>
      </c>
      <c r="D125" s="53" t="s">
        <v>1392</v>
      </c>
      <c r="E125" s="20" t="s">
        <v>49</v>
      </c>
      <c r="F125" s="23" t="s">
        <v>69</v>
      </c>
      <c r="G125" s="55">
        <f>+919981168309</f>
        <v>919981168309</v>
      </c>
      <c r="H125" s="20" t="s">
        <v>1394</v>
      </c>
      <c r="I125" s="20" t="s">
        <v>1396</v>
      </c>
      <c r="J125" s="20" t="s">
        <v>1396</v>
      </c>
      <c r="K125" s="20" t="s">
        <v>55</v>
      </c>
      <c r="L125" s="20" t="s">
        <v>56</v>
      </c>
      <c r="M125" s="20" t="s">
        <v>57</v>
      </c>
      <c r="N125" s="20" t="s">
        <v>58</v>
      </c>
      <c r="O125" s="19">
        <v>700.0</v>
      </c>
      <c r="P125" s="19">
        <v>900.0</v>
      </c>
      <c r="Q125" s="20" t="s">
        <v>59</v>
      </c>
      <c r="R125" s="20" t="s">
        <v>58</v>
      </c>
      <c r="S125" s="20" t="s">
        <v>58</v>
      </c>
      <c r="T125" s="25"/>
      <c r="U125" s="25"/>
      <c r="V125" s="20" t="s">
        <v>61</v>
      </c>
      <c r="W125" s="20" t="s">
        <v>58</v>
      </c>
      <c r="X125" s="20" t="s">
        <v>58</v>
      </c>
      <c r="Y125" s="20" t="s">
        <v>58</v>
      </c>
      <c r="Z125" s="20" t="s">
        <v>58</v>
      </c>
      <c r="AA125" s="20" t="s">
        <v>58</v>
      </c>
      <c r="AB125" s="20" t="s">
        <v>58</v>
      </c>
      <c r="AC125" s="20" t="s">
        <v>58</v>
      </c>
      <c r="AD125" s="20" t="s">
        <v>58</v>
      </c>
      <c r="AE125" s="20" t="s">
        <v>58</v>
      </c>
      <c r="AF125" s="20" t="s">
        <v>61</v>
      </c>
      <c r="AG125" s="20" t="s">
        <v>61</v>
      </c>
      <c r="AH125" s="20" t="s">
        <v>58</v>
      </c>
      <c r="AI125" s="19">
        <v>10.0</v>
      </c>
      <c r="AJ125" s="19">
        <v>1000.0</v>
      </c>
      <c r="AK125" s="19">
        <v>10.0</v>
      </c>
      <c r="AL125" s="19">
        <v>0.0</v>
      </c>
      <c r="AM125" s="25"/>
      <c r="AN125" s="19">
        <v>700.0</v>
      </c>
      <c r="AO125" s="19">
        <v>900.0</v>
      </c>
      <c r="AP125" s="26" t="s">
        <v>757</v>
      </c>
      <c r="AQ125" s="19"/>
    </row>
    <row r="126">
      <c r="A126" s="19">
        <v>120.0</v>
      </c>
      <c r="B126" s="20" t="s">
        <v>1400</v>
      </c>
      <c r="C126" s="20" t="s">
        <v>1401</v>
      </c>
      <c r="D126" s="53" t="s">
        <v>1402</v>
      </c>
      <c r="E126" s="20" t="s">
        <v>49</v>
      </c>
      <c r="F126" s="23" t="s">
        <v>69</v>
      </c>
      <c r="G126" s="55">
        <f>+919250228275</f>
        <v>919250228275</v>
      </c>
      <c r="H126" s="20" t="s">
        <v>389</v>
      </c>
      <c r="I126" s="20" t="s">
        <v>390</v>
      </c>
      <c r="J126" s="20" t="s">
        <v>390</v>
      </c>
      <c r="K126" s="20" t="s">
        <v>55</v>
      </c>
      <c r="L126" s="20" t="s">
        <v>56</v>
      </c>
      <c r="M126" s="20" t="s">
        <v>57</v>
      </c>
      <c r="N126" s="20" t="s">
        <v>58</v>
      </c>
      <c r="O126" s="19">
        <v>180.0</v>
      </c>
      <c r="P126" s="19">
        <v>240.0</v>
      </c>
      <c r="Q126" s="20" t="s">
        <v>59</v>
      </c>
      <c r="R126" s="20" t="s">
        <v>58</v>
      </c>
      <c r="S126" s="20" t="s">
        <v>58</v>
      </c>
      <c r="T126" s="25"/>
      <c r="U126" s="25"/>
      <c r="V126" s="20" t="s">
        <v>61</v>
      </c>
      <c r="W126" s="20" t="s">
        <v>58</v>
      </c>
      <c r="X126" s="20" t="s">
        <v>58</v>
      </c>
      <c r="Y126" s="20" t="s">
        <v>58</v>
      </c>
      <c r="Z126" s="20" t="s">
        <v>58</v>
      </c>
      <c r="AA126" s="20" t="s">
        <v>58</v>
      </c>
      <c r="AB126" s="20" t="s">
        <v>58</v>
      </c>
      <c r="AC126" s="20" t="s">
        <v>58</v>
      </c>
      <c r="AD126" s="20" t="s">
        <v>58</v>
      </c>
      <c r="AE126" s="20" t="s">
        <v>58</v>
      </c>
      <c r="AF126" s="20" t="s">
        <v>61</v>
      </c>
      <c r="AG126" s="20" t="s">
        <v>61</v>
      </c>
      <c r="AH126" s="20" t="s">
        <v>58</v>
      </c>
      <c r="AI126" s="19">
        <v>200.0</v>
      </c>
      <c r="AJ126" s="19">
        <v>500.0</v>
      </c>
      <c r="AK126" s="19">
        <v>200.0</v>
      </c>
      <c r="AL126" s="19">
        <v>0.0</v>
      </c>
      <c r="AM126" s="25"/>
      <c r="AN126" s="19">
        <v>180.0</v>
      </c>
      <c r="AO126" s="19">
        <v>240.0</v>
      </c>
      <c r="AP126" s="26" t="s">
        <v>757</v>
      </c>
      <c r="AQ126" s="19"/>
    </row>
    <row r="127">
      <c r="A127" s="19">
        <v>122.0</v>
      </c>
      <c r="B127" s="20" t="s">
        <v>1403</v>
      </c>
      <c r="C127" s="20" t="s">
        <v>1404</v>
      </c>
      <c r="D127" s="53" t="s">
        <v>1405</v>
      </c>
      <c r="E127" s="20" t="s">
        <v>49</v>
      </c>
      <c r="F127" s="23" t="s">
        <v>69</v>
      </c>
      <c r="G127" s="55">
        <f>+919999878411</f>
        <v>919999878411</v>
      </c>
      <c r="H127" s="20" t="s">
        <v>1409</v>
      </c>
      <c r="I127" s="20" t="s">
        <v>1411</v>
      </c>
      <c r="J127" s="20" t="s">
        <v>1411</v>
      </c>
      <c r="K127" s="20" t="s">
        <v>55</v>
      </c>
      <c r="L127" s="20" t="s">
        <v>56</v>
      </c>
      <c r="M127" s="20" t="s">
        <v>57</v>
      </c>
      <c r="N127" s="20" t="s">
        <v>58</v>
      </c>
      <c r="O127" s="19">
        <v>1550.0</v>
      </c>
      <c r="P127" s="19">
        <v>1950.0</v>
      </c>
      <c r="Q127" s="20" t="s">
        <v>59</v>
      </c>
      <c r="R127" s="20" t="s">
        <v>58</v>
      </c>
      <c r="S127" s="20" t="s">
        <v>58</v>
      </c>
      <c r="T127" s="25"/>
      <c r="U127" s="25"/>
      <c r="V127" s="20" t="s">
        <v>61</v>
      </c>
      <c r="W127" s="20" t="s">
        <v>58</v>
      </c>
      <c r="X127" s="20" t="s">
        <v>58</v>
      </c>
      <c r="Y127" s="20" t="s">
        <v>58</v>
      </c>
      <c r="Z127" s="20" t="s">
        <v>58</v>
      </c>
      <c r="AA127" s="20" t="s">
        <v>58</v>
      </c>
      <c r="AB127" s="20" t="s">
        <v>58</v>
      </c>
      <c r="AC127" s="20" t="s">
        <v>58</v>
      </c>
      <c r="AD127" s="20" t="s">
        <v>58</v>
      </c>
      <c r="AE127" s="20" t="s">
        <v>58</v>
      </c>
      <c r="AF127" s="20" t="s">
        <v>61</v>
      </c>
      <c r="AG127" s="20" t="s">
        <v>61</v>
      </c>
      <c r="AH127" s="20" t="s">
        <v>58</v>
      </c>
      <c r="AI127" s="19">
        <v>10.0</v>
      </c>
      <c r="AJ127" s="19">
        <v>5000.0</v>
      </c>
      <c r="AK127" s="19">
        <v>10.0</v>
      </c>
      <c r="AL127" s="19">
        <v>0.0</v>
      </c>
      <c r="AM127" s="25"/>
      <c r="AN127" s="19">
        <v>1550.0</v>
      </c>
      <c r="AO127" s="19">
        <v>1950.0</v>
      </c>
      <c r="AP127" s="26" t="s">
        <v>757</v>
      </c>
      <c r="AQ127" s="19"/>
    </row>
    <row r="128">
      <c r="A128" s="19">
        <v>123.0</v>
      </c>
      <c r="B128" s="20" t="s">
        <v>1413</v>
      </c>
      <c r="C128" s="20" t="s">
        <v>1414</v>
      </c>
      <c r="D128" s="53" t="s">
        <v>1415</v>
      </c>
      <c r="E128" s="20" t="s">
        <v>49</v>
      </c>
      <c r="F128" s="23" t="s">
        <v>69</v>
      </c>
      <c r="G128" s="55">
        <f>+917428444949</f>
        <v>917428444949</v>
      </c>
      <c r="H128" s="20" t="s">
        <v>389</v>
      </c>
      <c r="I128" s="20" t="s">
        <v>390</v>
      </c>
      <c r="J128" s="20" t="s">
        <v>390</v>
      </c>
      <c r="K128" s="20" t="s">
        <v>55</v>
      </c>
      <c r="L128" s="20" t="s">
        <v>56</v>
      </c>
      <c r="M128" s="20" t="s">
        <v>57</v>
      </c>
      <c r="N128" s="20" t="s">
        <v>58</v>
      </c>
      <c r="O128" s="19">
        <v>800.0</v>
      </c>
      <c r="P128" s="25"/>
      <c r="Q128" s="20" t="s">
        <v>59</v>
      </c>
      <c r="R128" s="20" t="s">
        <v>58</v>
      </c>
      <c r="S128" s="20" t="s">
        <v>58</v>
      </c>
      <c r="T128" s="25"/>
      <c r="U128" s="25"/>
      <c r="V128" s="20" t="s">
        <v>61</v>
      </c>
      <c r="W128" s="20" t="s">
        <v>58</v>
      </c>
      <c r="X128" s="20" t="s">
        <v>58</v>
      </c>
      <c r="Y128" s="20" t="s">
        <v>58</v>
      </c>
      <c r="Z128" s="20" t="s">
        <v>58</v>
      </c>
      <c r="AA128" s="20" t="s">
        <v>58</v>
      </c>
      <c r="AB128" s="20" t="s">
        <v>58</v>
      </c>
      <c r="AC128" s="20" t="s">
        <v>58</v>
      </c>
      <c r="AD128" s="20" t="s">
        <v>58</v>
      </c>
      <c r="AE128" s="20" t="s">
        <v>58</v>
      </c>
      <c r="AF128" s="20" t="s">
        <v>61</v>
      </c>
      <c r="AG128" s="20" t="s">
        <v>61</v>
      </c>
      <c r="AH128" s="20" t="s">
        <v>58</v>
      </c>
      <c r="AI128" s="19">
        <v>50.0</v>
      </c>
      <c r="AJ128" s="19">
        <v>1000.0</v>
      </c>
      <c r="AK128" s="19">
        <v>50.0</v>
      </c>
      <c r="AL128" s="19">
        <v>0.0</v>
      </c>
      <c r="AM128" s="25"/>
      <c r="AN128" s="19">
        <v>800.0</v>
      </c>
      <c r="AO128" s="19">
        <v>0.0</v>
      </c>
      <c r="AP128" s="26" t="s">
        <v>757</v>
      </c>
      <c r="AQ128" s="19"/>
    </row>
    <row r="129">
      <c r="A129" s="19">
        <v>124.0</v>
      </c>
      <c r="B129" s="20" t="s">
        <v>1195</v>
      </c>
      <c r="C129" s="20" t="s">
        <v>1196</v>
      </c>
      <c r="D129" s="53" t="s">
        <v>1420</v>
      </c>
      <c r="E129" s="20" t="s">
        <v>49</v>
      </c>
      <c r="F129" s="23" t="s">
        <v>69</v>
      </c>
      <c r="G129" s="55">
        <f>+919810949421</f>
        <v>919810949421</v>
      </c>
      <c r="H129" s="20" t="s">
        <v>389</v>
      </c>
      <c r="I129" s="20" t="s">
        <v>390</v>
      </c>
      <c r="J129" s="20" t="s">
        <v>390</v>
      </c>
      <c r="K129" s="20" t="s">
        <v>55</v>
      </c>
      <c r="L129" s="20" t="s">
        <v>56</v>
      </c>
      <c r="M129" s="20" t="s">
        <v>57</v>
      </c>
      <c r="N129" s="20" t="s">
        <v>58</v>
      </c>
      <c r="O129" s="19">
        <v>700.0</v>
      </c>
      <c r="P129" s="19">
        <v>1100.0</v>
      </c>
      <c r="Q129" s="20" t="s">
        <v>59</v>
      </c>
      <c r="R129" s="20" t="s">
        <v>58</v>
      </c>
      <c r="S129" s="20" t="s">
        <v>58</v>
      </c>
      <c r="T129" s="25"/>
      <c r="U129" s="25"/>
      <c r="V129" s="20" t="s">
        <v>61</v>
      </c>
      <c r="W129" s="20" t="s">
        <v>58</v>
      </c>
      <c r="X129" s="20" t="s">
        <v>58</v>
      </c>
      <c r="Y129" s="20" t="s">
        <v>58</v>
      </c>
      <c r="Z129" s="20" t="s">
        <v>58</v>
      </c>
      <c r="AA129" s="20" t="s">
        <v>58</v>
      </c>
      <c r="AB129" s="20" t="s">
        <v>58</v>
      </c>
      <c r="AC129" s="20" t="s">
        <v>58</v>
      </c>
      <c r="AD129" s="20" t="s">
        <v>58</v>
      </c>
      <c r="AE129" s="20" t="s">
        <v>58</v>
      </c>
      <c r="AF129" s="20" t="s">
        <v>61</v>
      </c>
      <c r="AG129" s="20" t="s">
        <v>61</v>
      </c>
      <c r="AH129" s="20" t="s">
        <v>58</v>
      </c>
      <c r="AI129" s="19">
        <v>50.0</v>
      </c>
      <c r="AJ129" s="19">
        <v>3000.0</v>
      </c>
      <c r="AK129" s="19">
        <v>50.0</v>
      </c>
      <c r="AL129" s="19">
        <v>0.0</v>
      </c>
      <c r="AM129" s="25"/>
      <c r="AN129" s="19">
        <v>700.0</v>
      </c>
      <c r="AO129" s="19">
        <v>1100.0</v>
      </c>
      <c r="AP129" s="26" t="s">
        <v>757</v>
      </c>
      <c r="AQ129" s="19"/>
    </row>
    <row r="130">
      <c r="A130" s="19">
        <v>125.0</v>
      </c>
      <c r="B130" s="20" t="s">
        <v>1421</v>
      </c>
      <c r="C130" s="20" t="s">
        <v>1422</v>
      </c>
      <c r="D130" s="53" t="s">
        <v>1423</v>
      </c>
      <c r="E130" s="20" t="s">
        <v>49</v>
      </c>
      <c r="F130" s="23" t="s">
        <v>69</v>
      </c>
      <c r="G130" s="55">
        <f>+919873102075</f>
        <v>919873102075</v>
      </c>
      <c r="H130" s="20" t="s">
        <v>389</v>
      </c>
      <c r="I130" s="20" t="s">
        <v>390</v>
      </c>
      <c r="J130" s="20" t="s">
        <v>390</v>
      </c>
      <c r="K130" s="20" t="s">
        <v>55</v>
      </c>
      <c r="L130" s="20" t="s">
        <v>56</v>
      </c>
      <c r="M130" s="20" t="s">
        <v>57</v>
      </c>
      <c r="N130" s="20" t="s">
        <v>58</v>
      </c>
      <c r="O130" s="19">
        <v>800.0</v>
      </c>
      <c r="P130" s="25"/>
      <c r="Q130" s="20" t="s">
        <v>59</v>
      </c>
      <c r="R130" s="20" t="s">
        <v>58</v>
      </c>
      <c r="S130" s="20" t="s">
        <v>58</v>
      </c>
      <c r="T130" s="25"/>
      <c r="U130" s="25"/>
      <c r="V130" s="20" t="s">
        <v>61</v>
      </c>
      <c r="W130" s="20" t="s">
        <v>58</v>
      </c>
      <c r="X130" s="20" t="s">
        <v>58</v>
      </c>
      <c r="Y130" s="20" t="s">
        <v>58</v>
      </c>
      <c r="Z130" s="20" t="s">
        <v>58</v>
      </c>
      <c r="AA130" s="20" t="s">
        <v>58</v>
      </c>
      <c r="AB130" s="20" t="s">
        <v>58</v>
      </c>
      <c r="AC130" s="20" t="s">
        <v>58</v>
      </c>
      <c r="AD130" s="20" t="s">
        <v>58</v>
      </c>
      <c r="AE130" s="20" t="s">
        <v>58</v>
      </c>
      <c r="AF130" s="20" t="s">
        <v>61</v>
      </c>
      <c r="AG130" s="20" t="s">
        <v>61</v>
      </c>
      <c r="AH130" s="20" t="s">
        <v>58</v>
      </c>
      <c r="AI130" s="19">
        <v>150.0</v>
      </c>
      <c r="AJ130" s="19">
        <v>5000.0</v>
      </c>
      <c r="AK130" s="19">
        <v>150.0</v>
      </c>
      <c r="AL130" s="19">
        <v>0.0</v>
      </c>
      <c r="AM130" s="25"/>
      <c r="AN130" s="19">
        <v>800.0</v>
      </c>
      <c r="AO130" s="19">
        <v>0.0</v>
      </c>
      <c r="AP130" s="26" t="s">
        <v>757</v>
      </c>
      <c r="AQ130" s="19"/>
    </row>
    <row r="131">
      <c r="A131" s="19">
        <v>126.0</v>
      </c>
      <c r="B131" s="20" t="s">
        <v>64</v>
      </c>
      <c r="C131" s="20" t="s">
        <v>66</v>
      </c>
      <c r="D131" s="20" t="s">
        <v>67</v>
      </c>
      <c r="E131" s="20" t="s">
        <v>49</v>
      </c>
      <c r="F131" s="23" t="s">
        <v>69</v>
      </c>
      <c r="G131" s="55">
        <f>+919599773320</f>
        <v>919599773320</v>
      </c>
      <c r="H131" s="20" t="s">
        <v>72</v>
      </c>
      <c r="I131" s="20" t="s">
        <v>73</v>
      </c>
      <c r="J131" s="20" t="s">
        <v>74</v>
      </c>
      <c r="K131" s="20" t="s">
        <v>55</v>
      </c>
      <c r="L131" s="20" t="s">
        <v>56</v>
      </c>
      <c r="M131" s="20" t="s">
        <v>57</v>
      </c>
      <c r="N131" s="20" t="s">
        <v>58</v>
      </c>
      <c r="O131" s="19">
        <v>2999.0</v>
      </c>
      <c r="P131" s="19">
        <v>2999.0</v>
      </c>
      <c r="Q131" s="20" t="s">
        <v>59</v>
      </c>
      <c r="R131" s="20" t="s">
        <v>58</v>
      </c>
      <c r="S131" s="20" t="s">
        <v>58</v>
      </c>
      <c r="T131" s="25"/>
      <c r="U131" s="25"/>
      <c r="V131" s="20" t="s">
        <v>61</v>
      </c>
      <c r="W131" s="20" t="s">
        <v>58</v>
      </c>
      <c r="X131" s="20" t="s">
        <v>58</v>
      </c>
      <c r="Y131" s="20" t="s">
        <v>58</v>
      </c>
      <c r="Z131" s="20" t="s">
        <v>58</v>
      </c>
      <c r="AA131" s="20" t="s">
        <v>58</v>
      </c>
      <c r="AB131" s="20" t="s">
        <v>58</v>
      </c>
      <c r="AC131" s="20" t="s">
        <v>58</v>
      </c>
      <c r="AD131" s="20" t="s">
        <v>58</v>
      </c>
      <c r="AE131" s="20" t="s">
        <v>58</v>
      </c>
      <c r="AF131" s="20" t="s">
        <v>61</v>
      </c>
      <c r="AG131" s="20" t="s">
        <v>61</v>
      </c>
      <c r="AH131" s="20" t="s">
        <v>58</v>
      </c>
      <c r="AI131" s="19">
        <v>50.0</v>
      </c>
      <c r="AJ131" s="19">
        <v>1500.0</v>
      </c>
      <c r="AK131" s="19">
        <v>50.0</v>
      </c>
      <c r="AL131" s="19">
        <v>0.0</v>
      </c>
      <c r="AM131" s="25"/>
      <c r="AN131" s="19">
        <v>2999.0</v>
      </c>
      <c r="AO131" s="19">
        <v>2999.0</v>
      </c>
      <c r="AP131" s="24" t="s">
        <v>757</v>
      </c>
      <c r="AQ131" s="19"/>
    </row>
    <row r="132">
      <c r="A132" s="19">
        <v>127.0</v>
      </c>
      <c r="B132" s="20" t="s">
        <v>151</v>
      </c>
      <c r="C132" s="20" t="s">
        <v>152</v>
      </c>
      <c r="D132" s="20" t="s">
        <v>153</v>
      </c>
      <c r="E132" s="20" t="s">
        <v>49</v>
      </c>
      <c r="F132" s="23" t="s">
        <v>69</v>
      </c>
      <c r="G132" s="57">
        <v>9.19818407469E11</v>
      </c>
      <c r="H132" s="20" t="s">
        <v>123</v>
      </c>
      <c r="I132" s="20" t="s">
        <v>124</v>
      </c>
      <c r="J132" s="20" t="s">
        <v>74</v>
      </c>
      <c r="K132" s="20" t="s">
        <v>55</v>
      </c>
      <c r="L132" s="20" t="s">
        <v>56</v>
      </c>
      <c r="M132" s="20" t="s">
        <v>57</v>
      </c>
      <c r="N132" s="20" t="s">
        <v>58</v>
      </c>
      <c r="O132" s="19">
        <v>500.0</v>
      </c>
      <c r="P132" s="19">
        <v>700.0</v>
      </c>
      <c r="Q132" s="20" t="s">
        <v>59</v>
      </c>
      <c r="R132" s="20" t="s">
        <v>58</v>
      </c>
      <c r="S132" s="20" t="s">
        <v>58</v>
      </c>
      <c r="T132" s="20" t="s">
        <v>275</v>
      </c>
      <c r="U132" s="25"/>
      <c r="V132" s="20" t="s">
        <v>61</v>
      </c>
      <c r="W132" s="20" t="s">
        <v>58</v>
      </c>
      <c r="X132" s="20" t="s">
        <v>58</v>
      </c>
      <c r="Y132" s="20" t="s">
        <v>58</v>
      </c>
      <c r="Z132" s="20" t="s">
        <v>58</v>
      </c>
      <c r="AA132" s="20" t="s">
        <v>58</v>
      </c>
      <c r="AB132" s="20" t="s">
        <v>58</v>
      </c>
      <c r="AC132" s="20" t="s">
        <v>58</v>
      </c>
      <c r="AD132" s="20" t="s">
        <v>58</v>
      </c>
      <c r="AE132" s="20" t="s">
        <v>58</v>
      </c>
      <c r="AF132" s="20" t="s">
        <v>61</v>
      </c>
      <c r="AG132" s="20" t="s">
        <v>61</v>
      </c>
      <c r="AH132" s="20" t="s">
        <v>58</v>
      </c>
      <c r="AI132" s="19">
        <v>50.0</v>
      </c>
      <c r="AJ132" s="19">
        <v>5000.0</v>
      </c>
      <c r="AK132" s="19">
        <v>50.0</v>
      </c>
      <c r="AL132" s="19">
        <v>0.0</v>
      </c>
      <c r="AM132" s="20" t="s">
        <v>179</v>
      </c>
      <c r="AN132" s="19">
        <v>500.0</v>
      </c>
      <c r="AO132" s="19">
        <v>700.0</v>
      </c>
      <c r="AP132" s="24" t="s">
        <v>757</v>
      </c>
      <c r="AQ132" s="19"/>
    </row>
    <row r="133">
      <c r="A133" s="19">
        <v>128.0</v>
      </c>
      <c r="B133" s="20" t="s">
        <v>295</v>
      </c>
      <c r="C133" s="20" t="s">
        <v>296</v>
      </c>
      <c r="D133" s="20" t="s">
        <v>297</v>
      </c>
      <c r="E133" s="20" t="s">
        <v>49</v>
      </c>
      <c r="F133" s="23" t="s">
        <v>69</v>
      </c>
      <c r="G133" s="55">
        <f>+919810021504</f>
        <v>919810021504</v>
      </c>
      <c r="H133" s="20" t="s">
        <v>302</v>
      </c>
      <c r="I133" s="20" t="s">
        <v>303</v>
      </c>
      <c r="J133" s="20" t="s">
        <v>74</v>
      </c>
      <c r="K133" s="20" t="s">
        <v>55</v>
      </c>
      <c r="L133" s="20" t="s">
        <v>56</v>
      </c>
      <c r="M133" s="20" t="s">
        <v>57</v>
      </c>
      <c r="N133" s="20" t="s">
        <v>58</v>
      </c>
      <c r="O133" s="19">
        <v>1000.0</v>
      </c>
      <c r="P133" s="19">
        <v>2000.0</v>
      </c>
      <c r="Q133" s="20" t="s">
        <v>59</v>
      </c>
      <c r="R133" s="20" t="s">
        <v>58</v>
      </c>
      <c r="S133" s="20" t="s">
        <v>58</v>
      </c>
      <c r="T133" s="20" t="s">
        <v>909</v>
      </c>
      <c r="U133" s="25"/>
      <c r="V133" s="20" t="s">
        <v>61</v>
      </c>
      <c r="W133" s="20" t="s">
        <v>58</v>
      </c>
      <c r="X133" s="20" t="s">
        <v>58</v>
      </c>
      <c r="Y133" s="20" t="s">
        <v>58</v>
      </c>
      <c r="Z133" s="20" t="s">
        <v>58</v>
      </c>
      <c r="AA133" s="20" t="s">
        <v>58</v>
      </c>
      <c r="AB133" s="20" t="s">
        <v>58</v>
      </c>
      <c r="AC133" s="20" t="s">
        <v>58</v>
      </c>
      <c r="AD133" s="20" t="s">
        <v>58</v>
      </c>
      <c r="AE133" s="20" t="s">
        <v>58</v>
      </c>
      <c r="AF133" s="20" t="s">
        <v>61</v>
      </c>
      <c r="AG133" s="20" t="s">
        <v>61</v>
      </c>
      <c r="AH133" s="20" t="s">
        <v>58</v>
      </c>
      <c r="AI133" s="19">
        <v>50.0</v>
      </c>
      <c r="AJ133" s="19">
        <v>3000.0</v>
      </c>
      <c r="AK133" s="19">
        <v>50.0</v>
      </c>
      <c r="AL133" s="19">
        <v>0.0</v>
      </c>
      <c r="AM133" s="25"/>
      <c r="AN133" s="19">
        <v>1000.0</v>
      </c>
      <c r="AO133" s="19">
        <v>2000.0</v>
      </c>
      <c r="AP133" s="24" t="s">
        <v>757</v>
      </c>
      <c r="AQ133" s="19"/>
    </row>
    <row r="134">
      <c r="A134" s="19">
        <v>129.0</v>
      </c>
      <c r="B134" s="20" t="s">
        <v>119</v>
      </c>
      <c r="C134" s="20" t="s">
        <v>120</v>
      </c>
      <c r="D134" s="20" t="s">
        <v>121</v>
      </c>
      <c r="E134" s="20" t="s">
        <v>49</v>
      </c>
      <c r="F134" s="23" t="s">
        <v>69</v>
      </c>
      <c r="G134" s="55">
        <f>+919667020024</f>
        <v>919667020024</v>
      </c>
      <c r="H134" s="20" t="s">
        <v>123</v>
      </c>
      <c r="I134" s="20" t="s">
        <v>124</v>
      </c>
      <c r="J134" s="20" t="s">
        <v>74</v>
      </c>
      <c r="K134" s="20" t="s">
        <v>55</v>
      </c>
      <c r="L134" s="20" t="s">
        <v>56</v>
      </c>
      <c r="M134" s="20" t="s">
        <v>57</v>
      </c>
      <c r="N134" s="20" t="s">
        <v>58</v>
      </c>
      <c r="O134" s="19">
        <v>1100.0</v>
      </c>
      <c r="P134" s="19">
        <v>1300.0</v>
      </c>
      <c r="Q134" s="20" t="s">
        <v>59</v>
      </c>
      <c r="R134" s="20" t="s">
        <v>58</v>
      </c>
      <c r="S134" s="20" t="s">
        <v>58</v>
      </c>
      <c r="T134" s="20" t="s">
        <v>127</v>
      </c>
      <c r="U134" s="25"/>
      <c r="V134" s="20" t="s">
        <v>61</v>
      </c>
      <c r="W134" s="20" t="s">
        <v>58</v>
      </c>
      <c r="X134" s="20" t="s">
        <v>58</v>
      </c>
      <c r="Y134" s="20" t="s">
        <v>58</v>
      </c>
      <c r="Z134" s="20" t="s">
        <v>58</v>
      </c>
      <c r="AA134" s="20" t="s">
        <v>58</v>
      </c>
      <c r="AB134" s="20" t="s">
        <v>58</v>
      </c>
      <c r="AC134" s="20" t="s">
        <v>58</v>
      </c>
      <c r="AD134" s="20" t="s">
        <v>58</v>
      </c>
      <c r="AE134" s="20" t="s">
        <v>58</v>
      </c>
      <c r="AF134" s="20" t="s">
        <v>61</v>
      </c>
      <c r="AG134" s="20" t="s">
        <v>61</v>
      </c>
      <c r="AH134" s="20" t="s">
        <v>58</v>
      </c>
      <c r="AI134" s="19">
        <v>150.0</v>
      </c>
      <c r="AJ134" s="19">
        <v>5000.0</v>
      </c>
      <c r="AK134" s="19">
        <v>150.0</v>
      </c>
      <c r="AL134" s="19">
        <v>0.0</v>
      </c>
      <c r="AM134" s="25"/>
      <c r="AN134" s="19">
        <v>1100.0</v>
      </c>
      <c r="AO134" s="19">
        <v>1300.0</v>
      </c>
      <c r="AP134" s="24" t="s">
        <v>757</v>
      </c>
      <c r="AQ134" s="19"/>
    </row>
    <row r="135">
      <c r="A135" s="19">
        <v>130.0</v>
      </c>
      <c r="B135" s="20" t="s">
        <v>456</v>
      </c>
      <c r="C135" s="20" t="s">
        <v>457</v>
      </c>
      <c r="D135" s="20" t="s">
        <v>458</v>
      </c>
      <c r="E135" s="20" t="s">
        <v>49</v>
      </c>
      <c r="F135" s="23" t="s">
        <v>69</v>
      </c>
      <c r="G135" s="57">
        <v>9.18448571725E11</v>
      </c>
      <c r="H135" s="20" t="s">
        <v>123</v>
      </c>
      <c r="I135" s="20" t="s">
        <v>124</v>
      </c>
      <c r="J135" s="20" t="s">
        <v>74</v>
      </c>
      <c r="K135" s="20" t="s">
        <v>55</v>
      </c>
      <c r="L135" s="20" t="s">
        <v>56</v>
      </c>
      <c r="M135" s="20" t="s">
        <v>57</v>
      </c>
      <c r="N135" s="20" t="s">
        <v>58</v>
      </c>
      <c r="O135" s="19">
        <v>1200.0</v>
      </c>
      <c r="P135" s="19">
        <v>1200.0</v>
      </c>
      <c r="Q135" s="20" t="s">
        <v>59</v>
      </c>
      <c r="R135" s="20" t="s">
        <v>58</v>
      </c>
      <c r="S135" s="20" t="s">
        <v>61</v>
      </c>
      <c r="T135" s="20" t="s">
        <v>1052</v>
      </c>
      <c r="U135" s="20" t="s">
        <v>1453</v>
      </c>
      <c r="V135" s="20" t="s">
        <v>61</v>
      </c>
      <c r="W135" s="20" t="s">
        <v>58</v>
      </c>
      <c r="X135" s="20" t="s">
        <v>58</v>
      </c>
      <c r="Y135" s="20" t="s">
        <v>58</v>
      </c>
      <c r="Z135" s="20" t="s">
        <v>58</v>
      </c>
      <c r="AA135" s="20" t="s">
        <v>58</v>
      </c>
      <c r="AB135" s="20" t="s">
        <v>58</v>
      </c>
      <c r="AC135" s="20" t="s">
        <v>58</v>
      </c>
      <c r="AD135" s="20" t="s">
        <v>58</v>
      </c>
      <c r="AE135" s="20" t="s">
        <v>58</v>
      </c>
      <c r="AF135" s="20" t="s">
        <v>61</v>
      </c>
      <c r="AG135" s="20" t="s">
        <v>61</v>
      </c>
      <c r="AH135" s="20" t="s">
        <v>58</v>
      </c>
      <c r="AI135" s="19">
        <v>50.0</v>
      </c>
      <c r="AJ135" s="19">
        <v>1000.0</v>
      </c>
      <c r="AK135" s="19">
        <v>50.0</v>
      </c>
      <c r="AL135" s="19">
        <v>0.0</v>
      </c>
      <c r="AM135" s="25"/>
      <c r="AN135" s="19">
        <v>1200.0</v>
      </c>
      <c r="AO135" s="19">
        <v>1200.0</v>
      </c>
      <c r="AP135" s="24" t="s">
        <v>757</v>
      </c>
      <c r="AQ135" s="19"/>
    </row>
    <row r="136">
      <c r="A136" s="19">
        <v>131.0</v>
      </c>
      <c r="B136" s="20" t="s">
        <v>1454</v>
      </c>
      <c r="C136" s="20" t="s">
        <v>1455</v>
      </c>
      <c r="D136" s="53" t="s">
        <v>1456</v>
      </c>
      <c r="E136" s="20" t="s">
        <v>49</v>
      </c>
      <c r="F136" s="23" t="s">
        <v>69</v>
      </c>
      <c r="G136" s="55">
        <f>+919870436004</f>
        <v>919870436004</v>
      </c>
      <c r="H136" s="20" t="s">
        <v>1409</v>
      </c>
      <c r="I136" s="20" t="s">
        <v>1411</v>
      </c>
      <c r="J136" s="20" t="s">
        <v>1411</v>
      </c>
      <c r="K136" s="20" t="s">
        <v>55</v>
      </c>
      <c r="L136" s="20" t="s">
        <v>56</v>
      </c>
      <c r="M136" s="20" t="s">
        <v>57</v>
      </c>
      <c r="N136" s="20" t="s">
        <v>58</v>
      </c>
      <c r="O136" s="19">
        <v>700.0</v>
      </c>
      <c r="P136" s="19">
        <v>1200.0</v>
      </c>
      <c r="Q136" s="20" t="s">
        <v>59</v>
      </c>
      <c r="R136" s="20" t="s">
        <v>58</v>
      </c>
      <c r="S136" s="20" t="s">
        <v>58</v>
      </c>
      <c r="T136" s="25"/>
      <c r="U136" s="25"/>
      <c r="V136" s="20" t="s">
        <v>61</v>
      </c>
      <c r="W136" s="20" t="s">
        <v>58</v>
      </c>
      <c r="X136" s="20" t="s">
        <v>58</v>
      </c>
      <c r="Y136" s="20" t="s">
        <v>58</v>
      </c>
      <c r="Z136" s="20" t="s">
        <v>58</v>
      </c>
      <c r="AA136" s="20" t="s">
        <v>58</v>
      </c>
      <c r="AB136" s="20" t="s">
        <v>58</v>
      </c>
      <c r="AC136" s="20" t="s">
        <v>58</v>
      </c>
      <c r="AD136" s="20" t="s">
        <v>58</v>
      </c>
      <c r="AE136" s="20" t="s">
        <v>58</v>
      </c>
      <c r="AF136" s="20" t="s">
        <v>61</v>
      </c>
      <c r="AG136" s="20" t="s">
        <v>61</v>
      </c>
      <c r="AH136" s="20" t="s">
        <v>58</v>
      </c>
      <c r="AI136" s="19">
        <v>25.0</v>
      </c>
      <c r="AJ136" s="19">
        <v>8000.0</v>
      </c>
      <c r="AK136" s="19">
        <v>25.0</v>
      </c>
      <c r="AL136" s="19">
        <v>0.0</v>
      </c>
      <c r="AM136" s="25"/>
      <c r="AN136" s="19">
        <v>700.0</v>
      </c>
      <c r="AO136" s="19">
        <v>1200.0</v>
      </c>
      <c r="AP136" s="26" t="s">
        <v>757</v>
      </c>
      <c r="AQ136" s="19"/>
    </row>
    <row r="137">
      <c r="A137" s="19">
        <v>132.0</v>
      </c>
      <c r="B137" s="20" t="s">
        <v>1461</v>
      </c>
      <c r="C137" s="20" t="s">
        <v>1462</v>
      </c>
      <c r="D137" s="53" t="s">
        <v>1463</v>
      </c>
      <c r="E137" s="20" t="s">
        <v>49</v>
      </c>
      <c r="F137" s="23" t="s">
        <v>69</v>
      </c>
      <c r="G137" s="55">
        <f>+919582024014</f>
        <v>919582024014</v>
      </c>
      <c r="H137" s="20" t="s">
        <v>1466</v>
      </c>
      <c r="I137" s="20" t="s">
        <v>390</v>
      </c>
      <c r="J137" s="20" t="s">
        <v>390</v>
      </c>
      <c r="K137" s="20" t="s">
        <v>55</v>
      </c>
      <c r="L137" s="20" t="s">
        <v>56</v>
      </c>
      <c r="M137" s="20" t="s">
        <v>57</v>
      </c>
      <c r="N137" s="20" t="s">
        <v>58</v>
      </c>
      <c r="O137" s="19">
        <v>300.0</v>
      </c>
      <c r="P137" s="25"/>
      <c r="Q137" s="20" t="s">
        <v>59</v>
      </c>
      <c r="R137" s="20" t="s">
        <v>58</v>
      </c>
      <c r="S137" s="20" t="s">
        <v>58</v>
      </c>
      <c r="T137" s="25"/>
      <c r="U137" s="25"/>
      <c r="V137" s="20" t="s">
        <v>61</v>
      </c>
      <c r="W137" s="20" t="s">
        <v>58</v>
      </c>
      <c r="X137" s="20" t="s">
        <v>58</v>
      </c>
      <c r="Y137" s="20" t="s">
        <v>58</v>
      </c>
      <c r="Z137" s="20" t="s">
        <v>58</v>
      </c>
      <c r="AA137" s="20" t="s">
        <v>58</v>
      </c>
      <c r="AB137" s="20" t="s">
        <v>58</v>
      </c>
      <c r="AC137" s="20" t="s">
        <v>58</v>
      </c>
      <c r="AD137" s="20" t="s">
        <v>58</v>
      </c>
      <c r="AE137" s="20" t="s">
        <v>58</v>
      </c>
      <c r="AF137" s="20" t="s">
        <v>61</v>
      </c>
      <c r="AG137" s="20" t="s">
        <v>61</v>
      </c>
      <c r="AH137" s="20" t="s">
        <v>58</v>
      </c>
      <c r="AI137" s="19">
        <v>150.0</v>
      </c>
      <c r="AJ137" s="19">
        <v>3000.0</v>
      </c>
      <c r="AK137" s="19">
        <v>150.0</v>
      </c>
      <c r="AL137" s="19">
        <v>0.0</v>
      </c>
      <c r="AM137" s="25"/>
      <c r="AN137" s="19">
        <v>300.0</v>
      </c>
      <c r="AO137" s="19">
        <v>0.0</v>
      </c>
      <c r="AP137" s="26" t="s">
        <v>757</v>
      </c>
      <c r="AQ137" s="19"/>
    </row>
    <row r="138">
      <c r="A138" s="19">
        <v>133.0</v>
      </c>
      <c r="B138" s="20" t="s">
        <v>1471</v>
      </c>
      <c r="C138" s="20" t="s">
        <v>1472</v>
      </c>
      <c r="D138" s="53" t="s">
        <v>1474</v>
      </c>
      <c r="E138" s="20" t="s">
        <v>49</v>
      </c>
      <c r="F138" s="23" t="s">
        <v>69</v>
      </c>
      <c r="G138" s="55">
        <f>+919211764786</f>
        <v>919211764786</v>
      </c>
      <c r="H138" s="20" t="s">
        <v>1477</v>
      </c>
      <c r="I138" s="20" t="s">
        <v>931</v>
      </c>
      <c r="J138" s="20" t="s">
        <v>931</v>
      </c>
      <c r="K138" s="20" t="s">
        <v>55</v>
      </c>
      <c r="L138" s="20" t="s">
        <v>56</v>
      </c>
      <c r="M138" s="20" t="s">
        <v>57</v>
      </c>
      <c r="N138" s="20" t="s">
        <v>58</v>
      </c>
      <c r="O138" s="19">
        <v>350.0</v>
      </c>
      <c r="P138" s="19">
        <v>500.0</v>
      </c>
      <c r="Q138" s="20" t="s">
        <v>59</v>
      </c>
      <c r="R138" s="20" t="s">
        <v>58</v>
      </c>
      <c r="S138" s="20" t="s">
        <v>58</v>
      </c>
      <c r="T138" s="25"/>
      <c r="U138" s="25"/>
      <c r="V138" s="20" t="s">
        <v>61</v>
      </c>
      <c r="W138" s="20" t="s">
        <v>58</v>
      </c>
      <c r="X138" s="20" t="s">
        <v>58</v>
      </c>
      <c r="Y138" s="20" t="s">
        <v>58</v>
      </c>
      <c r="Z138" s="20" t="s">
        <v>58</v>
      </c>
      <c r="AA138" s="20" t="s">
        <v>58</v>
      </c>
      <c r="AB138" s="20" t="s">
        <v>58</v>
      </c>
      <c r="AC138" s="20" t="s">
        <v>58</v>
      </c>
      <c r="AD138" s="20" t="s">
        <v>58</v>
      </c>
      <c r="AE138" s="20" t="s">
        <v>58</v>
      </c>
      <c r="AF138" s="20" t="s">
        <v>61</v>
      </c>
      <c r="AG138" s="20" t="s">
        <v>61</v>
      </c>
      <c r="AH138" s="20" t="s">
        <v>58</v>
      </c>
      <c r="AI138" s="19">
        <v>50.0</v>
      </c>
      <c r="AJ138" s="19">
        <v>600.0</v>
      </c>
      <c r="AK138" s="19">
        <v>50.0</v>
      </c>
      <c r="AL138" s="19">
        <v>0.0</v>
      </c>
      <c r="AM138" s="25"/>
      <c r="AN138" s="19">
        <v>350.0</v>
      </c>
      <c r="AO138" s="19">
        <v>500.0</v>
      </c>
      <c r="AP138" s="26" t="s">
        <v>757</v>
      </c>
      <c r="AQ138" s="19"/>
    </row>
    <row r="139">
      <c r="A139" s="19">
        <v>134.0</v>
      </c>
      <c r="B139" s="20" t="s">
        <v>1478</v>
      </c>
      <c r="C139" s="20" t="s">
        <v>1479</v>
      </c>
      <c r="D139" s="53" t="s">
        <v>1480</v>
      </c>
      <c r="E139" s="20" t="s">
        <v>49</v>
      </c>
      <c r="F139" s="23" t="s">
        <v>69</v>
      </c>
      <c r="G139" s="55">
        <f>+918800858426</f>
        <v>918800858426</v>
      </c>
      <c r="H139" s="20" t="s">
        <v>1409</v>
      </c>
      <c r="I139" s="20" t="s">
        <v>1411</v>
      </c>
      <c r="J139" s="20" t="s">
        <v>1411</v>
      </c>
      <c r="K139" s="20" t="s">
        <v>55</v>
      </c>
      <c r="L139" s="20" t="s">
        <v>56</v>
      </c>
      <c r="M139" s="20" t="s">
        <v>57</v>
      </c>
      <c r="N139" s="20" t="s">
        <v>58</v>
      </c>
      <c r="O139" s="19">
        <v>400.0</v>
      </c>
      <c r="P139" s="19">
        <v>700.0</v>
      </c>
      <c r="Q139" s="20" t="s">
        <v>59</v>
      </c>
      <c r="R139" s="20" t="s">
        <v>58</v>
      </c>
      <c r="S139" s="20" t="s">
        <v>58</v>
      </c>
      <c r="T139" s="25"/>
      <c r="U139" s="25"/>
      <c r="V139" s="20" t="s">
        <v>61</v>
      </c>
      <c r="W139" s="20" t="s">
        <v>58</v>
      </c>
      <c r="X139" s="20" t="s">
        <v>58</v>
      </c>
      <c r="Y139" s="20" t="s">
        <v>58</v>
      </c>
      <c r="Z139" s="20" t="s">
        <v>58</v>
      </c>
      <c r="AA139" s="20" t="s">
        <v>58</v>
      </c>
      <c r="AB139" s="20" t="s">
        <v>58</v>
      </c>
      <c r="AC139" s="20" t="s">
        <v>58</v>
      </c>
      <c r="AD139" s="20" t="s">
        <v>58</v>
      </c>
      <c r="AE139" s="20" t="s">
        <v>58</v>
      </c>
      <c r="AF139" s="20" t="s">
        <v>61</v>
      </c>
      <c r="AG139" s="20" t="s">
        <v>61</v>
      </c>
      <c r="AH139" s="20" t="s">
        <v>58</v>
      </c>
      <c r="AI139" s="19">
        <v>20.0</v>
      </c>
      <c r="AJ139" s="19">
        <v>20000.0</v>
      </c>
      <c r="AK139" s="19">
        <v>20.0</v>
      </c>
      <c r="AL139" s="19">
        <v>0.0</v>
      </c>
      <c r="AM139" s="25"/>
      <c r="AN139" s="19">
        <v>400.0</v>
      </c>
      <c r="AO139" s="19">
        <v>700.0</v>
      </c>
      <c r="AP139" s="26" t="s">
        <v>757</v>
      </c>
      <c r="AQ139" s="19"/>
    </row>
    <row r="140">
      <c r="A140" s="19">
        <v>135.0</v>
      </c>
      <c r="B140" s="20" t="s">
        <v>1486</v>
      </c>
      <c r="C140" s="20" t="s">
        <v>1487</v>
      </c>
      <c r="D140" s="53" t="s">
        <v>1488</v>
      </c>
      <c r="E140" s="20" t="s">
        <v>49</v>
      </c>
      <c r="F140" s="23" t="s">
        <v>69</v>
      </c>
      <c r="G140" s="55">
        <f>+919871455456</f>
        <v>919871455456</v>
      </c>
      <c r="H140" s="20" t="s">
        <v>1409</v>
      </c>
      <c r="I140" s="20" t="s">
        <v>1411</v>
      </c>
      <c r="J140" s="20" t="s">
        <v>1411</v>
      </c>
      <c r="K140" s="20" t="s">
        <v>55</v>
      </c>
      <c r="L140" s="20" t="s">
        <v>56</v>
      </c>
      <c r="M140" s="20" t="s">
        <v>57</v>
      </c>
      <c r="N140" s="20" t="s">
        <v>58</v>
      </c>
      <c r="O140" s="19">
        <v>850.0</v>
      </c>
      <c r="P140" s="19">
        <v>1300.0</v>
      </c>
      <c r="Q140" s="20" t="s">
        <v>59</v>
      </c>
      <c r="R140" s="20" t="s">
        <v>58</v>
      </c>
      <c r="S140" s="20" t="s">
        <v>58</v>
      </c>
      <c r="T140" s="25"/>
      <c r="U140" s="25"/>
      <c r="V140" s="20" t="s">
        <v>61</v>
      </c>
      <c r="W140" s="20" t="s">
        <v>58</v>
      </c>
      <c r="X140" s="20" t="s">
        <v>58</v>
      </c>
      <c r="Y140" s="20" t="s">
        <v>58</v>
      </c>
      <c r="Z140" s="20" t="s">
        <v>58</v>
      </c>
      <c r="AA140" s="20" t="s">
        <v>58</v>
      </c>
      <c r="AB140" s="20" t="s">
        <v>58</v>
      </c>
      <c r="AC140" s="20" t="s">
        <v>58</v>
      </c>
      <c r="AD140" s="20" t="s">
        <v>58</v>
      </c>
      <c r="AE140" s="20" t="s">
        <v>58</v>
      </c>
      <c r="AF140" s="20" t="s">
        <v>61</v>
      </c>
      <c r="AG140" s="20" t="s">
        <v>61</v>
      </c>
      <c r="AH140" s="20" t="s">
        <v>58</v>
      </c>
      <c r="AI140" s="19">
        <v>500.0</v>
      </c>
      <c r="AJ140" s="19">
        <v>2000.0</v>
      </c>
      <c r="AK140" s="19">
        <v>500.0</v>
      </c>
      <c r="AL140" s="19">
        <v>0.0</v>
      </c>
      <c r="AM140" s="25"/>
      <c r="AN140" s="19">
        <v>850.0</v>
      </c>
      <c r="AO140" s="19">
        <v>1300.0</v>
      </c>
      <c r="AP140" s="26" t="s">
        <v>757</v>
      </c>
      <c r="AQ140" s="19"/>
    </row>
    <row r="141">
      <c r="A141" s="19">
        <v>136.0</v>
      </c>
      <c r="B141" s="20" t="s">
        <v>1165</v>
      </c>
      <c r="C141" s="20" t="s">
        <v>1166</v>
      </c>
      <c r="D141" s="53" t="s">
        <v>1493</v>
      </c>
      <c r="E141" s="20" t="s">
        <v>49</v>
      </c>
      <c r="F141" s="74" t="s">
        <v>69</v>
      </c>
      <c r="G141" s="55">
        <f>+919555959551</f>
        <v>919555959551</v>
      </c>
      <c r="H141" s="20" t="s">
        <v>389</v>
      </c>
      <c r="I141" s="20" t="s">
        <v>390</v>
      </c>
      <c r="J141" s="20" t="s">
        <v>390</v>
      </c>
      <c r="K141" s="20" t="s">
        <v>55</v>
      </c>
      <c r="L141" s="20" t="s">
        <v>56</v>
      </c>
      <c r="M141" s="20" t="s">
        <v>57</v>
      </c>
      <c r="N141" s="20" t="s">
        <v>58</v>
      </c>
      <c r="O141" s="19">
        <v>800.0</v>
      </c>
      <c r="P141" s="19">
        <v>1000.0</v>
      </c>
      <c r="Q141" s="20" t="s">
        <v>59</v>
      </c>
      <c r="R141" s="20" t="s">
        <v>58</v>
      </c>
      <c r="S141" s="20" t="s">
        <v>58</v>
      </c>
      <c r="T141" s="25"/>
      <c r="U141" s="25"/>
      <c r="V141" s="20" t="s">
        <v>61</v>
      </c>
      <c r="W141" s="20" t="s">
        <v>58</v>
      </c>
      <c r="X141" s="20" t="s">
        <v>58</v>
      </c>
      <c r="Y141" s="20" t="s">
        <v>58</v>
      </c>
      <c r="Z141" s="20" t="s">
        <v>58</v>
      </c>
      <c r="AA141" s="20" t="s">
        <v>58</v>
      </c>
      <c r="AB141" s="20" t="s">
        <v>58</v>
      </c>
      <c r="AC141" s="20" t="s">
        <v>58</v>
      </c>
      <c r="AD141" s="20" t="s">
        <v>58</v>
      </c>
      <c r="AE141" s="20" t="s">
        <v>58</v>
      </c>
      <c r="AF141" s="20" t="s">
        <v>61</v>
      </c>
      <c r="AG141" s="20" t="s">
        <v>61</v>
      </c>
      <c r="AH141" s="20" t="s">
        <v>58</v>
      </c>
      <c r="AI141" s="19">
        <v>200.0</v>
      </c>
      <c r="AJ141" s="19">
        <v>2000.0</v>
      </c>
      <c r="AK141" s="19">
        <v>200.0</v>
      </c>
      <c r="AL141" s="19">
        <v>0.0</v>
      </c>
      <c r="AM141" s="25"/>
      <c r="AN141" s="19">
        <v>800.0</v>
      </c>
      <c r="AO141" s="19">
        <v>1000.0</v>
      </c>
      <c r="AP141" s="26" t="s">
        <v>757</v>
      </c>
      <c r="AQ141" s="19"/>
    </row>
    <row r="142">
      <c r="A142" s="19">
        <v>137.0</v>
      </c>
      <c r="B142" s="20" t="s">
        <v>1495</v>
      </c>
      <c r="C142" s="20" t="s">
        <v>1496</v>
      </c>
      <c r="D142" s="20" t="s">
        <v>1497</v>
      </c>
      <c r="E142" s="20" t="s">
        <v>49</v>
      </c>
      <c r="F142" s="74" t="s">
        <v>69</v>
      </c>
      <c r="G142" s="55">
        <f>+919999689758</f>
        <v>919999689758</v>
      </c>
      <c r="H142" s="20" t="s">
        <v>389</v>
      </c>
      <c r="I142" s="20" t="s">
        <v>390</v>
      </c>
      <c r="J142" s="20" t="s">
        <v>390</v>
      </c>
      <c r="K142" s="20" t="s">
        <v>55</v>
      </c>
      <c r="L142" s="20" t="s">
        <v>56</v>
      </c>
      <c r="M142" s="20" t="s">
        <v>57</v>
      </c>
      <c r="N142" s="20" t="s">
        <v>58</v>
      </c>
      <c r="O142" s="19">
        <v>1050.0</v>
      </c>
      <c r="P142" s="19">
        <v>1350.0</v>
      </c>
      <c r="Q142" s="20" t="s">
        <v>59</v>
      </c>
      <c r="R142" s="20" t="s">
        <v>58</v>
      </c>
      <c r="S142" s="20" t="s">
        <v>58</v>
      </c>
      <c r="T142" s="20" t="s">
        <v>1501</v>
      </c>
      <c r="U142" s="25"/>
      <c r="V142" s="20" t="s">
        <v>61</v>
      </c>
      <c r="W142" s="20" t="s">
        <v>58</v>
      </c>
      <c r="X142" s="20" t="s">
        <v>58</v>
      </c>
      <c r="Y142" s="20" t="s">
        <v>58</v>
      </c>
      <c r="Z142" s="20" t="s">
        <v>58</v>
      </c>
      <c r="AA142" s="20" t="s">
        <v>58</v>
      </c>
      <c r="AB142" s="20" t="s">
        <v>58</v>
      </c>
      <c r="AC142" s="20" t="s">
        <v>58</v>
      </c>
      <c r="AD142" s="20" t="s">
        <v>58</v>
      </c>
      <c r="AE142" s="20" t="s">
        <v>58</v>
      </c>
      <c r="AF142" s="20" t="s">
        <v>61</v>
      </c>
      <c r="AG142" s="20" t="s">
        <v>61</v>
      </c>
      <c r="AH142" s="20" t="s">
        <v>58</v>
      </c>
      <c r="AI142" s="19">
        <v>100.0</v>
      </c>
      <c r="AJ142" s="19">
        <v>10000.0</v>
      </c>
      <c r="AK142" s="19">
        <v>100.0</v>
      </c>
      <c r="AL142" s="19">
        <v>0.0</v>
      </c>
      <c r="AM142" s="25"/>
      <c r="AN142" s="19">
        <v>1050.0</v>
      </c>
      <c r="AO142" s="19">
        <v>1350.0</v>
      </c>
      <c r="AP142" s="24" t="s">
        <v>757</v>
      </c>
      <c r="AQ142" s="19"/>
    </row>
    <row r="143">
      <c r="A143" s="19">
        <v>138.0</v>
      </c>
      <c r="B143" s="20" t="s">
        <v>280</v>
      </c>
      <c r="C143" s="20" t="s">
        <v>282</v>
      </c>
      <c r="D143" s="20" t="s">
        <v>283</v>
      </c>
      <c r="E143" s="20" t="s">
        <v>49</v>
      </c>
      <c r="F143" s="23" t="s">
        <v>69</v>
      </c>
      <c r="G143" s="58">
        <f>+919870260920</f>
        <v>919870260920</v>
      </c>
      <c r="H143" s="20" t="s">
        <v>285</v>
      </c>
      <c r="I143" s="20" t="s">
        <v>286</v>
      </c>
      <c r="J143" s="20" t="s">
        <v>74</v>
      </c>
      <c r="K143" s="20" t="s">
        <v>55</v>
      </c>
      <c r="L143" s="20" t="s">
        <v>56</v>
      </c>
      <c r="M143" s="20" t="s">
        <v>57</v>
      </c>
      <c r="N143" s="20" t="s">
        <v>58</v>
      </c>
      <c r="O143" s="19">
        <v>1500.0</v>
      </c>
      <c r="P143" s="19">
        <v>1800.0</v>
      </c>
      <c r="Q143" s="20" t="s">
        <v>59</v>
      </c>
      <c r="R143" s="20" t="s">
        <v>58</v>
      </c>
      <c r="S143" s="20" t="s">
        <v>58</v>
      </c>
      <c r="T143" s="20" t="s">
        <v>290</v>
      </c>
      <c r="U143" s="20" t="s">
        <v>1505</v>
      </c>
      <c r="V143" s="20" t="s">
        <v>61</v>
      </c>
      <c r="W143" s="20" t="s">
        <v>58</v>
      </c>
      <c r="X143" s="20" t="s">
        <v>58</v>
      </c>
      <c r="Y143" s="20" t="s">
        <v>58</v>
      </c>
      <c r="Z143" s="20" t="s">
        <v>58</v>
      </c>
      <c r="AA143" s="20" t="s">
        <v>58</v>
      </c>
      <c r="AB143" s="20" t="s">
        <v>58</v>
      </c>
      <c r="AC143" s="20" t="s">
        <v>58</v>
      </c>
      <c r="AD143" s="20" t="s">
        <v>58</v>
      </c>
      <c r="AE143" s="20" t="s">
        <v>58</v>
      </c>
      <c r="AF143" s="20" t="s">
        <v>61</v>
      </c>
      <c r="AG143" s="20" t="s">
        <v>61</v>
      </c>
      <c r="AH143" s="20" t="s">
        <v>58</v>
      </c>
      <c r="AI143" s="19">
        <v>100.0</v>
      </c>
      <c r="AJ143" s="19">
        <v>5000.0</v>
      </c>
      <c r="AK143" s="19">
        <v>100.0</v>
      </c>
      <c r="AL143" s="19">
        <v>0.0</v>
      </c>
      <c r="AM143" s="20" t="s">
        <v>933</v>
      </c>
      <c r="AN143" s="19">
        <v>1500.0</v>
      </c>
      <c r="AO143" s="19">
        <v>1800.0</v>
      </c>
      <c r="AP143" s="24" t="s">
        <v>757</v>
      </c>
      <c r="AQ143" s="19"/>
    </row>
    <row r="144">
      <c r="A144" s="19">
        <v>139.0</v>
      </c>
      <c r="B144" s="20" t="s">
        <v>77</v>
      </c>
      <c r="C144" s="20" t="s">
        <v>78</v>
      </c>
      <c r="D144" s="20" t="s">
        <v>79</v>
      </c>
      <c r="E144" s="20" t="s">
        <v>49</v>
      </c>
      <c r="F144" s="23" t="s">
        <v>69</v>
      </c>
      <c r="G144" s="57">
        <v>9.19717008027E11</v>
      </c>
      <c r="H144" s="20" t="s">
        <v>75</v>
      </c>
      <c r="I144" s="20" t="s">
        <v>76</v>
      </c>
      <c r="J144" s="20" t="s">
        <v>76</v>
      </c>
      <c r="K144" s="20" t="s">
        <v>55</v>
      </c>
      <c r="L144" s="20" t="s">
        <v>56</v>
      </c>
      <c r="M144" s="20" t="s">
        <v>57</v>
      </c>
      <c r="N144" s="20" t="s">
        <v>58</v>
      </c>
      <c r="O144" s="19">
        <v>2000.0</v>
      </c>
      <c r="P144" s="19">
        <v>2200.0</v>
      </c>
      <c r="Q144" s="20" t="s">
        <v>59</v>
      </c>
      <c r="R144" s="20" t="s">
        <v>58</v>
      </c>
      <c r="S144" s="20" t="s">
        <v>58</v>
      </c>
      <c r="T144" s="20" t="s">
        <v>1509</v>
      </c>
      <c r="U144" s="20" t="s">
        <v>1510</v>
      </c>
      <c r="V144" s="20" t="s">
        <v>61</v>
      </c>
      <c r="W144" s="20" t="s">
        <v>58</v>
      </c>
      <c r="X144" s="20" t="s">
        <v>58</v>
      </c>
      <c r="Y144" s="20" t="s">
        <v>58</v>
      </c>
      <c r="Z144" s="20" t="s">
        <v>58</v>
      </c>
      <c r="AA144" s="20" t="s">
        <v>58</v>
      </c>
      <c r="AB144" s="20" t="s">
        <v>58</v>
      </c>
      <c r="AC144" s="20" t="s">
        <v>58</v>
      </c>
      <c r="AD144" s="20" t="s">
        <v>58</v>
      </c>
      <c r="AE144" s="20" t="s">
        <v>58</v>
      </c>
      <c r="AF144" s="20" t="s">
        <v>61</v>
      </c>
      <c r="AG144" s="20" t="s">
        <v>61</v>
      </c>
      <c r="AH144" s="20" t="s">
        <v>58</v>
      </c>
      <c r="AI144" s="19">
        <v>25.0</v>
      </c>
      <c r="AJ144" s="19">
        <v>1500.0</v>
      </c>
      <c r="AK144" s="19">
        <v>25.0</v>
      </c>
      <c r="AL144" s="19">
        <v>0.0</v>
      </c>
      <c r="AM144" s="25"/>
      <c r="AN144" s="19">
        <v>2000.0</v>
      </c>
      <c r="AO144" s="19">
        <v>2200.0</v>
      </c>
      <c r="AP144" s="24" t="s">
        <v>757</v>
      </c>
      <c r="AQ144" s="19"/>
    </row>
    <row r="145">
      <c r="A145" s="19">
        <v>140.0</v>
      </c>
      <c r="B145" s="20" t="s">
        <v>444</v>
      </c>
      <c r="C145" s="20" t="s">
        <v>445</v>
      </c>
      <c r="D145" s="20" t="s">
        <v>446</v>
      </c>
      <c r="E145" s="20" t="s">
        <v>49</v>
      </c>
      <c r="F145" s="23" t="s">
        <v>69</v>
      </c>
      <c r="G145" s="55">
        <f>+918826807808</f>
        <v>918826807808</v>
      </c>
      <c r="H145" s="20" t="s">
        <v>449</v>
      </c>
      <c r="I145" s="20" t="s">
        <v>450</v>
      </c>
      <c r="J145" s="20" t="s">
        <v>74</v>
      </c>
      <c r="K145" s="20" t="s">
        <v>55</v>
      </c>
      <c r="L145" s="20" t="s">
        <v>56</v>
      </c>
      <c r="M145" s="20" t="s">
        <v>57</v>
      </c>
      <c r="N145" s="20" t="s">
        <v>58</v>
      </c>
      <c r="O145" s="19">
        <v>1500.0</v>
      </c>
      <c r="P145" s="19">
        <v>2000.0</v>
      </c>
      <c r="Q145" s="20" t="s">
        <v>59</v>
      </c>
      <c r="R145" s="20" t="s">
        <v>58</v>
      </c>
      <c r="S145" s="20" t="s">
        <v>58</v>
      </c>
      <c r="T145" s="20" t="s">
        <v>275</v>
      </c>
      <c r="U145" s="25"/>
      <c r="V145" s="20" t="s">
        <v>61</v>
      </c>
      <c r="W145" s="20" t="s">
        <v>58</v>
      </c>
      <c r="X145" s="20" t="s">
        <v>58</v>
      </c>
      <c r="Y145" s="20" t="s">
        <v>58</v>
      </c>
      <c r="Z145" s="20" t="s">
        <v>58</v>
      </c>
      <c r="AA145" s="20" t="s">
        <v>58</v>
      </c>
      <c r="AB145" s="20" t="s">
        <v>58</v>
      </c>
      <c r="AC145" s="20" t="s">
        <v>58</v>
      </c>
      <c r="AD145" s="20" t="s">
        <v>58</v>
      </c>
      <c r="AE145" s="20" t="s">
        <v>58</v>
      </c>
      <c r="AF145" s="20" t="s">
        <v>61</v>
      </c>
      <c r="AG145" s="20" t="s">
        <v>61</v>
      </c>
      <c r="AH145" s="20" t="s">
        <v>58</v>
      </c>
      <c r="AI145" s="19">
        <v>50.0</v>
      </c>
      <c r="AJ145" s="19">
        <v>2000.0</v>
      </c>
      <c r="AK145" s="19">
        <v>50.0</v>
      </c>
      <c r="AL145" s="19">
        <v>0.0</v>
      </c>
      <c r="AM145" s="25"/>
      <c r="AN145" s="19">
        <v>1500.0</v>
      </c>
      <c r="AO145" s="19">
        <v>2000.0</v>
      </c>
      <c r="AP145" s="24" t="s">
        <v>757</v>
      </c>
      <c r="AQ145" s="19"/>
    </row>
    <row r="146">
      <c r="A146" s="19">
        <v>141.0</v>
      </c>
      <c r="B146" s="20" t="s">
        <v>108</v>
      </c>
      <c r="C146" s="20" t="s">
        <v>111</v>
      </c>
      <c r="D146" s="20" t="s">
        <v>112</v>
      </c>
      <c r="E146" s="20" t="s">
        <v>49</v>
      </c>
      <c r="F146" s="23" t="s">
        <v>69</v>
      </c>
      <c r="G146" s="55">
        <f>+917303757884</f>
        <v>917303757884</v>
      </c>
      <c r="H146" s="20" t="s">
        <v>118</v>
      </c>
      <c r="I146" s="20" t="s">
        <v>92</v>
      </c>
      <c r="J146" s="20" t="s">
        <v>92</v>
      </c>
      <c r="K146" s="20" t="s">
        <v>55</v>
      </c>
      <c r="L146" s="20" t="s">
        <v>56</v>
      </c>
      <c r="M146" s="20" t="s">
        <v>57</v>
      </c>
      <c r="N146" s="20" t="s">
        <v>58</v>
      </c>
      <c r="O146" s="19">
        <v>699.0</v>
      </c>
      <c r="P146" s="19">
        <v>899.0</v>
      </c>
      <c r="Q146" s="20" t="s">
        <v>59</v>
      </c>
      <c r="R146" s="20" t="s">
        <v>58</v>
      </c>
      <c r="S146" s="20" t="s">
        <v>58</v>
      </c>
      <c r="T146" s="20" t="s">
        <v>261</v>
      </c>
      <c r="U146" s="20" t="s">
        <v>126</v>
      </c>
      <c r="V146" s="20" t="s">
        <v>61</v>
      </c>
      <c r="W146" s="20" t="s">
        <v>58</v>
      </c>
      <c r="X146" s="20" t="s">
        <v>58</v>
      </c>
      <c r="Y146" s="20" t="s">
        <v>58</v>
      </c>
      <c r="Z146" s="20" t="s">
        <v>58</v>
      </c>
      <c r="AA146" s="20" t="s">
        <v>58</v>
      </c>
      <c r="AB146" s="20" t="s">
        <v>58</v>
      </c>
      <c r="AC146" s="20" t="s">
        <v>58</v>
      </c>
      <c r="AD146" s="20" t="s">
        <v>58</v>
      </c>
      <c r="AE146" s="20" t="s">
        <v>58</v>
      </c>
      <c r="AF146" s="20" t="s">
        <v>61</v>
      </c>
      <c r="AG146" s="20" t="s">
        <v>61</v>
      </c>
      <c r="AH146" s="20" t="s">
        <v>58</v>
      </c>
      <c r="AI146" s="19">
        <v>50.0</v>
      </c>
      <c r="AJ146" s="19">
        <v>2000.0</v>
      </c>
      <c r="AK146" s="19">
        <v>50.0</v>
      </c>
      <c r="AL146" s="19">
        <v>0.0</v>
      </c>
      <c r="AM146" s="20" t="s">
        <v>132</v>
      </c>
      <c r="AN146" s="19">
        <v>699.0</v>
      </c>
      <c r="AO146" s="19">
        <v>899.0</v>
      </c>
      <c r="AP146" s="24" t="s">
        <v>757</v>
      </c>
      <c r="AQ146" s="19"/>
    </row>
    <row r="147">
      <c r="A147" s="19">
        <v>142.0</v>
      </c>
      <c r="B147" s="20" t="s">
        <v>307</v>
      </c>
      <c r="C147" s="20" t="s">
        <v>308</v>
      </c>
      <c r="D147" s="20" t="s">
        <v>311</v>
      </c>
      <c r="E147" s="20" t="s">
        <v>49</v>
      </c>
      <c r="F147" s="23" t="s">
        <v>69</v>
      </c>
      <c r="G147" s="55">
        <f>+919145131313</f>
        <v>919145131313</v>
      </c>
      <c r="H147" s="20" t="s">
        <v>314</v>
      </c>
      <c r="I147" s="20" t="s">
        <v>315</v>
      </c>
      <c r="J147" s="20" t="s">
        <v>74</v>
      </c>
      <c r="K147" s="20" t="s">
        <v>55</v>
      </c>
      <c r="L147" s="20" t="s">
        <v>56</v>
      </c>
      <c r="M147" s="20" t="s">
        <v>57</v>
      </c>
      <c r="N147" s="20" t="s">
        <v>58</v>
      </c>
      <c r="O147" s="19">
        <v>1400.0</v>
      </c>
      <c r="P147" s="19">
        <v>1500.0</v>
      </c>
      <c r="Q147" s="20" t="s">
        <v>59</v>
      </c>
      <c r="R147" s="20" t="s">
        <v>58</v>
      </c>
      <c r="S147" s="20" t="s">
        <v>58</v>
      </c>
      <c r="T147" s="20" t="s">
        <v>1520</v>
      </c>
      <c r="U147" s="20" t="s">
        <v>319</v>
      </c>
      <c r="V147" s="20" t="s">
        <v>61</v>
      </c>
      <c r="W147" s="20" t="s">
        <v>58</v>
      </c>
      <c r="X147" s="20" t="s">
        <v>58</v>
      </c>
      <c r="Y147" s="20" t="s">
        <v>58</v>
      </c>
      <c r="Z147" s="20" t="s">
        <v>58</v>
      </c>
      <c r="AA147" s="20" t="s">
        <v>58</v>
      </c>
      <c r="AB147" s="20" t="s">
        <v>58</v>
      </c>
      <c r="AC147" s="20" t="s">
        <v>58</v>
      </c>
      <c r="AD147" s="20" t="s">
        <v>58</v>
      </c>
      <c r="AE147" s="20" t="s">
        <v>58</v>
      </c>
      <c r="AF147" s="20" t="s">
        <v>61</v>
      </c>
      <c r="AG147" s="20" t="s">
        <v>61</v>
      </c>
      <c r="AH147" s="20" t="s">
        <v>58</v>
      </c>
      <c r="AI147" s="19">
        <v>100.0</v>
      </c>
      <c r="AJ147" s="19">
        <v>5000.0</v>
      </c>
      <c r="AK147" s="19">
        <v>100.0</v>
      </c>
      <c r="AL147" s="19">
        <v>0.0</v>
      </c>
      <c r="AM147" s="20" t="s">
        <v>950</v>
      </c>
      <c r="AN147" s="19">
        <v>1400.0</v>
      </c>
      <c r="AO147" s="19">
        <v>1500.0</v>
      </c>
      <c r="AP147" s="24" t="s">
        <v>757</v>
      </c>
      <c r="AQ147" s="19"/>
    </row>
    <row r="148">
      <c r="A148" s="19">
        <v>143.0</v>
      </c>
      <c r="B148" s="20" t="s">
        <v>1522</v>
      </c>
      <c r="C148" s="20" t="s">
        <v>1524</v>
      </c>
      <c r="D148" s="53" t="s">
        <v>1525</v>
      </c>
      <c r="E148" s="20" t="s">
        <v>49</v>
      </c>
      <c r="F148" s="23" t="s">
        <v>69</v>
      </c>
      <c r="G148" s="55">
        <f>+919696960065</f>
        <v>919696960065</v>
      </c>
      <c r="H148" s="20" t="s">
        <v>1530</v>
      </c>
      <c r="I148" s="20" t="s">
        <v>1531</v>
      </c>
      <c r="J148" s="20" t="s">
        <v>1531</v>
      </c>
      <c r="K148" s="20" t="s">
        <v>55</v>
      </c>
      <c r="L148" s="20" t="s">
        <v>56</v>
      </c>
      <c r="M148" s="20" t="s">
        <v>57</v>
      </c>
      <c r="N148" s="20" t="s">
        <v>58</v>
      </c>
      <c r="O148" s="19">
        <v>3000.0</v>
      </c>
      <c r="P148" s="19">
        <v>3500.0</v>
      </c>
      <c r="Q148" s="20" t="s">
        <v>59</v>
      </c>
      <c r="R148" s="20" t="s">
        <v>58</v>
      </c>
      <c r="S148" s="20" t="s">
        <v>58</v>
      </c>
      <c r="T148" s="25"/>
      <c r="U148" s="25"/>
      <c r="V148" s="20" t="s">
        <v>61</v>
      </c>
      <c r="W148" s="20" t="s">
        <v>58</v>
      </c>
      <c r="X148" s="20" t="s">
        <v>58</v>
      </c>
      <c r="Y148" s="20" t="s">
        <v>58</v>
      </c>
      <c r="Z148" s="20" t="s">
        <v>58</v>
      </c>
      <c r="AA148" s="20" t="s">
        <v>58</v>
      </c>
      <c r="AB148" s="20" t="s">
        <v>58</v>
      </c>
      <c r="AC148" s="20" t="s">
        <v>58</v>
      </c>
      <c r="AD148" s="20" t="s">
        <v>58</v>
      </c>
      <c r="AE148" s="20" t="s">
        <v>58</v>
      </c>
      <c r="AF148" s="20" t="s">
        <v>61</v>
      </c>
      <c r="AG148" s="20" t="s">
        <v>61</v>
      </c>
      <c r="AH148" s="20" t="s">
        <v>58</v>
      </c>
      <c r="AI148" s="19">
        <v>10.0</v>
      </c>
      <c r="AJ148" s="19">
        <v>5000.0</v>
      </c>
      <c r="AK148" s="19">
        <v>10.0</v>
      </c>
      <c r="AL148" s="19">
        <v>0.0</v>
      </c>
      <c r="AM148" s="25"/>
      <c r="AN148" s="19">
        <v>3000.0</v>
      </c>
      <c r="AO148" s="19">
        <v>3500.0</v>
      </c>
      <c r="AP148" s="26" t="s">
        <v>757</v>
      </c>
      <c r="AQ148" s="19"/>
    </row>
    <row r="149">
      <c r="A149" s="19">
        <v>144.0</v>
      </c>
      <c r="B149" s="20" t="s">
        <v>1536</v>
      </c>
      <c r="C149" s="20" t="s">
        <v>1537</v>
      </c>
      <c r="D149" s="53" t="s">
        <v>1538</v>
      </c>
      <c r="E149" s="20" t="s">
        <v>49</v>
      </c>
      <c r="F149" s="23" t="s">
        <v>69</v>
      </c>
      <c r="G149" s="55">
        <f>+919873891140</f>
        <v>919873891140</v>
      </c>
      <c r="H149" s="20" t="s">
        <v>389</v>
      </c>
      <c r="I149" s="20" t="s">
        <v>390</v>
      </c>
      <c r="J149" s="20" t="s">
        <v>390</v>
      </c>
      <c r="K149" s="20" t="s">
        <v>55</v>
      </c>
      <c r="L149" s="20" t="s">
        <v>56</v>
      </c>
      <c r="M149" s="20" t="s">
        <v>57</v>
      </c>
      <c r="N149" s="20" t="s">
        <v>58</v>
      </c>
      <c r="O149" s="19">
        <v>450.0</v>
      </c>
      <c r="P149" s="19">
        <v>600.0</v>
      </c>
      <c r="Q149" s="20" t="s">
        <v>59</v>
      </c>
      <c r="R149" s="20" t="s">
        <v>58</v>
      </c>
      <c r="S149" s="20" t="s">
        <v>58</v>
      </c>
      <c r="T149" s="25"/>
      <c r="U149" s="25"/>
      <c r="V149" s="20" t="s">
        <v>61</v>
      </c>
      <c r="W149" s="20" t="s">
        <v>58</v>
      </c>
      <c r="X149" s="20" t="s">
        <v>58</v>
      </c>
      <c r="Y149" s="20" t="s">
        <v>58</v>
      </c>
      <c r="Z149" s="20" t="s">
        <v>58</v>
      </c>
      <c r="AA149" s="20" t="s">
        <v>58</v>
      </c>
      <c r="AB149" s="20" t="s">
        <v>58</v>
      </c>
      <c r="AC149" s="20" t="s">
        <v>58</v>
      </c>
      <c r="AD149" s="20" t="s">
        <v>58</v>
      </c>
      <c r="AE149" s="20" t="s">
        <v>58</v>
      </c>
      <c r="AF149" s="20" t="s">
        <v>61</v>
      </c>
      <c r="AG149" s="20" t="s">
        <v>61</v>
      </c>
      <c r="AH149" s="20" t="s">
        <v>58</v>
      </c>
      <c r="AI149" s="19">
        <v>50.0</v>
      </c>
      <c r="AJ149" s="19">
        <v>1200.0</v>
      </c>
      <c r="AK149" s="19">
        <v>50.0</v>
      </c>
      <c r="AL149" s="19">
        <v>0.0</v>
      </c>
      <c r="AM149" s="25"/>
      <c r="AN149" s="19">
        <v>450.0</v>
      </c>
      <c r="AO149" s="19">
        <v>600.0</v>
      </c>
      <c r="AP149" s="26" t="s">
        <v>757</v>
      </c>
      <c r="AQ149" s="19"/>
    </row>
    <row r="150">
      <c r="A150" s="19">
        <v>145.0</v>
      </c>
      <c r="B150" s="20" t="s">
        <v>1546</v>
      </c>
      <c r="C150" s="20" t="s">
        <v>1547</v>
      </c>
      <c r="D150" s="53" t="s">
        <v>1548</v>
      </c>
      <c r="E150" s="20" t="s">
        <v>49</v>
      </c>
      <c r="F150" s="23" t="s">
        <v>69</v>
      </c>
      <c r="G150" s="55">
        <f>+919780589298</f>
        <v>919780589298</v>
      </c>
      <c r="H150" s="20" t="s">
        <v>389</v>
      </c>
      <c r="I150" s="20" t="s">
        <v>390</v>
      </c>
      <c r="J150" s="20" t="s">
        <v>390</v>
      </c>
      <c r="K150" s="20" t="s">
        <v>55</v>
      </c>
      <c r="L150" s="20" t="s">
        <v>56</v>
      </c>
      <c r="M150" s="20" t="s">
        <v>57</v>
      </c>
      <c r="N150" s="20" t="s">
        <v>58</v>
      </c>
      <c r="O150" s="19">
        <v>700.0</v>
      </c>
      <c r="P150" s="19">
        <v>1500.0</v>
      </c>
      <c r="Q150" s="20" t="s">
        <v>59</v>
      </c>
      <c r="R150" s="20" t="s">
        <v>58</v>
      </c>
      <c r="S150" s="20" t="s">
        <v>58</v>
      </c>
      <c r="T150" s="25"/>
      <c r="U150" s="25"/>
      <c r="V150" s="20" t="s">
        <v>61</v>
      </c>
      <c r="W150" s="20" t="s">
        <v>58</v>
      </c>
      <c r="X150" s="20" t="s">
        <v>58</v>
      </c>
      <c r="Y150" s="20" t="s">
        <v>58</v>
      </c>
      <c r="Z150" s="20" t="s">
        <v>58</v>
      </c>
      <c r="AA150" s="20" t="s">
        <v>58</v>
      </c>
      <c r="AB150" s="20" t="s">
        <v>58</v>
      </c>
      <c r="AC150" s="20" t="s">
        <v>58</v>
      </c>
      <c r="AD150" s="20" t="s">
        <v>58</v>
      </c>
      <c r="AE150" s="20" t="s">
        <v>58</v>
      </c>
      <c r="AF150" s="20" t="s">
        <v>61</v>
      </c>
      <c r="AG150" s="20" t="s">
        <v>61</v>
      </c>
      <c r="AH150" s="20" t="s">
        <v>58</v>
      </c>
      <c r="AI150" s="19">
        <v>30.0</v>
      </c>
      <c r="AJ150" s="19">
        <v>2000.0</v>
      </c>
      <c r="AK150" s="19">
        <v>30.0</v>
      </c>
      <c r="AL150" s="19">
        <v>0.0</v>
      </c>
      <c r="AM150" s="25"/>
      <c r="AN150" s="19">
        <v>700.0</v>
      </c>
      <c r="AO150" s="19">
        <v>1500.0</v>
      </c>
      <c r="AP150" s="26" t="s">
        <v>757</v>
      </c>
      <c r="AQ150" s="19"/>
    </row>
    <row r="151">
      <c r="A151" s="20" t="s">
        <v>1550</v>
      </c>
      <c r="B151" s="20" t="s">
        <v>295</v>
      </c>
      <c r="C151" s="20" t="s">
        <v>296</v>
      </c>
      <c r="D151" s="20" t="s">
        <v>297</v>
      </c>
      <c r="E151" s="20" t="s">
        <v>49</v>
      </c>
      <c r="F151" s="20" t="s">
        <v>1551</v>
      </c>
      <c r="G151" s="65"/>
      <c r="H151" s="20" t="s">
        <v>302</v>
      </c>
      <c r="I151" s="20" t="s">
        <v>303</v>
      </c>
      <c r="J151" s="20" t="s">
        <v>74</v>
      </c>
      <c r="K151" s="20" t="s">
        <v>55</v>
      </c>
      <c r="L151" s="20" t="s">
        <v>56</v>
      </c>
      <c r="M151" s="20" t="s">
        <v>57</v>
      </c>
      <c r="N151" s="20" t="s">
        <v>333</v>
      </c>
      <c r="O151" s="20" t="s">
        <v>1556</v>
      </c>
      <c r="P151" s="20" t="s">
        <v>348</v>
      </c>
      <c r="Q151" s="20" t="s">
        <v>59</v>
      </c>
      <c r="R151" s="20" t="s">
        <v>333</v>
      </c>
      <c r="S151" s="20" t="s">
        <v>333</v>
      </c>
      <c r="T151" s="20" t="s">
        <v>909</v>
      </c>
      <c r="U151" s="20"/>
      <c r="V151" s="20" t="s">
        <v>344</v>
      </c>
      <c r="W151" s="20" t="s">
        <v>333</v>
      </c>
      <c r="X151" s="20" t="s">
        <v>333</v>
      </c>
      <c r="Y151" s="20" t="s">
        <v>333</v>
      </c>
      <c r="Z151" s="20" t="s">
        <v>333</v>
      </c>
      <c r="AA151" s="20" t="s">
        <v>333</v>
      </c>
      <c r="AB151" s="20" t="s">
        <v>333</v>
      </c>
      <c r="AC151" s="20"/>
      <c r="AD151" s="20" t="s">
        <v>333</v>
      </c>
      <c r="AE151" s="20" t="s">
        <v>333</v>
      </c>
      <c r="AF151" s="20" t="s">
        <v>333</v>
      </c>
      <c r="AG151" s="20" t="s">
        <v>344</v>
      </c>
      <c r="AH151" s="20" t="s">
        <v>344</v>
      </c>
      <c r="AI151" s="20" t="s">
        <v>333</v>
      </c>
      <c r="AJ151" s="20"/>
      <c r="AK151" s="20" t="s">
        <v>347</v>
      </c>
      <c r="AL151" s="20" t="s">
        <v>1261</v>
      </c>
      <c r="AM151" s="20" t="s">
        <v>347</v>
      </c>
      <c r="AN151" s="20" t="s">
        <v>349</v>
      </c>
      <c r="AO151" s="20"/>
      <c r="AP151" s="24" t="s">
        <v>757</v>
      </c>
      <c r="AQ151" s="20"/>
    </row>
    <row r="152">
      <c r="A152" s="32" t="s">
        <v>1558</v>
      </c>
      <c r="B152" s="32" t="s">
        <v>193</v>
      </c>
      <c r="C152" s="32" t="s">
        <v>195</v>
      </c>
      <c r="D152" s="32" t="s">
        <v>197</v>
      </c>
      <c r="E152" s="32" t="s">
        <v>49</v>
      </c>
      <c r="F152" s="32" t="s">
        <v>1174</v>
      </c>
      <c r="G152" s="32" t="s">
        <v>1175</v>
      </c>
      <c r="H152" s="32" t="s">
        <v>75</v>
      </c>
      <c r="I152" s="32" t="s">
        <v>76</v>
      </c>
      <c r="J152" s="32" t="s">
        <v>76</v>
      </c>
      <c r="K152" s="32" t="s">
        <v>55</v>
      </c>
      <c r="L152" s="32" t="s">
        <v>56</v>
      </c>
      <c r="M152" s="32" t="s">
        <v>57</v>
      </c>
      <c r="N152" s="32" t="s">
        <v>333</v>
      </c>
      <c r="O152" s="32" t="s">
        <v>1556</v>
      </c>
      <c r="P152" s="32" t="s">
        <v>1559</v>
      </c>
      <c r="Q152" s="32" t="s">
        <v>59</v>
      </c>
      <c r="R152" s="32" t="s">
        <v>333</v>
      </c>
      <c r="S152" s="32" t="s">
        <v>333</v>
      </c>
      <c r="T152" s="32" t="s">
        <v>1560</v>
      </c>
      <c r="U152" s="32" t="s">
        <v>215</v>
      </c>
      <c r="V152" s="32" t="s">
        <v>344</v>
      </c>
      <c r="W152" s="32" t="s">
        <v>333</v>
      </c>
      <c r="X152" s="32" t="s">
        <v>333</v>
      </c>
      <c r="Y152" s="32" t="s">
        <v>333</v>
      </c>
      <c r="Z152" s="32" t="s">
        <v>333</v>
      </c>
      <c r="AA152" s="32" t="s">
        <v>333</v>
      </c>
      <c r="AB152" s="32" t="s">
        <v>333</v>
      </c>
      <c r="AC152" s="32"/>
      <c r="AD152" s="32" t="s">
        <v>333</v>
      </c>
      <c r="AE152" s="32" t="s">
        <v>333</v>
      </c>
      <c r="AF152" s="32" t="s">
        <v>333</v>
      </c>
      <c r="AG152" s="32" t="s">
        <v>344</v>
      </c>
      <c r="AH152" s="32" t="s">
        <v>344</v>
      </c>
      <c r="AI152" s="32" t="s">
        <v>333</v>
      </c>
      <c r="AJ152" s="32"/>
      <c r="AK152" s="32" t="s">
        <v>347</v>
      </c>
      <c r="AL152" s="32" t="s">
        <v>1556</v>
      </c>
      <c r="AM152" s="32" t="s">
        <v>347</v>
      </c>
      <c r="AN152" s="32" t="s">
        <v>1556</v>
      </c>
      <c r="AO152" s="32" t="s">
        <v>1559</v>
      </c>
      <c r="AP152" s="16" t="s">
        <v>757</v>
      </c>
      <c r="AQ152" s="21">
        <v>2.0</v>
      </c>
    </row>
    <row r="153">
      <c r="A153" s="32" t="s">
        <v>1561</v>
      </c>
      <c r="B153" s="32" t="s">
        <v>435</v>
      </c>
      <c r="C153" s="32" t="s">
        <v>436</v>
      </c>
      <c r="D153" s="32" t="s">
        <v>437</v>
      </c>
      <c r="E153" s="32" t="s">
        <v>49</v>
      </c>
      <c r="F153" s="32" t="s">
        <v>438</v>
      </c>
      <c r="G153" s="32" t="s">
        <v>1562</v>
      </c>
      <c r="H153" s="32" t="s">
        <v>75</v>
      </c>
      <c r="I153" s="32" t="s">
        <v>76</v>
      </c>
      <c r="J153" s="32" t="s">
        <v>76</v>
      </c>
      <c r="K153" s="32" t="s">
        <v>55</v>
      </c>
      <c r="L153" s="32" t="s">
        <v>56</v>
      </c>
      <c r="M153" s="32" t="s">
        <v>57</v>
      </c>
      <c r="N153" s="32" t="s">
        <v>333</v>
      </c>
      <c r="O153" s="32" t="s">
        <v>1556</v>
      </c>
      <c r="P153" s="32" t="s">
        <v>1564</v>
      </c>
      <c r="Q153" s="32" t="s">
        <v>59</v>
      </c>
      <c r="R153" s="32" t="s">
        <v>333</v>
      </c>
      <c r="S153" s="32" t="s">
        <v>333</v>
      </c>
      <c r="T153" s="32" t="s">
        <v>275</v>
      </c>
      <c r="U153" s="32" t="s">
        <v>275</v>
      </c>
      <c r="V153" s="32" t="s">
        <v>344</v>
      </c>
      <c r="W153" s="32" t="s">
        <v>333</v>
      </c>
      <c r="X153" s="32" t="s">
        <v>333</v>
      </c>
      <c r="Y153" s="32" t="s">
        <v>333</v>
      </c>
      <c r="Z153" s="32" t="s">
        <v>333</v>
      </c>
      <c r="AA153" s="32" t="s">
        <v>333</v>
      </c>
      <c r="AB153" s="32" t="s">
        <v>333</v>
      </c>
      <c r="AC153" s="32"/>
      <c r="AD153" s="32" t="s">
        <v>333</v>
      </c>
      <c r="AE153" s="32" t="s">
        <v>344</v>
      </c>
      <c r="AF153" s="32" t="s">
        <v>333</v>
      </c>
      <c r="AG153" s="32" t="s">
        <v>344</v>
      </c>
      <c r="AH153" s="32" t="s">
        <v>344</v>
      </c>
      <c r="AI153" s="32" t="s">
        <v>333</v>
      </c>
      <c r="AJ153" s="32"/>
      <c r="AK153" s="32" t="s">
        <v>1260</v>
      </c>
      <c r="AL153" s="32" t="s">
        <v>348</v>
      </c>
      <c r="AM153" s="32" t="s">
        <v>1260</v>
      </c>
      <c r="AN153" s="32" t="s">
        <v>1556</v>
      </c>
      <c r="AO153" s="32" t="s">
        <v>1564</v>
      </c>
      <c r="AP153" s="16" t="s">
        <v>757</v>
      </c>
      <c r="AQ153" s="21">
        <v>2.0</v>
      </c>
    </row>
    <row r="154">
      <c r="A154" s="32" t="s">
        <v>1566</v>
      </c>
      <c r="B154" s="32" t="s">
        <v>849</v>
      </c>
      <c r="C154" s="32" t="s">
        <v>850</v>
      </c>
      <c r="D154" s="32" t="s">
        <v>852</v>
      </c>
      <c r="E154" s="32" t="s">
        <v>49</v>
      </c>
      <c r="F154" s="32" t="s">
        <v>1567</v>
      </c>
      <c r="G154" s="32" t="s">
        <v>1568</v>
      </c>
      <c r="H154" s="32" t="s">
        <v>266</v>
      </c>
      <c r="I154" s="32" t="s">
        <v>267</v>
      </c>
      <c r="J154" s="32" t="s">
        <v>267</v>
      </c>
      <c r="K154" s="32" t="s">
        <v>55</v>
      </c>
      <c r="L154" s="32" t="s">
        <v>56</v>
      </c>
      <c r="M154" s="32" t="s">
        <v>57</v>
      </c>
      <c r="N154" s="32" t="s">
        <v>333</v>
      </c>
      <c r="O154" s="32" t="s">
        <v>1571</v>
      </c>
      <c r="P154" s="32" t="s">
        <v>1253</v>
      </c>
      <c r="Q154" s="32" t="s">
        <v>59</v>
      </c>
      <c r="R154" s="32" t="s">
        <v>333</v>
      </c>
      <c r="S154" s="32" t="s">
        <v>333</v>
      </c>
      <c r="T154" s="32" t="s">
        <v>856</v>
      </c>
      <c r="U154" s="32"/>
      <c r="V154" s="32" t="s">
        <v>344</v>
      </c>
      <c r="W154" s="32" t="s">
        <v>333</v>
      </c>
      <c r="X154" s="32" t="s">
        <v>333</v>
      </c>
      <c r="Y154" s="32" t="s">
        <v>333</v>
      </c>
      <c r="Z154" s="32" t="s">
        <v>333</v>
      </c>
      <c r="AA154" s="32" t="s">
        <v>333</v>
      </c>
      <c r="AB154" s="32" t="s">
        <v>333</v>
      </c>
      <c r="AC154" s="32"/>
      <c r="AD154" s="32" t="s">
        <v>333</v>
      </c>
      <c r="AE154" s="32" t="s">
        <v>333</v>
      </c>
      <c r="AF154" s="32" t="s">
        <v>333</v>
      </c>
      <c r="AG154" s="32" t="s">
        <v>344</v>
      </c>
      <c r="AH154" s="32" t="s">
        <v>344</v>
      </c>
      <c r="AI154" s="32" t="s">
        <v>333</v>
      </c>
      <c r="AJ154" s="32"/>
      <c r="AK154" s="32" t="s">
        <v>347</v>
      </c>
      <c r="AL154" s="32" t="s">
        <v>348</v>
      </c>
      <c r="AM154" s="32" t="s">
        <v>347</v>
      </c>
      <c r="AN154" s="32" t="s">
        <v>1571</v>
      </c>
      <c r="AO154" s="32" t="s">
        <v>1253</v>
      </c>
      <c r="AP154" s="16" t="s">
        <v>757</v>
      </c>
      <c r="AQ154" s="21">
        <v>2.0</v>
      </c>
    </row>
    <row r="155">
      <c r="A155" s="32" t="s">
        <v>1573</v>
      </c>
      <c r="B155" s="32" t="s">
        <v>1064</v>
      </c>
      <c r="C155" s="32" t="s">
        <v>1065</v>
      </c>
      <c r="D155" s="32" t="s">
        <v>1066</v>
      </c>
      <c r="E155" s="32" t="s">
        <v>49</v>
      </c>
      <c r="F155" s="32" t="s">
        <v>1574</v>
      </c>
      <c r="G155" s="32" t="s">
        <v>1575</v>
      </c>
      <c r="H155" s="32" t="s">
        <v>784</v>
      </c>
      <c r="I155" s="32" t="s">
        <v>785</v>
      </c>
      <c r="J155" s="32" t="s">
        <v>785</v>
      </c>
      <c r="K155" s="32" t="s">
        <v>55</v>
      </c>
      <c r="L155" s="32" t="s">
        <v>56</v>
      </c>
      <c r="M155" s="32" t="s">
        <v>57</v>
      </c>
      <c r="N155" s="32" t="s">
        <v>333</v>
      </c>
      <c r="O155" s="32" t="s">
        <v>1571</v>
      </c>
      <c r="P155" s="32" t="s">
        <v>1576</v>
      </c>
      <c r="Q155" s="32" t="s">
        <v>59</v>
      </c>
      <c r="R155" s="32" t="s">
        <v>333</v>
      </c>
      <c r="S155" s="32" t="s">
        <v>333</v>
      </c>
      <c r="T155" s="32"/>
      <c r="U155" s="32"/>
      <c r="V155" s="32" t="s">
        <v>344</v>
      </c>
      <c r="W155" s="32" t="s">
        <v>333</v>
      </c>
      <c r="X155" s="32" t="s">
        <v>333</v>
      </c>
      <c r="Y155" s="32" t="s">
        <v>333</v>
      </c>
      <c r="Z155" s="32" t="s">
        <v>333</v>
      </c>
      <c r="AA155" s="32" t="s">
        <v>333</v>
      </c>
      <c r="AB155" s="32" t="s">
        <v>333</v>
      </c>
      <c r="AC155" s="32"/>
      <c r="AD155" s="32" t="s">
        <v>333</v>
      </c>
      <c r="AE155" s="32" t="s">
        <v>333</v>
      </c>
      <c r="AF155" s="32" t="s">
        <v>333</v>
      </c>
      <c r="AG155" s="32" t="s">
        <v>344</v>
      </c>
      <c r="AH155" s="32" t="s">
        <v>344</v>
      </c>
      <c r="AI155" s="32" t="s">
        <v>333</v>
      </c>
      <c r="AJ155" s="32"/>
      <c r="AK155" s="32" t="s">
        <v>347</v>
      </c>
      <c r="AL155" s="32" t="s">
        <v>1581</v>
      </c>
      <c r="AM155" s="32" t="s">
        <v>347</v>
      </c>
      <c r="AN155" s="32" t="s">
        <v>1571</v>
      </c>
      <c r="AO155" s="32" t="s">
        <v>1576</v>
      </c>
      <c r="AP155" s="16" t="s">
        <v>757</v>
      </c>
      <c r="AQ155" s="21">
        <v>2.0</v>
      </c>
    </row>
    <row r="156">
      <c r="A156" s="32" t="s">
        <v>1582</v>
      </c>
      <c r="B156" s="32" t="s">
        <v>1118</v>
      </c>
      <c r="C156" s="32" t="s">
        <v>1119</v>
      </c>
      <c r="D156" s="32" t="s">
        <v>1120</v>
      </c>
      <c r="E156" s="32" t="s">
        <v>49</v>
      </c>
      <c r="F156" s="32" t="s">
        <v>1584</v>
      </c>
      <c r="G156" s="32" t="s">
        <v>1585</v>
      </c>
      <c r="H156" s="32" t="s">
        <v>967</v>
      </c>
      <c r="I156" s="32" t="s">
        <v>968</v>
      </c>
      <c r="J156" s="32" t="s">
        <v>968</v>
      </c>
      <c r="K156" s="32" t="s">
        <v>55</v>
      </c>
      <c r="L156" s="32" t="s">
        <v>56</v>
      </c>
      <c r="M156" s="32" t="s">
        <v>57</v>
      </c>
      <c r="N156" s="32" t="s">
        <v>333</v>
      </c>
      <c r="O156" s="32" t="s">
        <v>1556</v>
      </c>
      <c r="P156" s="32" t="s">
        <v>1586</v>
      </c>
      <c r="Q156" s="32" t="s">
        <v>59</v>
      </c>
      <c r="R156" s="32" t="s">
        <v>333</v>
      </c>
      <c r="S156" s="32" t="s">
        <v>333</v>
      </c>
      <c r="T156" s="32" t="s">
        <v>275</v>
      </c>
      <c r="U156" s="32"/>
      <c r="V156" s="32" t="s">
        <v>344</v>
      </c>
      <c r="W156" s="32" t="s">
        <v>333</v>
      </c>
      <c r="X156" s="32" t="s">
        <v>333</v>
      </c>
      <c r="Y156" s="32" t="s">
        <v>333</v>
      </c>
      <c r="Z156" s="32" t="s">
        <v>333</v>
      </c>
      <c r="AA156" s="32" t="s">
        <v>333</v>
      </c>
      <c r="AB156" s="32" t="s">
        <v>333</v>
      </c>
      <c r="AC156" s="32"/>
      <c r="AD156" s="32" t="s">
        <v>333</v>
      </c>
      <c r="AE156" s="32" t="s">
        <v>333</v>
      </c>
      <c r="AF156" s="32" t="s">
        <v>333</v>
      </c>
      <c r="AG156" s="32" t="s">
        <v>344</v>
      </c>
      <c r="AH156" s="32" t="s">
        <v>344</v>
      </c>
      <c r="AI156" s="32" t="s">
        <v>333</v>
      </c>
      <c r="AJ156" s="32"/>
      <c r="AK156" s="32" t="s">
        <v>1587</v>
      </c>
      <c r="AL156" s="32" t="s">
        <v>1238</v>
      </c>
      <c r="AM156" s="32" t="s">
        <v>1587</v>
      </c>
      <c r="AN156" s="32" t="s">
        <v>1556</v>
      </c>
      <c r="AO156" s="32" t="s">
        <v>1586</v>
      </c>
      <c r="AP156" s="16" t="s">
        <v>757</v>
      </c>
      <c r="AQ156" s="21">
        <v>2.0</v>
      </c>
    </row>
    <row r="157">
      <c r="A157" s="32" t="s">
        <v>1588</v>
      </c>
      <c r="B157" s="32" t="s">
        <v>997</v>
      </c>
      <c r="C157" s="32" t="s">
        <v>998</v>
      </c>
      <c r="D157" s="32" t="s">
        <v>999</v>
      </c>
      <c r="E157" s="32" t="s">
        <v>49</v>
      </c>
      <c r="F157" s="32" t="s">
        <v>1589</v>
      </c>
      <c r="G157" s="32" t="s">
        <v>1590</v>
      </c>
      <c r="H157" s="32" t="s">
        <v>1000</v>
      </c>
      <c r="I157" s="32" t="s">
        <v>1001</v>
      </c>
      <c r="J157" s="32" t="s">
        <v>1001</v>
      </c>
      <c r="K157" s="32" t="s">
        <v>55</v>
      </c>
      <c r="L157" s="32" t="s">
        <v>56</v>
      </c>
      <c r="M157" s="32" t="s">
        <v>57</v>
      </c>
      <c r="N157" s="32" t="s">
        <v>333</v>
      </c>
      <c r="O157" s="32" t="s">
        <v>1576</v>
      </c>
      <c r="P157" s="32" t="s">
        <v>1591</v>
      </c>
      <c r="Q157" s="32" t="s">
        <v>59</v>
      </c>
      <c r="R157" s="32" t="s">
        <v>333</v>
      </c>
      <c r="S157" s="32" t="s">
        <v>333</v>
      </c>
      <c r="T157" s="32" t="s">
        <v>275</v>
      </c>
      <c r="U157" s="32"/>
      <c r="V157" s="32" t="s">
        <v>344</v>
      </c>
      <c r="W157" s="32" t="s">
        <v>333</v>
      </c>
      <c r="X157" s="32" t="s">
        <v>333</v>
      </c>
      <c r="Y157" s="32" t="s">
        <v>333</v>
      </c>
      <c r="Z157" s="32" t="s">
        <v>333</v>
      </c>
      <c r="AA157" s="32" t="s">
        <v>333</v>
      </c>
      <c r="AB157" s="32" t="s">
        <v>333</v>
      </c>
      <c r="AC157" s="32"/>
      <c r="AD157" s="32" t="s">
        <v>333</v>
      </c>
      <c r="AE157" s="32" t="s">
        <v>333</v>
      </c>
      <c r="AF157" s="32" t="s">
        <v>333</v>
      </c>
      <c r="AG157" s="32" t="s">
        <v>344</v>
      </c>
      <c r="AH157" s="32" t="s">
        <v>344</v>
      </c>
      <c r="AI157" s="32" t="s">
        <v>333</v>
      </c>
      <c r="AJ157" s="32"/>
      <c r="AK157" s="32" t="s">
        <v>1595</v>
      </c>
      <c r="AL157" s="32" t="s">
        <v>1596</v>
      </c>
      <c r="AM157" s="32" t="s">
        <v>1595</v>
      </c>
      <c r="AN157" s="32" t="s">
        <v>1576</v>
      </c>
      <c r="AO157" s="32" t="s">
        <v>1591</v>
      </c>
      <c r="AP157" s="16" t="s">
        <v>757</v>
      </c>
      <c r="AQ157" s="21">
        <v>2.0</v>
      </c>
    </row>
    <row r="158">
      <c r="A158" s="32" t="s">
        <v>1597</v>
      </c>
      <c r="B158" s="32" t="s">
        <v>1148</v>
      </c>
      <c r="C158" s="32" t="s">
        <v>1149</v>
      </c>
      <c r="D158" s="32" t="s">
        <v>1150</v>
      </c>
      <c r="E158" s="32" t="s">
        <v>49</v>
      </c>
      <c r="F158" s="32" t="s">
        <v>1600</v>
      </c>
      <c r="G158" s="32" t="s">
        <v>1602</v>
      </c>
      <c r="H158" s="32" t="s">
        <v>967</v>
      </c>
      <c r="I158" s="32" t="s">
        <v>968</v>
      </c>
      <c r="J158" s="32" t="s">
        <v>968</v>
      </c>
      <c r="K158" s="32" t="s">
        <v>55</v>
      </c>
      <c r="L158" s="32" t="s">
        <v>56</v>
      </c>
      <c r="M158" s="32" t="s">
        <v>57</v>
      </c>
      <c r="N158" s="32" t="s">
        <v>333</v>
      </c>
      <c r="O158" s="32" t="s">
        <v>1596</v>
      </c>
      <c r="P158" s="32" t="s">
        <v>1576</v>
      </c>
      <c r="Q158" s="32" t="s">
        <v>59</v>
      </c>
      <c r="R158" s="32" t="s">
        <v>333</v>
      </c>
      <c r="S158" s="32" t="s">
        <v>333</v>
      </c>
      <c r="T158" s="32" t="s">
        <v>1151</v>
      </c>
      <c r="U158" s="32"/>
      <c r="V158" s="32" t="s">
        <v>344</v>
      </c>
      <c r="W158" s="32" t="s">
        <v>333</v>
      </c>
      <c r="X158" s="32" t="s">
        <v>333</v>
      </c>
      <c r="Y158" s="32" t="s">
        <v>333</v>
      </c>
      <c r="Z158" s="32" t="s">
        <v>333</v>
      </c>
      <c r="AA158" s="32" t="s">
        <v>333</v>
      </c>
      <c r="AB158" s="32" t="s">
        <v>333</v>
      </c>
      <c r="AC158" s="32"/>
      <c r="AD158" s="32" t="s">
        <v>333</v>
      </c>
      <c r="AE158" s="32" t="s">
        <v>333</v>
      </c>
      <c r="AF158" s="32" t="s">
        <v>333</v>
      </c>
      <c r="AG158" s="32" t="s">
        <v>344</v>
      </c>
      <c r="AH158" s="32" t="s">
        <v>344</v>
      </c>
      <c r="AI158" s="32" t="s">
        <v>333</v>
      </c>
      <c r="AJ158" s="32"/>
      <c r="AK158" s="32" t="s">
        <v>347</v>
      </c>
      <c r="AL158" s="32" t="s">
        <v>1245</v>
      </c>
      <c r="AM158" s="32" t="s">
        <v>347</v>
      </c>
      <c r="AN158" s="32" t="s">
        <v>1596</v>
      </c>
      <c r="AO158" s="32" t="s">
        <v>1576</v>
      </c>
      <c r="AP158" s="16" t="s">
        <v>757</v>
      </c>
      <c r="AQ158" s="21">
        <v>2.0</v>
      </c>
    </row>
    <row r="159">
      <c r="A159" s="31">
        <v>484.0</v>
      </c>
      <c r="B159" s="32" t="s">
        <v>805</v>
      </c>
      <c r="C159" s="32" t="s">
        <v>807</v>
      </c>
      <c r="D159" s="32" t="s">
        <v>810</v>
      </c>
      <c r="E159" s="32" t="s">
        <v>49</v>
      </c>
      <c r="F159" s="40" t="s">
        <v>813</v>
      </c>
      <c r="G159" s="32" t="s">
        <v>820</v>
      </c>
      <c r="H159" s="32" t="s">
        <v>75</v>
      </c>
      <c r="I159" s="32" t="s">
        <v>76</v>
      </c>
      <c r="J159" s="32" t="s">
        <v>76</v>
      </c>
      <c r="K159" s="32" t="s">
        <v>55</v>
      </c>
      <c r="L159" s="32" t="s">
        <v>56</v>
      </c>
      <c r="M159" s="32" t="s">
        <v>57</v>
      </c>
      <c r="N159" s="32" t="s">
        <v>58</v>
      </c>
      <c r="O159" s="31">
        <v>900.0</v>
      </c>
      <c r="P159" s="31">
        <v>1200.0</v>
      </c>
      <c r="Q159" s="32" t="s">
        <v>59</v>
      </c>
      <c r="R159" s="32" t="s">
        <v>58</v>
      </c>
      <c r="S159" s="32" t="s">
        <v>58</v>
      </c>
      <c r="T159" s="32" t="s">
        <v>275</v>
      </c>
      <c r="U159" s="39"/>
      <c r="V159" s="32" t="s">
        <v>61</v>
      </c>
      <c r="W159" s="32" t="s">
        <v>58</v>
      </c>
      <c r="X159" s="32" t="s">
        <v>58</v>
      </c>
      <c r="Y159" s="32" t="s">
        <v>58</v>
      </c>
      <c r="Z159" s="32" t="s">
        <v>58</v>
      </c>
      <c r="AA159" s="32" t="s">
        <v>58</v>
      </c>
      <c r="AB159" s="32" t="s">
        <v>58</v>
      </c>
      <c r="AC159" s="32" t="s">
        <v>58</v>
      </c>
      <c r="AD159" s="32" t="s">
        <v>58</v>
      </c>
      <c r="AE159" s="32" t="s">
        <v>58</v>
      </c>
      <c r="AF159" s="32" t="s">
        <v>61</v>
      </c>
      <c r="AG159" s="32" t="s">
        <v>61</v>
      </c>
      <c r="AH159" s="32" t="s">
        <v>58</v>
      </c>
      <c r="AI159" s="31">
        <v>20.0</v>
      </c>
      <c r="AJ159" s="31">
        <v>10000.0</v>
      </c>
      <c r="AK159" s="31">
        <v>20.0</v>
      </c>
      <c r="AL159" s="31">
        <v>0.0</v>
      </c>
      <c r="AM159" s="39"/>
      <c r="AN159" s="38">
        <v>900.0</v>
      </c>
      <c r="AO159" s="38">
        <v>1200.0</v>
      </c>
      <c r="AP159" s="38" t="s">
        <v>757</v>
      </c>
      <c r="AQ159" s="21">
        <v>2.0</v>
      </c>
    </row>
    <row r="160">
      <c r="D160" s="77"/>
      <c r="G160" s="65"/>
      <c r="AP160" s="26"/>
      <c r="AQ160" s="29"/>
    </row>
    <row r="161">
      <c r="AP161" s="26"/>
      <c r="AQ161" s="29"/>
    </row>
    <row r="162">
      <c r="AP162" s="26"/>
      <c r="AQ162" s="29"/>
    </row>
    <row r="163">
      <c r="AP163" s="26"/>
      <c r="AQ163" s="29"/>
    </row>
    <row r="164">
      <c r="AQ164" s="29"/>
    </row>
    <row r="165">
      <c r="AQ165" s="29"/>
    </row>
    <row r="166">
      <c r="AQ166" s="29"/>
    </row>
  </sheetData>
  <hyperlinks>
    <hyperlink r:id="rId1" ref="F9"/>
    <hyperlink r:id="rId2" ref="F10"/>
    <hyperlink r:id="rId3" ref="F11"/>
    <hyperlink r:id="rId4" ref="F13"/>
    <hyperlink r:id="rId5" ref="F15"/>
    <hyperlink r:id="rId6" ref="F16"/>
    <hyperlink r:id="rId7" ref="F18"/>
    <hyperlink r:id="rId8" ref="F19"/>
    <hyperlink r:id="rId9" ref="F20"/>
    <hyperlink r:id="rId10" ref="F25"/>
    <hyperlink r:id="rId11" ref="F30"/>
    <hyperlink r:id="rId12" ref="F31"/>
    <hyperlink r:id="rId13" ref="F37"/>
    <hyperlink r:id="rId14" ref="F38"/>
    <hyperlink r:id="rId15" ref="F40"/>
    <hyperlink r:id="rId16" ref="F43"/>
    <hyperlink r:id="rId17" ref="F44"/>
    <hyperlink r:id="rId18" ref="F48"/>
    <hyperlink r:id="rId19" ref="F52"/>
    <hyperlink r:id="rId20" ref="F55"/>
    <hyperlink r:id="rId21" ref="F59"/>
    <hyperlink r:id="rId22" ref="F159"/>
  </hyperlinks>
  <drawing r:id="rId2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0</v>
      </c>
      <c r="B1" s="2">
        <v>3.0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c r="A2" s="2" t="s">
        <v>3</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c r="A3" s="2" t="s">
        <v>5</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c r="A4" s="2" t="s">
        <v>6</v>
      </c>
      <c r="B4" s="2">
        <v>93.0</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row>
    <row r="5">
      <c r="A5" s="14" t="s">
        <v>7</v>
      </c>
      <c r="B5" s="14" t="s">
        <v>8</v>
      </c>
      <c r="C5" s="14" t="s">
        <v>9</v>
      </c>
      <c r="D5" s="14" t="s">
        <v>10</v>
      </c>
      <c r="E5" s="14" t="s">
        <v>11</v>
      </c>
      <c r="F5" s="14" t="s">
        <v>12</v>
      </c>
      <c r="G5" s="14" t="s">
        <v>13</v>
      </c>
      <c r="H5" s="14" t="s">
        <v>14</v>
      </c>
      <c r="I5" s="14" t="s">
        <v>15</v>
      </c>
      <c r="J5" s="14" t="s">
        <v>16</v>
      </c>
      <c r="K5" s="14" t="s">
        <v>17</v>
      </c>
      <c r="L5" s="14" t="s">
        <v>18</v>
      </c>
      <c r="M5" s="14" t="s">
        <v>19</v>
      </c>
      <c r="N5" s="14" t="s">
        <v>20</v>
      </c>
      <c r="O5" s="14" t="s">
        <v>21</v>
      </c>
      <c r="P5" s="14" t="s">
        <v>22</v>
      </c>
      <c r="Q5" s="14" t="s">
        <v>23</v>
      </c>
      <c r="R5" s="14" t="s">
        <v>24</v>
      </c>
      <c r="S5" s="14" t="s">
        <v>25</v>
      </c>
      <c r="T5" s="14" t="s">
        <v>26</v>
      </c>
      <c r="U5" s="14" t="s">
        <v>27</v>
      </c>
      <c r="V5" s="14" t="s">
        <v>28</v>
      </c>
      <c r="W5" s="14" t="s">
        <v>29</v>
      </c>
      <c r="X5" s="14" t="s">
        <v>30</v>
      </c>
      <c r="Y5" s="14" t="s">
        <v>31</v>
      </c>
      <c r="Z5" s="14" t="s">
        <v>51</v>
      </c>
      <c r="AA5" s="14" t="s">
        <v>32</v>
      </c>
      <c r="AB5" s="14" t="s">
        <v>33</v>
      </c>
      <c r="AC5" s="14" t="s">
        <v>34</v>
      </c>
      <c r="AD5" s="14" t="s">
        <v>35</v>
      </c>
      <c r="AE5" s="14" t="s">
        <v>36</v>
      </c>
      <c r="AF5" s="14" t="s">
        <v>37</v>
      </c>
      <c r="AG5" s="14" t="s">
        <v>38</v>
      </c>
      <c r="AH5" s="14" t="s">
        <v>39</v>
      </c>
      <c r="AI5" s="14" t="s">
        <v>40</v>
      </c>
      <c r="AJ5" s="14" t="s">
        <v>41</v>
      </c>
      <c r="AK5" s="14" t="s">
        <v>42</v>
      </c>
      <c r="AL5" s="14" t="s">
        <v>43</v>
      </c>
      <c r="AM5" s="14" t="s">
        <v>60</v>
      </c>
      <c r="AN5" s="14" t="s">
        <v>62</v>
      </c>
      <c r="AO5" s="14" t="s">
        <v>63</v>
      </c>
      <c r="AP5" s="2" t="s">
        <v>81</v>
      </c>
      <c r="AQ5" s="2" t="s">
        <v>82</v>
      </c>
    </row>
    <row r="6">
      <c r="A6" s="19">
        <v>1.0</v>
      </c>
      <c r="B6" s="20" t="s">
        <v>68</v>
      </c>
      <c r="C6" s="20" t="s">
        <v>70</v>
      </c>
      <c r="D6" s="29" t="s">
        <v>71</v>
      </c>
      <c r="E6" s="20" t="s">
        <v>49</v>
      </c>
      <c r="F6" s="29" t="s">
        <v>89</v>
      </c>
      <c r="G6" s="29">
        <v>7.947109196E9</v>
      </c>
      <c r="H6" s="20" t="s">
        <v>75</v>
      </c>
      <c r="I6" s="20" t="s">
        <v>76</v>
      </c>
      <c r="J6" s="20" t="s">
        <v>76</v>
      </c>
      <c r="K6" s="20" t="s">
        <v>55</v>
      </c>
      <c r="L6" s="20" t="s">
        <v>56</v>
      </c>
      <c r="M6" s="20" t="s">
        <v>57</v>
      </c>
      <c r="N6" s="20" t="s">
        <v>58</v>
      </c>
      <c r="O6" s="19">
        <v>3000.0</v>
      </c>
      <c r="P6" s="19">
        <v>3500.0</v>
      </c>
      <c r="Q6" s="20" t="s">
        <v>59</v>
      </c>
      <c r="R6" s="20" t="s">
        <v>58</v>
      </c>
      <c r="S6" s="20" t="s">
        <v>58</v>
      </c>
      <c r="T6" s="20"/>
      <c r="U6" s="20"/>
      <c r="V6" s="20" t="s">
        <v>61</v>
      </c>
      <c r="W6" s="20" t="s">
        <v>58</v>
      </c>
      <c r="X6" s="20" t="s">
        <v>58</v>
      </c>
      <c r="Y6" s="20" t="s">
        <v>58</v>
      </c>
      <c r="Z6" s="20" t="s">
        <v>58</v>
      </c>
      <c r="AA6" s="20" t="s">
        <v>58</v>
      </c>
      <c r="AB6" s="20" t="s">
        <v>58</v>
      </c>
      <c r="AC6" s="20" t="s">
        <v>58</v>
      </c>
      <c r="AD6" s="20" t="s">
        <v>58</v>
      </c>
      <c r="AE6" s="20" t="s">
        <v>58</v>
      </c>
      <c r="AF6" s="20" t="s">
        <v>61</v>
      </c>
      <c r="AG6" s="20" t="s">
        <v>61</v>
      </c>
      <c r="AH6" s="20" t="s">
        <v>58</v>
      </c>
      <c r="AI6" s="19">
        <v>150.0</v>
      </c>
      <c r="AJ6" s="19">
        <v>1500.0</v>
      </c>
      <c r="AK6" s="19">
        <v>150.0</v>
      </c>
      <c r="AL6" s="19">
        <v>0.0</v>
      </c>
      <c r="AM6" s="20"/>
      <c r="AN6" s="19">
        <v>3000.0</v>
      </c>
      <c r="AO6" s="19">
        <v>3500.0</v>
      </c>
      <c r="AP6" s="26" t="s">
        <v>65</v>
      </c>
      <c r="AQ6" s="19"/>
    </row>
    <row r="7">
      <c r="A7" s="31">
        <v>2.0</v>
      </c>
      <c r="B7" s="32" t="s">
        <v>108</v>
      </c>
      <c r="C7" s="32" t="s">
        <v>111</v>
      </c>
      <c r="D7" s="32" t="s">
        <v>112</v>
      </c>
      <c r="E7" s="32" t="s">
        <v>49</v>
      </c>
      <c r="F7" s="33" t="s">
        <v>114</v>
      </c>
      <c r="G7" s="21" t="s">
        <v>117</v>
      </c>
      <c r="H7" s="32" t="s">
        <v>118</v>
      </c>
      <c r="I7" s="32" t="s">
        <v>92</v>
      </c>
      <c r="J7" s="32" t="s">
        <v>92</v>
      </c>
      <c r="K7" s="32" t="s">
        <v>55</v>
      </c>
      <c r="L7" s="32" t="s">
        <v>56</v>
      </c>
      <c r="M7" s="32" t="s">
        <v>57</v>
      </c>
      <c r="N7" s="32" t="s">
        <v>58</v>
      </c>
      <c r="O7" s="31">
        <v>699.0</v>
      </c>
      <c r="P7" s="31">
        <v>899.0</v>
      </c>
      <c r="Q7" s="32" t="s">
        <v>59</v>
      </c>
      <c r="R7" s="32" t="s">
        <v>58</v>
      </c>
      <c r="S7" s="32" t="s">
        <v>58</v>
      </c>
      <c r="T7" s="32" t="s">
        <v>125</v>
      </c>
      <c r="U7" s="32" t="s">
        <v>126</v>
      </c>
      <c r="V7" s="32" t="s">
        <v>61</v>
      </c>
      <c r="W7" s="32" t="s">
        <v>58</v>
      </c>
      <c r="X7" s="32" t="s">
        <v>58</v>
      </c>
      <c r="Y7" s="32" t="s">
        <v>58</v>
      </c>
      <c r="Z7" s="32" t="s">
        <v>58</v>
      </c>
      <c r="AA7" s="32" t="s">
        <v>58</v>
      </c>
      <c r="AB7" s="32" t="s">
        <v>58</v>
      </c>
      <c r="AC7" s="32" t="s">
        <v>58</v>
      </c>
      <c r="AD7" s="32" t="s">
        <v>58</v>
      </c>
      <c r="AE7" s="32" t="s">
        <v>58</v>
      </c>
      <c r="AF7" s="32" t="s">
        <v>61</v>
      </c>
      <c r="AG7" s="32" t="s">
        <v>61</v>
      </c>
      <c r="AH7" s="32" t="s">
        <v>58</v>
      </c>
      <c r="AI7" s="31">
        <v>50.0</v>
      </c>
      <c r="AJ7" s="31">
        <v>2000.0</v>
      </c>
      <c r="AK7" s="31">
        <v>50.0</v>
      </c>
      <c r="AL7" s="31">
        <v>0.0</v>
      </c>
      <c r="AM7" s="32" t="s">
        <v>132</v>
      </c>
      <c r="AN7" s="31">
        <v>699.0</v>
      </c>
      <c r="AO7" s="31">
        <v>899.0</v>
      </c>
      <c r="AP7" s="34" t="s">
        <v>65</v>
      </c>
      <c r="AQ7" s="21">
        <v>2.0</v>
      </c>
    </row>
    <row r="8">
      <c r="A8" s="31">
        <v>3.0</v>
      </c>
      <c r="B8" s="32" t="s">
        <v>138</v>
      </c>
      <c r="C8" s="32" t="s">
        <v>140</v>
      </c>
      <c r="D8" s="21" t="s">
        <v>143</v>
      </c>
      <c r="E8" s="32" t="s">
        <v>49</v>
      </c>
      <c r="F8" s="35" t="s">
        <v>145</v>
      </c>
      <c r="G8" s="21" t="s">
        <v>150</v>
      </c>
      <c r="H8" s="32" t="s">
        <v>147</v>
      </c>
      <c r="I8" s="32" t="s">
        <v>148</v>
      </c>
      <c r="J8" s="32" t="s">
        <v>148</v>
      </c>
      <c r="K8" s="32" t="s">
        <v>55</v>
      </c>
      <c r="L8" s="32" t="s">
        <v>56</v>
      </c>
      <c r="M8" s="32" t="s">
        <v>57</v>
      </c>
      <c r="N8" s="32" t="s">
        <v>58</v>
      </c>
      <c r="O8" s="31">
        <v>500.0</v>
      </c>
      <c r="P8" s="31">
        <v>850.0</v>
      </c>
      <c r="Q8" s="32" t="s">
        <v>59</v>
      </c>
      <c r="R8" s="32" t="s">
        <v>58</v>
      </c>
      <c r="S8" s="32" t="s">
        <v>58</v>
      </c>
      <c r="T8" s="32"/>
      <c r="U8" s="32"/>
      <c r="V8" s="32" t="s">
        <v>61</v>
      </c>
      <c r="W8" s="32" t="s">
        <v>58</v>
      </c>
      <c r="X8" s="32" t="s">
        <v>58</v>
      </c>
      <c r="Y8" s="32" t="s">
        <v>58</v>
      </c>
      <c r="Z8" s="32" t="s">
        <v>58</v>
      </c>
      <c r="AA8" s="32" t="s">
        <v>58</v>
      </c>
      <c r="AB8" s="32" t="s">
        <v>58</v>
      </c>
      <c r="AC8" s="32" t="s">
        <v>58</v>
      </c>
      <c r="AD8" s="32" t="s">
        <v>58</v>
      </c>
      <c r="AE8" s="32" t="s">
        <v>58</v>
      </c>
      <c r="AF8" s="32" t="s">
        <v>61</v>
      </c>
      <c r="AG8" s="32" t="s">
        <v>61</v>
      </c>
      <c r="AH8" s="32" t="s">
        <v>58</v>
      </c>
      <c r="AI8" s="31">
        <v>20.0</v>
      </c>
      <c r="AJ8" s="31">
        <v>1000.0</v>
      </c>
      <c r="AK8" s="31">
        <v>20.0</v>
      </c>
      <c r="AL8" s="31">
        <v>0.0</v>
      </c>
      <c r="AM8" s="32"/>
      <c r="AN8" s="31">
        <v>500.0</v>
      </c>
      <c r="AO8" s="31">
        <v>850.0</v>
      </c>
      <c r="AP8" s="34" t="s">
        <v>65</v>
      </c>
      <c r="AQ8" s="21">
        <v>2.0</v>
      </c>
    </row>
    <row r="9">
      <c r="A9" s="31">
        <v>4.0</v>
      </c>
      <c r="B9" s="32" t="s">
        <v>164</v>
      </c>
      <c r="C9" s="32" t="s">
        <v>165</v>
      </c>
      <c r="D9" s="32" t="s">
        <v>167</v>
      </c>
      <c r="E9" s="32" t="s">
        <v>49</v>
      </c>
      <c r="F9" s="35" t="s">
        <v>171</v>
      </c>
      <c r="G9" s="21" t="s">
        <v>180</v>
      </c>
      <c r="H9" s="32" t="s">
        <v>147</v>
      </c>
      <c r="I9" s="32" t="s">
        <v>148</v>
      </c>
      <c r="J9" s="32" t="s">
        <v>148</v>
      </c>
      <c r="K9" s="32" t="s">
        <v>55</v>
      </c>
      <c r="L9" s="32" t="s">
        <v>56</v>
      </c>
      <c r="M9" s="32" t="s">
        <v>57</v>
      </c>
      <c r="N9" s="32" t="s">
        <v>58</v>
      </c>
      <c r="O9" s="31">
        <v>699.0</v>
      </c>
      <c r="P9" s="31">
        <v>799.0</v>
      </c>
      <c r="Q9" s="32" t="s">
        <v>59</v>
      </c>
      <c r="R9" s="32" t="s">
        <v>58</v>
      </c>
      <c r="S9" s="32" t="s">
        <v>58</v>
      </c>
      <c r="T9" s="32" t="s">
        <v>190</v>
      </c>
      <c r="U9" s="32"/>
      <c r="V9" s="32" t="s">
        <v>61</v>
      </c>
      <c r="W9" s="32" t="s">
        <v>58</v>
      </c>
      <c r="X9" s="32" t="s">
        <v>58</v>
      </c>
      <c r="Y9" s="32" t="s">
        <v>58</v>
      </c>
      <c r="Z9" s="32" t="s">
        <v>58</v>
      </c>
      <c r="AA9" s="32" t="s">
        <v>58</v>
      </c>
      <c r="AB9" s="32" t="s">
        <v>58</v>
      </c>
      <c r="AC9" s="32" t="s">
        <v>58</v>
      </c>
      <c r="AD9" s="32" t="s">
        <v>58</v>
      </c>
      <c r="AE9" s="32" t="s">
        <v>58</v>
      </c>
      <c r="AF9" s="32" t="s">
        <v>61</v>
      </c>
      <c r="AG9" s="32" t="s">
        <v>61</v>
      </c>
      <c r="AH9" s="32" t="s">
        <v>58</v>
      </c>
      <c r="AI9" s="31">
        <v>50.0</v>
      </c>
      <c r="AJ9" s="31">
        <v>3000.0</v>
      </c>
      <c r="AK9" s="31">
        <v>50.0</v>
      </c>
      <c r="AL9" s="31">
        <v>0.0</v>
      </c>
      <c r="AM9" s="32"/>
      <c r="AN9" s="31">
        <v>699.0</v>
      </c>
      <c r="AO9" s="31">
        <v>799.0</v>
      </c>
      <c r="AP9" s="34" t="s">
        <v>65</v>
      </c>
      <c r="AQ9" s="21">
        <v>2.0</v>
      </c>
    </row>
    <row r="10">
      <c r="A10" s="31">
        <v>5.0</v>
      </c>
      <c r="B10" s="32" t="s">
        <v>200</v>
      </c>
      <c r="C10" s="32" t="s">
        <v>202</v>
      </c>
      <c r="D10" s="21" t="s">
        <v>205</v>
      </c>
      <c r="E10" s="32" t="s">
        <v>49</v>
      </c>
      <c r="F10" s="35" t="s">
        <v>206</v>
      </c>
      <c r="G10" s="21" t="s">
        <v>213</v>
      </c>
      <c r="H10" s="32" t="s">
        <v>147</v>
      </c>
      <c r="I10" s="32" t="s">
        <v>148</v>
      </c>
      <c r="J10" s="32" t="s">
        <v>148</v>
      </c>
      <c r="K10" s="32" t="s">
        <v>55</v>
      </c>
      <c r="L10" s="32" t="s">
        <v>56</v>
      </c>
      <c r="M10" s="32" t="s">
        <v>57</v>
      </c>
      <c r="N10" s="32" t="s">
        <v>58</v>
      </c>
      <c r="O10" s="31">
        <v>1250.0</v>
      </c>
      <c r="P10" s="31">
        <v>1400.0</v>
      </c>
      <c r="Q10" s="32" t="s">
        <v>59</v>
      </c>
      <c r="R10" s="32" t="s">
        <v>58</v>
      </c>
      <c r="S10" s="32" t="s">
        <v>58</v>
      </c>
      <c r="T10" s="32"/>
      <c r="U10" s="32"/>
      <c r="V10" s="32" t="s">
        <v>61</v>
      </c>
      <c r="W10" s="32" t="s">
        <v>58</v>
      </c>
      <c r="X10" s="32" t="s">
        <v>58</v>
      </c>
      <c r="Y10" s="32" t="s">
        <v>58</v>
      </c>
      <c r="Z10" s="32" t="s">
        <v>58</v>
      </c>
      <c r="AA10" s="32" t="s">
        <v>58</v>
      </c>
      <c r="AB10" s="32" t="s">
        <v>58</v>
      </c>
      <c r="AC10" s="32" t="s">
        <v>58</v>
      </c>
      <c r="AD10" s="32" t="s">
        <v>58</v>
      </c>
      <c r="AE10" s="32" t="s">
        <v>58</v>
      </c>
      <c r="AF10" s="32" t="s">
        <v>61</v>
      </c>
      <c r="AG10" s="32" t="s">
        <v>61</v>
      </c>
      <c r="AH10" s="32" t="s">
        <v>58</v>
      </c>
      <c r="AI10" s="31">
        <v>100.0</v>
      </c>
      <c r="AJ10" s="31">
        <v>5000.0</v>
      </c>
      <c r="AK10" s="31">
        <v>100.0</v>
      </c>
      <c r="AL10" s="31">
        <v>0.0</v>
      </c>
      <c r="AM10" s="32"/>
      <c r="AN10" s="31">
        <v>1250.0</v>
      </c>
      <c r="AO10" s="31">
        <v>1400.0</v>
      </c>
      <c r="AP10" s="34" t="s">
        <v>65</v>
      </c>
      <c r="AQ10" s="21">
        <v>2.0</v>
      </c>
    </row>
    <row r="11">
      <c r="A11" s="31">
        <v>6.0</v>
      </c>
      <c r="B11" s="32" t="s">
        <v>223</v>
      </c>
      <c r="C11" s="32" t="s">
        <v>224</v>
      </c>
      <c r="D11" s="21" t="s">
        <v>225</v>
      </c>
      <c r="E11" s="32" t="s">
        <v>49</v>
      </c>
      <c r="F11" s="40" t="s">
        <v>226</v>
      </c>
      <c r="G11" s="32" t="s">
        <v>230</v>
      </c>
      <c r="H11" s="32" t="s">
        <v>147</v>
      </c>
      <c r="I11" s="32" t="s">
        <v>148</v>
      </c>
      <c r="J11" s="32" t="s">
        <v>148</v>
      </c>
      <c r="K11" s="32" t="s">
        <v>55</v>
      </c>
      <c r="L11" s="32" t="s">
        <v>56</v>
      </c>
      <c r="M11" s="32" t="s">
        <v>57</v>
      </c>
      <c r="N11" s="32" t="s">
        <v>58</v>
      </c>
      <c r="O11" s="31">
        <v>700.0</v>
      </c>
      <c r="P11" s="31">
        <v>1000.0</v>
      </c>
      <c r="Q11" s="32" t="s">
        <v>59</v>
      </c>
      <c r="R11" s="32" t="s">
        <v>58</v>
      </c>
      <c r="S11" s="32" t="s">
        <v>58</v>
      </c>
      <c r="T11" s="32"/>
      <c r="U11" s="32"/>
      <c r="V11" s="32" t="s">
        <v>61</v>
      </c>
      <c r="W11" s="32" t="s">
        <v>58</v>
      </c>
      <c r="X11" s="32" t="s">
        <v>58</v>
      </c>
      <c r="Y11" s="32" t="s">
        <v>58</v>
      </c>
      <c r="Z11" s="32" t="s">
        <v>58</v>
      </c>
      <c r="AA11" s="32" t="s">
        <v>58</v>
      </c>
      <c r="AB11" s="32" t="s">
        <v>58</v>
      </c>
      <c r="AC11" s="32" t="s">
        <v>58</v>
      </c>
      <c r="AD11" s="32" t="s">
        <v>58</v>
      </c>
      <c r="AE11" s="32" t="s">
        <v>58</v>
      </c>
      <c r="AF11" s="32" t="s">
        <v>61</v>
      </c>
      <c r="AG11" s="32" t="s">
        <v>61</v>
      </c>
      <c r="AH11" s="32" t="s">
        <v>58</v>
      </c>
      <c r="AI11" s="31">
        <v>100.0</v>
      </c>
      <c r="AJ11" s="31">
        <v>5000.0</v>
      </c>
      <c r="AK11" s="31">
        <v>100.0</v>
      </c>
      <c r="AL11" s="31">
        <v>0.0</v>
      </c>
      <c r="AM11" s="32"/>
      <c r="AN11" s="31">
        <v>700.0</v>
      </c>
      <c r="AO11" s="31">
        <v>1000.0</v>
      </c>
      <c r="AP11" s="34" t="s">
        <v>65</v>
      </c>
      <c r="AQ11" s="21">
        <v>2.0</v>
      </c>
    </row>
    <row r="12">
      <c r="A12" s="19">
        <v>7.0</v>
      </c>
      <c r="B12" s="20" t="s">
        <v>242</v>
      </c>
      <c r="C12" s="20" t="s">
        <v>244</v>
      </c>
      <c r="D12" s="29" t="s">
        <v>247</v>
      </c>
      <c r="E12" s="20" t="s">
        <v>49</v>
      </c>
      <c r="F12" s="29" t="s">
        <v>69</v>
      </c>
      <c r="G12" s="29">
        <v>7.947113889E9</v>
      </c>
      <c r="H12" s="20" t="s">
        <v>147</v>
      </c>
      <c r="I12" s="20" t="s">
        <v>148</v>
      </c>
      <c r="J12" s="20" t="s">
        <v>148</v>
      </c>
      <c r="K12" s="20" t="s">
        <v>55</v>
      </c>
      <c r="L12" s="20" t="s">
        <v>56</v>
      </c>
      <c r="M12" s="20" t="s">
        <v>57</v>
      </c>
      <c r="N12" s="20" t="s">
        <v>58</v>
      </c>
      <c r="O12" s="19">
        <v>800.0</v>
      </c>
      <c r="P12" s="19">
        <v>1000.0</v>
      </c>
      <c r="Q12" s="20" t="s">
        <v>59</v>
      </c>
      <c r="R12" s="20" t="s">
        <v>58</v>
      </c>
      <c r="S12" s="20" t="s">
        <v>58</v>
      </c>
      <c r="T12" s="20"/>
      <c r="U12" s="20"/>
      <c r="V12" s="20" t="s">
        <v>61</v>
      </c>
      <c r="W12" s="20" t="s">
        <v>58</v>
      </c>
      <c r="X12" s="20" t="s">
        <v>58</v>
      </c>
      <c r="Y12" s="20" t="s">
        <v>58</v>
      </c>
      <c r="Z12" s="20" t="s">
        <v>58</v>
      </c>
      <c r="AA12" s="20" t="s">
        <v>58</v>
      </c>
      <c r="AB12" s="20" t="s">
        <v>58</v>
      </c>
      <c r="AC12" s="20" t="s">
        <v>58</v>
      </c>
      <c r="AD12" s="20" t="s">
        <v>58</v>
      </c>
      <c r="AE12" s="20" t="s">
        <v>58</v>
      </c>
      <c r="AF12" s="20" t="s">
        <v>61</v>
      </c>
      <c r="AG12" s="20" t="s">
        <v>61</v>
      </c>
      <c r="AH12" s="20" t="s">
        <v>58</v>
      </c>
      <c r="AI12" s="19">
        <v>40.0</v>
      </c>
      <c r="AJ12" s="19">
        <v>700.0</v>
      </c>
      <c r="AK12" s="19">
        <v>40.0</v>
      </c>
      <c r="AL12" s="19">
        <v>0.0</v>
      </c>
      <c r="AM12" s="20"/>
      <c r="AN12" s="19">
        <v>800.0</v>
      </c>
      <c r="AO12" s="19">
        <v>1000.0</v>
      </c>
      <c r="AP12" s="26" t="s">
        <v>65</v>
      </c>
      <c r="AQ12" s="19"/>
    </row>
    <row r="13">
      <c r="A13" s="31">
        <v>8.0</v>
      </c>
      <c r="B13" s="32" t="s">
        <v>255</v>
      </c>
      <c r="C13" s="32" t="s">
        <v>256</v>
      </c>
      <c r="D13" s="21" t="s">
        <v>258</v>
      </c>
      <c r="E13" s="32" t="s">
        <v>49</v>
      </c>
      <c r="F13" s="40" t="s">
        <v>260</v>
      </c>
      <c r="G13" s="32" t="s">
        <v>272</v>
      </c>
      <c r="H13" s="32" t="s">
        <v>273</v>
      </c>
      <c r="I13" s="32" t="s">
        <v>274</v>
      </c>
      <c r="J13" s="32" t="s">
        <v>274</v>
      </c>
      <c r="K13" s="32" t="s">
        <v>55</v>
      </c>
      <c r="L13" s="32" t="s">
        <v>56</v>
      </c>
      <c r="M13" s="32" t="s">
        <v>57</v>
      </c>
      <c r="N13" s="32" t="s">
        <v>58</v>
      </c>
      <c r="O13" s="31">
        <v>800.0</v>
      </c>
      <c r="P13" s="31">
        <v>1200.0</v>
      </c>
      <c r="Q13" s="32" t="s">
        <v>59</v>
      </c>
      <c r="R13" s="32" t="s">
        <v>58</v>
      </c>
      <c r="S13" s="32" t="s">
        <v>58</v>
      </c>
      <c r="T13" s="32"/>
      <c r="U13" s="32"/>
      <c r="V13" s="32" t="s">
        <v>61</v>
      </c>
      <c r="W13" s="32" t="s">
        <v>58</v>
      </c>
      <c r="X13" s="32" t="s">
        <v>58</v>
      </c>
      <c r="Y13" s="32" t="s">
        <v>58</v>
      </c>
      <c r="Z13" s="32" t="s">
        <v>58</v>
      </c>
      <c r="AA13" s="32" t="s">
        <v>58</v>
      </c>
      <c r="AB13" s="32" t="s">
        <v>58</v>
      </c>
      <c r="AC13" s="32" t="s">
        <v>58</v>
      </c>
      <c r="AD13" s="32" t="s">
        <v>58</v>
      </c>
      <c r="AE13" s="32" t="s">
        <v>58</v>
      </c>
      <c r="AF13" s="32" t="s">
        <v>61</v>
      </c>
      <c r="AG13" s="32" t="s">
        <v>61</v>
      </c>
      <c r="AH13" s="32" t="s">
        <v>58</v>
      </c>
      <c r="AI13" s="31">
        <v>150.0</v>
      </c>
      <c r="AJ13" s="31">
        <v>4000.0</v>
      </c>
      <c r="AK13" s="31">
        <v>150.0</v>
      </c>
      <c r="AL13" s="31">
        <v>0.0</v>
      </c>
      <c r="AM13" s="32"/>
      <c r="AN13" s="31">
        <v>800.0</v>
      </c>
      <c r="AO13" s="31">
        <v>1200.0</v>
      </c>
      <c r="AP13" s="34" t="s">
        <v>65</v>
      </c>
      <c r="AQ13" s="21">
        <v>2.0</v>
      </c>
    </row>
    <row r="14">
      <c r="A14" s="31">
        <v>9.0</v>
      </c>
      <c r="B14" s="32" t="s">
        <v>257</v>
      </c>
      <c r="C14" s="32" t="s">
        <v>292</v>
      </c>
      <c r="D14" s="21" t="s">
        <v>293</v>
      </c>
      <c r="E14" s="32" t="s">
        <v>49</v>
      </c>
      <c r="F14" s="35" t="s">
        <v>294</v>
      </c>
      <c r="G14" s="21">
        <v>9.343833908E9</v>
      </c>
      <c r="H14" s="32" t="s">
        <v>118</v>
      </c>
      <c r="I14" s="32" t="s">
        <v>92</v>
      </c>
      <c r="J14" s="32" t="s">
        <v>92</v>
      </c>
      <c r="K14" s="32" t="s">
        <v>55</v>
      </c>
      <c r="L14" s="32" t="s">
        <v>56</v>
      </c>
      <c r="M14" s="32" t="s">
        <v>57</v>
      </c>
      <c r="N14" s="32" t="s">
        <v>58</v>
      </c>
      <c r="O14" s="31">
        <v>2000.0</v>
      </c>
      <c r="P14" s="31">
        <v>2300.0</v>
      </c>
      <c r="Q14" s="32" t="s">
        <v>59</v>
      </c>
      <c r="R14" s="32" t="s">
        <v>58</v>
      </c>
      <c r="S14" s="32" t="s">
        <v>58</v>
      </c>
      <c r="T14" s="32"/>
      <c r="U14" s="32"/>
      <c r="V14" s="32" t="s">
        <v>61</v>
      </c>
      <c r="W14" s="32" t="s">
        <v>58</v>
      </c>
      <c r="X14" s="32" t="s">
        <v>58</v>
      </c>
      <c r="Y14" s="32" t="s">
        <v>58</v>
      </c>
      <c r="Z14" s="32" t="s">
        <v>58</v>
      </c>
      <c r="AA14" s="32" t="s">
        <v>58</v>
      </c>
      <c r="AB14" s="32" t="s">
        <v>58</v>
      </c>
      <c r="AC14" s="32" t="s">
        <v>58</v>
      </c>
      <c r="AD14" s="32" t="s">
        <v>58</v>
      </c>
      <c r="AE14" s="32" t="s">
        <v>58</v>
      </c>
      <c r="AF14" s="32" t="s">
        <v>61</v>
      </c>
      <c r="AG14" s="32" t="s">
        <v>61</v>
      </c>
      <c r="AH14" s="32" t="s">
        <v>58</v>
      </c>
      <c r="AI14" s="31">
        <v>0.0</v>
      </c>
      <c r="AJ14" s="31">
        <v>0.0</v>
      </c>
      <c r="AK14" s="31">
        <v>0.0</v>
      </c>
      <c r="AL14" s="31">
        <v>0.0</v>
      </c>
      <c r="AM14" s="32"/>
      <c r="AN14" s="31">
        <v>2000.0</v>
      </c>
      <c r="AO14" s="31">
        <v>2300.0</v>
      </c>
      <c r="AP14" s="34" t="s">
        <v>65</v>
      </c>
      <c r="AQ14" s="21">
        <v>2.0</v>
      </c>
    </row>
    <row r="15">
      <c r="A15" s="31">
        <v>10.0</v>
      </c>
      <c r="B15" s="32" t="s">
        <v>295</v>
      </c>
      <c r="C15" s="32" t="s">
        <v>296</v>
      </c>
      <c r="D15" s="32" t="s">
        <v>297</v>
      </c>
      <c r="E15" s="32" t="s">
        <v>49</v>
      </c>
      <c r="F15" s="35" t="s">
        <v>306</v>
      </c>
      <c r="G15" s="21" t="s">
        <v>316</v>
      </c>
      <c r="H15" s="32" t="s">
        <v>302</v>
      </c>
      <c r="I15" s="32" t="s">
        <v>303</v>
      </c>
      <c r="J15" s="32" t="s">
        <v>74</v>
      </c>
      <c r="K15" s="32" t="s">
        <v>55</v>
      </c>
      <c r="L15" s="32" t="s">
        <v>56</v>
      </c>
      <c r="M15" s="32" t="s">
        <v>57</v>
      </c>
      <c r="N15" s="32" t="s">
        <v>58</v>
      </c>
      <c r="O15" s="31">
        <v>1000.0</v>
      </c>
      <c r="P15" s="31">
        <v>2000.0</v>
      </c>
      <c r="Q15" s="32" t="s">
        <v>59</v>
      </c>
      <c r="R15" s="32" t="s">
        <v>58</v>
      </c>
      <c r="S15" s="32" t="s">
        <v>58</v>
      </c>
      <c r="T15" s="32" t="s">
        <v>320</v>
      </c>
      <c r="U15" s="32"/>
      <c r="V15" s="32" t="s">
        <v>61</v>
      </c>
      <c r="W15" s="32" t="s">
        <v>58</v>
      </c>
      <c r="X15" s="32" t="s">
        <v>58</v>
      </c>
      <c r="Y15" s="32" t="s">
        <v>58</v>
      </c>
      <c r="Z15" s="32" t="s">
        <v>58</v>
      </c>
      <c r="AA15" s="32" t="s">
        <v>58</v>
      </c>
      <c r="AB15" s="32" t="s">
        <v>58</v>
      </c>
      <c r="AC15" s="32" t="s">
        <v>58</v>
      </c>
      <c r="AD15" s="32" t="s">
        <v>58</v>
      </c>
      <c r="AE15" s="32" t="s">
        <v>58</v>
      </c>
      <c r="AF15" s="32" t="s">
        <v>61</v>
      </c>
      <c r="AG15" s="32" t="s">
        <v>61</v>
      </c>
      <c r="AH15" s="32" t="s">
        <v>58</v>
      </c>
      <c r="AI15" s="31">
        <v>50.0</v>
      </c>
      <c r="AJ15" s="31">
        <v>3000.0</v>
      </c>
      <c r="AK15" s="31">
        <v>50.0</v>
      </c>
      <c r="AL15" s="31">
        <v>0.0</v>
      </c>
      <c r="AM15" s="32"/>
      <c r="AN15" s="31">
        <v>1000.0</v>
      </c>
      <c r="AO15" s="31">
        <v>2000.0</v>
      </c>
      <c r="AP15" s="34" t="s">
        <v>65</v>
      </c>
      <c r="AQ15" s="21">
        <v>2.0</v>
      </c>
    </row>
    <row r="16">
      <c r="A16" s="19">
        <v>11.0</v>
      </c>
      <c r="B16" s="20" t="s">
        <v>64</v>
      </c>
      <c r="C16" s="20" t="s">
        <v>66</v>
      </c>
      <c r="D16" s="20" t="s">
        <v>67</v>
      </c>
      <c r="E16" s="20" t="s">
        <v>49</v>
      </c>
      <c r="F16" s="29" t="s">
        <v>69</v>
      </c>
      <c r="G16" s="29" t="s">
        <v>69</v>
      </c>
      <c r="H16" s="20" t="s">
        <v>72</v>
      </c>
      <c r="I16" s="20" t="s">
        <v>73</v>
      </c>
      <c r="J16" s="20" t="s">
        <v>74</v>
      </c>
      <c r="K16" s="20" t="s">
        <v>55</v>
      </c>
      <c r="L16" s="20" t="s">
        <v>56</v>
      </c>
      <c r="M16" s="20" t="s">
        <v>57</v>
      </c>
      <c r="N16" s="20" t="s">
        <v>58</v>
      </c>
      <c r="O16" s="19">
        <v>2999.0</v>
      </c>
      <c r="P16" s="19">
        <v>2999.0</v>
      </c>
      <c r="Q16" s="20" t="s">
        <v>59</v>
      </c>
      <c r="R16" s="20" t="s">
        <v>58</v>
      </c>
      <c r="S16" s="20" t="s">
        <v>58</v>
      </c>
      <c r="T16" s="20"/>
      <c r="U16" s="20"/>
      <c r="V16" s="20" t="s">
        <v>61</v>
      </c>
      <c r="W16" s="20" t="s">
        <v>58</v>
      </c>
      <c r="X16" s="20" t="s">
        <v>58</v>
      </c>
      <c r="Y16" s="20" t="s">
        <v>58</v>
      </c>
      <c r="Z16" s="20" t="s">
        <v>58</v>
      </c>
      <c r="AA16" s="20" t="s">
        <v>58</v>
      </c>
      <c r="AB16" s="20" t="s">
        <v>58</v>
      </c>
      <c r="AC16" s="20" t="s">
        <v>58</v>
      </c>
      <c r="AD16" s="20" t="s">
        <v>58</v>
      </c>
      <c r="AE16" s="20" t="s">
        <v>58</v>
      </c>
      <c r="AF16" s="20" t="s">
        <v>61</v>
      </c>
      <c r="AG16" s="20" t="s">
        <v>61</v>
      </c>
      <c r="AH16" s="20" t="s">
        <v>58</v>
      </c>
      <c r="AI16" s="19">
        <v>50.0</v>
      </c>
      <c r="AJ16" s="19">
        <v>1500.0</v>
      </c>
      <c r="AK16" s="19">
        <v>50.0</v>
      </c>
      <c r="AL16" s="19">
        <v>0.0</v>
      </c>
      <c r="AM16" s="20"/>
      <c r="AN16" s="19">
        <v>2999.0</v>
      </c>
      <c r="AO16" s="19">
        <v>2999.0</v>
      </c>
      <c r="AP16" s="26" t="s">
        <v>65</v>
      </c>
      <c r="AQ16" s="19"/>
    </row>
    <row r="17">
      <c r="A17" s="31">
        <v>12.0</v>
      </c>
      <c r="B17" s="32" t="s">
        <v>340</v>
      </c>
      <c r="C17" s="32" t="s">
        <v>343</v>
      </c>
      <c r="D17" s="21" t="s">
        <v>346</v>
      </c>
      <c r="E17" s="32" t="s">
        <v>49</v>
      </c>
      <c r="F17" s="40" t="s">
        <v>241</v>
      </c>
      <c r="G17" s="32">
        <f>919650172955
</f>
        <v>919650172955</v>
      </c>
      <c r="H17" s="32" t="s">
        <v>147</v>
      </c>
      <c r="I17" s="32" t="s">
        <v>148</v>
      </c>
      <c r="J17" s="32" t="s">
        <v>148</v>
      </c>
      <c r="K17" s="32" t="s">
        <v>55</v>
      </c>
      <c r="L17" s="32" t="s">
        <v>56</v>
      </c>
      <c r="M17" s="32" t="s">
        <v>57</v>
      </c>
      <c r="N17" s="32" t="s">
        <v>58</v>
      </c>
      <c r="O17" s="31">
        <v>800.0</v>
      </c>
      <c r="P17" s="31">
        <v>1200.0</v>
      </c>
      <c r="Q17" s="32" t="s">
        <v>59</v>
      </c>
      <c r="R17" s="32" t="s">
        <v>58</v>
      </c>
      <c r="S17" s="32" t="s">
        <v>58</v>
      </c>
      <c r="T17" s="32"/>
      <c r="U17" s="32"/>
      <c r="V17" s="32" t="s">
        <v>61</v>
      </c>
      <c r="W17" s="32" t="s">
        <v>58</v>
      </c>
      <c r="X17" s="32" t="s">
        <v>58</v>
      </c>
      <c r="Y17" s="32" t="s">
        <v>58</v>
      </c>
      <c r="Z17" s="32" t="s">
        <v>58</v>
      </c>
      <c r="AA17" s="32" t="s">
        <v>58</v>
      </c>
      <c r="AB17" s="32" t="s">
        <v>58</v>
      </c>
      <c r="AC17" s="32" t="s">
        <v>58</v>
      </c>
      <c r="AD17" s="32" t="s">
        <v>58</v>
      </c>
      <c r="AE17" s="32" t="s">
        <v>58</v>
      </c>
      <c r="AF17" s="32" t="s">
        <v>61</v>
      </c>
      <c r="AG17" s="32" t="s">
        <v>61</v>
      </c>
      <c r="AH17" s="32" t="s">
        <v>58</v>
      </c>
      <c r="AI17" s="31">
        <v>100.0</v>
      </c>
      <c r="AJ17" s="31">
        <v>5000.0</v>
      </c>
      <c r="AK17" s="31">
        <v>100.0</v>
      </c>
      <c r="AL17" s="31">
        <v>0.0</v>
      </c>
      <c r="AM17" s="32"/>
      <c r="AN17" s="31">
        <v>800.0</v>
      </c>
      <c r="AO17" s="31">
        <v>1200.0</v>
      </c>
      <c r="AP17" s="34" t="s">
        <v>65</v>
      </c>
      <c r="AQ17" s="21">
        <v>2.0</v>
      </c>
    </row>
    <row r="18">
      <c r="A18" s="19">
        <v>13.0</v>
      </c>
      <c r="B18" s="20" t="s">
        <v>364</v>
      </c>
      <c r="C18" s="20" t="s">
        <v>366</v>
      </c>
      <c r="D18" s="29" t="s">
        <v>368</v>
      </c>
      <c r="E18" s="20" t="s">
        <v>49</v>
      </c>
      <c r="F18" s="29" t="s">
        <v>69</v>
      </c>
      <c r="G18" s="29" t="s">
        <v>370</v>
      </c>
      <c r="H18" s="20" t="s">
        <v>147</v>
      </c>
      <c r="I18" s="20" t="s">
        <v>148</v>
      </c>
      <c r="J18" s="20" t="s">
        <v>148</v>
      </c>
      <c r="K18" s="20" t="s">
        <v>55</v>
      </c>
      <c r="L18" s="20" t="s">
        <v>56</v>
      </c>
      <c r="M18" s="20" t="s">
        <v>57</v>
      </c>
      <c r="N18" s="20" t="s">
        <v>58</v>
      </c>
      <c r="O18" s="19">
        <v>400.0</v>
      </c>
      <c r="P18" s="20"/>
      <c r="Q18" s="20" t="s">
        <v>59</v>
      </c>
      <c r="R18" s="20" t="s">
        <v>58</v>
      </c>
      <c r="S18" s="20" t="s">
        <v>58</v>
      </c>
      <c r="T18" s="20"/>
      <c r="U18" s="20"/>
      <c r="V18" s="20" t="s">
        <v>61</v>
      </c>
      <c r="W18" s="20" t="s">
        <v>58</v>
      </c>
      <c r="X18" s="20" t="s">
        <v>58</v>
      </c>
      <c r="Y18" s="20" t="s">
        <v>58</v>
      </c>
      <c r="Z18" s="20" t="s">
        <v>58</v>
      </c>
      <c r="AA18" s="20" t="s">
        <v>58</v>
      </c>
      <c r="AB18" s="20" t="s">
        <v>58</v>
      </c>
      <c r="AC18" s="20" t="s">
        <v>58</v>
      </c>
      <c r="AD18" s="20" t="s">
        <v>58</v>
      </c>
      <c r="AE18" s="20" t="s">
        <v>58</v>
      </c>
      <c r="AF18" s="20" t="s">
        <v>61</v>
      </c>
      <c r="AG18" s="20" t="s">
        <v>61</v>
      </c>
      <c r="AH18" s="20" t="s">
        <v>58</v>
      </c>
      <c r="AI18" s="19">
        <v>50.0</v>
      </c>
      <c r="AJ18" s="19">
        <v>1000.0</v>
      </c>
      <c r="AK18" s="19">
        <v>50.0</v>
      </c>
      <c r="AL18" s="19">
        <v>0.0</v>
      </c>
      <c r="AM18" s="20"/>
      <c r="AN18" s="19">
        <v>400.0</v>
      </c>
      <c r="AO18" s="19">
        <v>0.0</v>
      </c>
      <c r="AP18" s="26" t="s">
        <v>65</v>
      </c>
      <c r="AQ18" s="19"/>
    </row>
    <row r="19">
      <c r="A19" s="31">
        <v>14.0</v>
      </c>
      <c r="B19" s="32" t="s">
        <v>380</v>
      </c>
      <c r="C19" s="32" t="s">
        <v>381</v>
      </c>
      <c r="D19" s="21" t="s">
        <v>382</v>
      </c>
      <c r="E19" s="32" t="s">
        <v>49</v>
      </c>
      <c r="F19" s="35" t="s">
        <v>385</v>
      </c>
      <c r="G19" s="21" t="s">
        <v>395</v>
      </c>
      <c r="H19" s="32" t="s">
        <v>147</v>
      </c>
      <c r="I19" s="32" t="s">
        <v>148</v>
      </c>
      <c r="J19" s="32" t="s">
        <v>148</v>
      </c>
      <c r="K19" s="32" t="s">
        <v>55</v>
      </c>
      <c r="L19" s="32" t="s">
        <v>56</v>
      </c>
      <c r="M19" s="32" t="s">
        <v>57</v>
      </c>
      <c r="N19" s="32" t="s">
        <v>58</v>
      </c>
      <c r="O19" s="31">
        <v>2300.0</v>
      </c>
      <c r="P19" s="31">
        <v>2500.0</v>
      </c>
      <c r="Q19" s="32" t="s">
        <v>59</v>
      </c>
      <c r="R19" s="32" t="s">
        <v>58</v>
      </c>
      <c r="S19" s="32" t="s">
        <v>58</v>
      </c>
      <c r="T19" s="32"/>
      <c r="U19" s="32"/>
      <c r="V19" s="32" t="s">
        <v>61</v>
      </c>
      <c r="W19" s="32" t="s">
        <v>58</v>
      </c>
      <c r="X19" s="32" t="s">
        <v>58</v>
      </c>
      <c r="Y19" s="32" t="s">
        <v>58</v>
      </c>
      <c r="Z19" s="32" t="s">
        <v>58</v>
      </c>
      <c r="AA19" s="32" t="s">
        <v>58</v>
      </c>
      <c r="AB19" s="32" t="s">
        <v>58</v>
      </c>
      <c r="AC19" s="32" t="s">
        <v>58</v>
      </c>
      <c r="AD19" s="32" t="s">
        <v>58</v>
      </c>
      <c r="AE19" s="32" t="s">
        <v>58</v>
      </c>
      <c r="AF19" s="32" t="s">
        <v>61</v>
      </c>
      <c r="AG19" s="32" t="s">
        <v>61</v>
      </c>
      <c r="AH19" s="32" t="s">
        <v>58</v>
      </c>
      <c r="AI19" s="31">
        <v>50.0</v>
      </c>
      <c r="AJ19" s="31">
        <v>500.0</v>
      </c>
      <c r="AK19" s="31">
        <v>50.0</v>
      </c>
      <c r="AL19" s="31">
        <v>0.0</v>
      </c>
      <c r="AM19" s="32"/>
      <c r="AN19" s="31">
        <v>2300.0</v>
      </c>
      <c r="AO19" s="31">
        <v>2500.0</v>
      </c>
      <c r="AP19" s="21" t="s">
        <v>65</v>
      </c>
      <c r="AQ19" s="21">
        <v>2.0</v>
      </c>
    </row>
    <row r="20">
      <c r="A20" s="31">
        <v>15.0</v>
      </c>
      <c r="B20" s="32" t="s">
        <v>403</v>
      </c>
      <c r="C20" s="32" t="s">
        <v>404</v>
      </c>
      <c r="D20" s="21" t="s">
        <v>405</v>
      </c>
      <c r="E20" s="32" t="s">
        <v>49</v>
      </c>
      <c r="F20" s="40" t="s">
        <v>406</v>
      </c>
      <c r="G20" s="32" t="s">
        <v>409</v>
      </c>
      <c r="H20" s="32" t="s">
        <v>147</v>
      </c>
      <c r="I20" s="32" t="s">
        <v>148</v>
      </c>
      <c r="J20" s="32" t="s">
        <v>148</v>
      </c>
      <c r="K20" s="32" t="s">
        <v>55</v>
      </c>
      <c r="L20" s="32" t="s">
        <v>56</v>
      </c>
      <c r="M20" s="32" t="s">
        <v>57</v>
      </c>
      <c r="N20" s="32" t="s">
        <v>58</v>
      </c>
      <c r="O20" s="31">
        <v>350.0</v>
      </c>
      <c r="P20" s="31">
        <v>850.0</v>
      </c>
      <c r="Q20" s="32" t="s">
        <v>59</v>
      </c>
      <c r="R20" s="32" t="s">
        <v>58</v>
      </c>
      <c r="S20" s="32" t="s">
        <v>58</v>
      </c>
      <c r="T20" s="32"/>
      <c r="U20" s="32"/>
      <c r="V20" s="32" t="s">
        <v>61</v>
      </c>
      <c r="W20" s="32" t="s">
        <v>58</v>
      </c>
      <c r="X20" s="32" t="s">
        <v>58</v>
      </c>
      <c r="Y20" s="32" t="s">
        <v>58</v>
      </c>
      <c r="Z20" s="32" t="s">
        <v>58</v>
      </c>
      <c r="AA20" s="32" t="s">
        <v>58</v>
      </c>
      <c r="AB20" s="32" t="s">
        <v>58</v>
      </c>
      <c r="AC20" s="32" t="s">
        <v>58</v>
      </c>
      <c r="AD20" s="32" t="s">
        <v>58</v>
      </c>
      <c r="AE20" s="32" t="s">
        <v>58</v>
      </c>
      <c r="AF20" s="32" t="s">
        <v>61</v>
      </c>
      <c r="AG20" s="32" t="s">
        <v>61</v>
      </c>
      <c r="AH20" s="32" t="s">
        <v>58</v>
      </c>
      <c r="AI20" s="31">
        <v>20.0</v>
      </c>
      <c r="AJ20" s="31">
        <v>5000.0</v>
      </c>
      <c r="AK20" s="31">
        <v>20.0</v>
      </c>
      <c r="AL20" s="31">
        <v>0.0</v>
      </c>
      <c r="AM20" s="32"/>
      <c r="AN20" s="31">
        <v>350.0</v>
      </c>
      <c r="AO20" s="31">
        <v>850.0</v>
      </c>
      <c r="AP20" s="34" t="s">
        <v>65</v>
      </c>
      <c r="AQ20" s="21">
        <v>2.0</v>
      </c>
    </row>
    <row r="21">
      <c r="A21" s="19">
        <v>16.0</v>
      </c>
      <c r="B21" s="20" t="s">
        <v>417</v>
      </c>
      <c r="C21" s="20" t="s">
        <v>418</v>
      </c>
      <c r="D21" s="29" t="s">
        <v>419</v>
      </c>
      <c r="E21" s="20" t="s">
        <v>49</v>
      </c>
      <c r="F21" s="29" t="s">
        <v>69</v>
      </c>
      <c r="G21" s="29" t="s">
        <v>69</v>
      </c>
      <c r="H21" s="20" t="s">
        <v>147</v>
      </c>
      <c r="I21" s="20" t="s">
        <v>148</v>
      </c>
      <c r="J21" s="20" t="s">
        <v>148</v>
      </c>
      <c r="K21" s="20" t="s">
        <v>55</v>
      </c>
      <c r="L21" s="20" t="s">
        <v>56</v>
      </c>
      <c r="M21" s="20" t="s">
        <v>57</v>
      </c>
      <c r="N21" s="20" t="s">
        <v>58</v>
      </c>
      <c r="O21" s="19">
        <v>450.0</v>
      </c>
      <c r="P21" s="19">
        <v>850.0</v>
      </c>
      <c r="Q21" s="20" t="s">
        <v>59</v>
      </c>
      <c r="R21" s="20" t="s">
        <v>58</v>
      </c>
      <c r="S21" s="20" t="s">
        <v>58</v>
      </c>
      <c r="T21" s="20"/>
      <c r="U21" s="20"/>
      <c r="V21" s="20" t="s">
        <v>61</v>
      </c>
      <c r="W21" s="20" t="s">
        <v>58</v>
      </c>
      <c r="X21" s="20" t="s">
        <v>58</v>
      </c>
      <c r="Y21" s="20" t="s">
        <v>58</v>
      </c>
      <c r="Z21" s="20" t="s">
        <v>58</v>
      </c>
      <c r="AA21" s="20" t="s">
        <v>58</v>
      </c>
      <c r="AB21" s="20" t="s">
        <v>58</v>
      </c>
      <c r="AC21" s="20" t="s">
        <v>58</v>
      </c>
      <c r="AD21" s="20" t="s">
        <v>58</v>
      </c>
      <c r="AE21" s="20" t="s">
        <v>58</v>
      </c>
      <c r="AF21" s="20" t="s">
        <v>61</v>
      </c>
      <c r="AG21" s="20" t="s">
        <v>61</v>
      </c>
      <c r="AH21" s="20" t="s">
        <v>58</v>
      </c>
      <c r="AI21" s="19">
        <v>50.0</v>
      </c>
      <c r="AJ21" s="19">
        <v>1000.0</v>
      </c>
      <c r="AK21" s="19">
        <v>50.0</v>
      </c>
      <c r="AL21" s="19">
        <v>0.0</v>
      </c>
      <c r="AM21" s="20"/>
      <c r="AN21" s="19">
        <v>450.0</v>
      </c>
      <c r="AO21" s="19">
        <v>850.0</v>
      </c>
      <c r="AP21" s="26" t="s">
        <v>65</v>
      </c>
      <c r="AQ21" s="19"/>
    </row>
    <row r="22">
      <c r="A22" s="19">
        <v>17.0</v>
      </c>
      <c r="B22" s="20" t="s">
        <v>424</v>
      </c>
      <c r="C22" s="20" t="s">
        <v>425</v>
      </c>
      <c r="D22" s="29" t="s">
        <v>426</v>
      </c>
      <c r="E22" s="20" t="s">
        <v>49</v>
      </c>
      <c r="F22" s="29" t="s">
        <v>69</v>
      </c>
      <c r="G22" s="29">
        <v>7.942686052E9</v>
      </c>
      <c r="H22" s="20" t="s">
        <v>147</v>
      </c>
      <c r="I22" s="20" t="s">
        <v>148</v>
      </c>
      <c r="J22" s="20" t="s">
        <v>148</v>
      </c>
      <c r="K22" s="20" t="s">
        <v>55</v>
      </c>
      <c r="L22" s="20" t="s">
        <v>56</v>
      </c>
      <c r="M22" s="20" t="s">
        <v>57</v>
      </c>
      <c r="N22" s="20" t="s">
        <v>58</v>
      </c>
      <c r="O22" s="19">
        <v>950.0</v>
      </c>
      <c r="P22" s="19">
        <v>1050.0</v>
      </c>
      <c r="Q22" s="20" t="s">
        <v>59</v>
      </c>
      <c r="R22" s="20" t="s">
        <v>58</v>
      </c>
      <c r="S22" s="20" t="s">
        <v>58</v>
      </c>
      <c r="T22" s="20"/>
      <c r="U22" s="20"/>
      <c r="V22" s="20" t="s">
        <v>61</v>
      </c>
      <c r="W22" s="20" t="s">
        <v>58</v>
      </c>
      <c r="X22" s="20" t="s">
        <v>58</v>
      </c>
      <c r="Y22" s="20" t="s">
        <v>58</v>
      </c>
      <c r="Z22" s="20" t="s">
        <v>58</v>
      </c>
      <c r="AA22" s="20" t="s">
        <v>58</v>
      </c>
      <c r="AB22" s="20" t="s">
        <v>58</v>
      </c>
      <c r="AC22" s="20" t="s">
        <v>58</v>
      </c>
      <c r="AD22" s="20" t="s">
        <v>58</v>
      </c>
      <c r="AE22" s="20" t="s">
        <v>58</v>
      </c>
      <c r="AF22" s="20" t="s">
        <v>61</v>
      </c>
      <c r="AG22" s="20" t="s">
        <v>61</v>
      </c>
      <c r="AH22" s="20" t="s">
        <v>58</v>
      </c>
      <c r="AI22" s="19">
        <v>150.0</v>
      </c>
      <c r="AJ22" s="19">
        <v>2500.0</v>
      </c>
      <c r="AK22" s="19">
        <v>150.0</v>
      </c>
      <c r="AL22" s="19">
        <v>0.0</v>
      </c>
      <c r="AM22" s="20"/>
      <c r="AN22" s="19">
        <v>950.0</v>
      </c>
      <c r="AO22" s="19">
        <v>1050.0</v>
      </c>
      <c r="AP22" s="26" t="s">
        <v>65</v>
      </c>
      <c r="AQ22" s="19"/>
    </row>
    <row r="23">
      <c r="A23" s="31">
        <v>18.0</v>
      </c>
      <c r="B23" s="32" t="s">
        <v>431</v>
      </c>
      <c r="C23" s="32" t="s">
        <v>432</v>
      </c>
      <c r="D23" s="21" t="s">
        <v>433</v>
      </c>
      <c r="E23" s="32" t="s">
        <v>49</v>
      </c>
      <c r="F23" s="35" t="s">
        <v>434</v>
      </c>
      <c r="G23" s="21" t="s">
        <v>440</v>
      </c>
      <c r="H23" s="32" t="s">
        <v>147</v>
      </c>
      <c r="I23" s="32" t="s">
        <v>148</v>
      </c>
      <c r="J23" s="32" t="s">
        <v>148</v>
      </c>
      <c r="K23" s="32" t="s">
        <v>55</v>
      </c>
      <c r="L23" s="32" t="s">
        <v>56</v>
      </c>
      <c r="M23" s="32" t="s">
        <v>57</v>
      </c>
      <c r="N23" s="32" t="s">
        <v>58</v>
      </c>
      <c r="O23" s="31">
        <v>699.0</v>
      </c>
      <c r="P23" s="31">
        <v>799.0</v>
      </c>
      <c r="Q23" s="32" t="s">
        <v>59</v>
      </c>
      <c r="R23" s="32" t="s">
        <v>58</v>
      </c>
      <c r="S23" s="32" t="s">
        <v>58</v>
      </c>
      <c r="T23" s="32"/>
      <c r="U23" s="32"/>
      <c r="V23" s="32" t="s">
        <v>61</v>
      </c>
      <c r="W23" s="32" t="s">
        <v>58</v>
      </c>
      <c r="X23" s="32" t="s">
        <v>58</v>
      </c>
      <c r="Y23" s="32" t="s">
        <v>58</v>
      </c>
      <c r="Z23" s="32" t="s">
        <v>58</v>
      </c>
      <c r="AA23" s="32" t="s">
        <v>58</v>
      </c>
      <c r="AB23" s="32" t="s">
        <v>58</v>
      </c>
      <c r="AC23" s="32" t="s">
        <v>58</v>
      </c>
      <c r="AD23" s="32" t="s">
        <v>58</v>
      </c>
      <c r="AE23" s="32" t="s">
        <v>58</v>
      </c>
      <c r="AF23" s="32" t="s">
        <v>61</v>
      </c>
      <c r="AG23" s="32" t="s">
        <v>61</v>
      </c>
      <c r="AH23" s="32" t="s">
        <v>58</v>
      </c>
      <c r="AI23" s="31">
        <v>10.0</v>
      </c>
      <c r="AJ23" s="31">
        <v>3000.0</v>
      </c>
      <c r="AK23" s="31">
        <v>10.0</v>
      </c>
      <c r="AL23" s="31">
        <v>0.0</v>
      </c>
      <c r="AM23" s="32"/>
      <c r="AN23" s="31">
        <v>699.0</v>
      </c>
      <c r="AO23" s="31">
        <v>799.0</v>
      </c>
      <c r="AP23" s="34" t="s">
        <v>65</v>
      </c>
      <c r="AQ23" s="21">
        <v>2.0</v>
      </c>
    </row>
    <row r="24">
      <c r="A24" s="31">
        <v>19.0</v>
      </c>
      <c r="B24" s="32" t="s">
        <v>444</v>
      </c>
      <c r="C24" s="32" t="s">
        <v>445</v>
      </c>
      <c r="D24" s="32" t="s">
        <v>446</v>
      </c>
      <c r="E24" s="32" t="s">
        <v>49</v>
      </c>
      <c r="F24" s="35" t="s">
        <v>453</v>
      </c>
      <c r="G24" s="21">
        <v>8.595306651E9</v>
      </c>
      <c r="H24" s="32" t="s">
        <v>449</v>
      </c>
      <c r="I24" s="32" t="s">
        <v>450</v>
      </c>
      <c r="J24" s="32" t="s">
        <v>74</v>
      </c>
      <c r="K24" s="32" t="s">
        <v>55</v>
      </c>
      <c r="L24" s="32" t="s">
        <v>56</v>
      </c>
      <c r="M24" s="32" t="s">
        <v>57</v>
      </c>
      <c r="N24" s="32" t="s">
        <v>58</v>
      </c>
      <c r="O24" s="31">
        <v>1500.0</v>
      </c>
      <c r="P24" s="31">
        <v>2000.0</v>
      </c>
      <c r="Q24" s="32" t="s">
        <v>59</v>
      </c>
      <c r="R24" s="32" t="s">
        <v>58</v>
      </c>
      <c r="S24" s="32" t="s">
        <v>58</v>
      </c>
      <c r="T24" s="32" t="s">
        <v>455</v>
      </c>
      <c r="U24" s="32"/>
      <c r="V24" s="32" t="s">
        <v>61</v>
      </c>
      <c r="W24" s="32" t="s">
        <v>58</v>
      </c>
      <c r="X24" s="32" t="s">
        <v>58</v>
      </c>
      <c r="Y24" s="32" t="s">
        <v>58</v>
      </c>
      <c r="Z24" s="32" t="s">
        <v>58</v>
      </c>
      <c r="AA24" s="32" t="s">
        <v>58</v>
      </c>
      <c r="AB24" s="32" t="s">
        <v>58</v>
      </c>
      <c r="AC24" s="32" t="s">
        <v>58</v>
      </c>
      <c r="AD24" s="32" t="s">
        <v>58</v>
      </c>
      <c r="AE24" s="32" t="s">
        <v>58</v>
      </c>
      <c r="AF24" s="32" t="s">
        <v>61</v>
      </c>
      <c r="AG24" s="32" t="s">
        <v>61</v>
      </c>
      <c r="AH24" s="32" t="s">
        <v>58</v>
      </c>
      <c r="AI24" s="31">
        <v>50.0</v>
      </c>
      <c r="AJ24" s="31">
        <v>2000.0</v>
      </c>
      <c r="AK24" s="31">
        <v>50.0</v>
      </c>
      <c r="AL24" s="31">
        <v>0.0</v>
      </c>
      <c r="AM24" s="32"/>
      <c r="AN24" s="31">
        <v>1500.0</v>
      </c>
      <c r="AO24" s="31">
        <v>2000.0</v>
      </c>
      <c r="AP24" s="34" t="s">
        <v>65</v>
      </c>
      <c r="AQ24" s="21">
        <v>2.0</v>
      </c>
    </row>
    <row r="25">
      <c r="A25" s="31">
        <v>20.0</v>
      </c>
      <c r="B25" s="32" t="s">
        <v>133</v>
      </c>
      <c r="C25" s="32" t="s">
        <v>134</v>
      </c>
      <c r="D25" s="32" t="s">
        <v>135</v>
      </c>
      <c r="E25" s="32" t="s">
        <v>49</v>
      </c>
      <c r="F25" s="35" t="s">
        <v>136</v>
      </c>
      <c r="G25" s="21">
        <v>7.947431901E9</v>
      </c>
      <c r="H25" s="32" t="s">
        <v>147</v>
      </c>
      <c r="I25" s="32" t="s">
        <v>148</v>
      </c>
      <c r="J25" s="32" t="s">
        <v>148</v>
      </c>
      <c r="K25" s="32" t="s">
        <v>55</v>
      </c>
      <c r="L25" s="32" t="s">
        <v>56</v>
      </c>
      <c r="M25" s="32" t="s">
        <v>57</v>
      </c>
      <c r="N25" s="32" t="s">
        <v>58</v>
      </c>
      <c r="O25" s="31">
        <v>700.0</v>
      </c>
      <c r="P25" s="31">
        <v>900.0</v>
      </c>
      <c r="Q25" s="32" t="s">
        <v>59</v>
      </c>
      <c r="R25" s="32" t="s">
        <v>58</v>
      </c>
      <c r="S25" s="32" t="s">
        <v>58</v>
      </c>
      <c r="T25" s="32" t="s">
        <v>474</v>
      </c>
      <c r="U25" s="32"/>
      <c r="V25" s="32" t="s">
        <v>61</v>
      </c>
      <c r="W25" s="32" t="s">
        <v>58</v>
      </c>
      <c r="X25" s="32" t="s">
        <v>58</v>
      </c>
      <c r="Y25" s="32" t="s">
        <v>58</v>
      </c>
      <c r="Z25" s="32" t="s">
        <v>58</v>
      </c>
      <c r="AA25" s="32" t="s">
        <v>58</v>
      </c>
      <c r="AB25" s="32" t="s">
        <v>58</v>
      </c>
      <c r="AC25" s="32" t="s">
        <v>58</v>
      </c>
      <c r="AD25" s="32" t="s">
        <v>58</v>
      </c>
      <c r="AE25" s="32" t="s">
        <v>58</v>
      </c>
      <c r="AF25" s="32" t="s">
        <v>61</v>
      </c>
      <c r="AG25" s="32" t="s">
        <v>61</v>
      </c>
      <c r="AH25" s="32" t="s">
        <v>58</v>
      </c>
      <c r="AI25" s="31">
        <v>100.0</v>
      </c>
      <c r="AJ25" s="31">
        <v>5000.0</v>
      </c>
      <c r="AK25" s="31">
        <v>100.0</v>
      </c>
      <c r="AL25" s="31">
        <v>0.0</v>
      </c>
      <c r="AM25" s="32"/>
      <c r="AN25" s="31">
        <v>700.0</v>
      </c>
      <c r="AO25" s="31">
        <v>900.0</v>
      </c>
      <c r="AP25" s="34" t="s">
        <v>65</v>
      </c>
      <c r="AQ25" s="21">
        <v>2.0</v>
      </c>
    </row>
    <row r="26">
      <c r="A26" s="19">
        <v>21.0</v>
      </c>
      <c r="B26" s="20" t="s">
        <v>479</v>
      </c>
      <c r="C26" s="20" t="s">
        <v>480</v>
      </c>
      <c r="D26" s="29" t="s">
        <v>481</v>
      </c>
      <c r="E26" s="20" t="s">
        <v>49</v>
      </c>
      <c r="F26" s="29" t="s">
        <v>69</v>
      </c>
      <c r="G26" s="29" t="s">
        <v>484</v>
      </c>
      <c r="H26" s="20" t="s">
        <v>147</v>
      </c>
      <c r="I26" s="20" t="s">
        <v>148</v>
      </c>
      <c r="J26" s="20" t="s">
        <v>148</v>
      </c>
      <c r="K26" s="20" t="s">
        <v>55</v>
      </c>
      <c r="L26" s="20" t="s">
        <v>56</v>
      </c>
      <c r="M26" s="20" t="s">
        <v>57</v>
      </c>
      <c r="N26" s="20" t="s">
        <v>58</v>
      </c>
      <c r="O26" s="19">
        <v>800.0</v>
      </c>
      <c r="P26" s="19">
        <v>800.0</v>
      </c>
      <c r="Q26" s="20" t="s">
        <v>59</v>
      </c>
      <c r="R26" s="20" t="s">
        <v>58</v>
      </c>
      <c r="S26" s="20" t="s">
        <v>58</v>
      </c>
      <c r="T26" s="20"/>
      <c r="U26" s="20"/>
      <c r="V26" s="20" t="s">
        <v>61</v>
      </c>
      <c r="W26" s="20" t="s">
        <v>58</v>
      </c>
      <c r="X26" s="20" t="s">
        <v>58</v>
      </c>
      <c r="Y26" s="20" t="s">
        <v>58</v>
      </c>
      <c r="Z26" s="20" t="s">
        <v>58</v>
      </c>
      <c r="AA26" s="20" t="s">
        <v>58</v>
      </c>
      <c r="AB26" s="20" t="s">
        <v>58</v>
      </c>
      <c r="AC26" s="20" t="s">
        <v>58</v>
      </c>
      <c r="AD26" s="20" t="s">
        <v>58</v>
      </c>
      <c r="AE26" s="20" t="s">
        <v>58</v>
      </c>
      <c r="AF26" s="20" t="s">
        <v>61</v>
      </c>
      <c r="AG26" s="20" t="s">
        <v>61</v>
      </c>
      <c r="AH26" s="20" t="s">
        <v>58</v>
      </c>
      <c r="AI26" s="19">
        <v>100.0</v>
      </c>
      <c r="AJ26" s="19">
        <v>50.0</v>
      </c>
      <c r="AK26" s="19">
        <v>100.0</v>
      </c>
      <c r="AL26" s="19">
        <v>0.0</v>
      </c>
      <c r="AM26" s="20"/>
      <c r="AN26" s="19">
        <v>800.0</v>
      </c>
      <c r="AO26" s="19">
        <v>800.0</v>
      </c>
      <c r="AP26" s="26" t="s">
        <v>65</v>
      </c>
      <c r="AQ26" s="19"/>
    </row>
    <row r="27">
      <c r="A27" s="31">
        <v>22.0</v>
      </c>
      <c r="B27" s="32" t="s">
        <v>493</v>
      </c>
      <c r="C27" s="32" t="s">
        <v>499</v>
      </c>
      <c r="D27" s="21" t="s">
        <v>500</v>
      </c>
      <c r="E27" s="32" t="s">
        <v>49</v>
      </c>
      <c r="F27" s="35" t="s">
        <v>501</v>
      </c>
      <c r="G27" s="21" t="s">
        <v>504</v>
      </c>
      <c r="H27" s="32" t="s">
        <v>147</v>
      </c>
      <c r="I27" s="32" t="s">
        <v>148</v>
      </c>
      <c r="J27" s="32" t="s">
        <v>148</v>
      </c>
      <c r="K27" s="32" t="s">
        <v>55</v>
      </c>
      <c r="L27" s="32" t="s">
        <v>56</v>
      </c>
      <c r="M27" s="32" t="s">
        <v>57</v>
      </c>
      <c r="N27" s="32" t="s">
        <v>58</v>
      </c>
      <c r="O27" s="31">
        <v>299.0</v>
      </c>
      <c r="P27" s="31">
        <v>399.0</v>
      </c>
      <c r="Q27" s="32" t="s">
        <v>59</v>
      </c>
      <c r="R27" s="32" t="s">
        <v>58</v>
      </c>
      <c r="S27" s="32" t="s">
        <v>58</v>
      </c>
      <c r="T27" s="32"/>
      <c r="U27" s="32"/>
      <c r="V27" s="32" t="s">
        <v>61</v>
      </c>
      <c r="W27" s="32" t="s">
        <v>58</v>
      </c>
      <c r="X27" s="32" t="s">
        <v>58</v>
      </c>
      <c r="Y27" s="32" t="s">
        <v>58</v>
      </c>
      <c r="Z27" s="32" t="s">
        <v>58</v>
      </c>
      <c r="AA27" s="32" t="s">
        <v>58</v>
      </c>
      <c r="AB27" s="32" t="s">
        <v>58</v>
      </c>
      <c r="AC27" s="32" t="s">
        <v>58</v>
      </c>
      <c r="AD27" s="32" t="s">
        <v>58</v>
      </c>
      <c r="AE27" s="32" t="s">
        <v>58</v>
      </c>
      <c r="AF27" s="32" t="s">
        <v>61</v>
      </c>
      <c r="AG27" s="32" t="s">
        <v>61</v>
      </c>
      <c r="AH27" s="32" t="s">
        <v>58</v>
      </c>
      <c r="AI27" s="31">
        <v>20.0</v>
      </c>
      <c r="AJ27" s="31">
        <v>500.0</v>
      </c>
      <c r="AK27" s="31">
        <v>20.0</v>
      </c>
      <c r="AL27" s="31">
        <v>0.0</v>
      </c>
      <c r="AM27" s="32"/>
      <c r="AN27" s="31">
        <v>299.0</v>
      </c>
      <c r="AO27" s="31">
        <v>399.0</v>
      </c>
      <c r="AP27" s="34" t="s">
        <v>65</v>
      </c>
      <c r="AQ27" s="21">
        <v>2.0</v>
      </c>
    </row>
    <row r="28">
      <c r="A28" s="19">
        <v>23.0</v>
      </c>
      <c r="B28" s="20" t="s">
        <v>515</v>
      </c>
      <c r="C28" s="20" t="s">
        <v>516</v>
      </c>
      <c r="D28" s="20" t="s">
        <v>517</v>
      </c>
      <c r="E28" s="20" t="s">
        <v>49</v>
      </c>
      <c r="F28" s="29" t="s">
        <v>69</v>
      </c>
      <c r="G28" s="29" t="s">
        <v>69</v>
      </c>
      <c r="H28" s="20" t="s">
        <v>147</v>
      </c>
      <c r="I28" s="20" t="s">
        <v>148</v>
      </c>
      <c r="J28" s="20" t="s">
        <v>148</v>
      </c>
      <c r="K28" s="20" t="s">
        <v>55</v>
      </c>
      <c r="L28" s="20" t="s">
        <v>56</v>
      </c>
      <c r="M28" s="20" t="s">
        <v>57</v>
      </c>
      <c r="N28" s="20" t="s">
        <v>58</v>
      </c>
      <c r="O28" s="19">
        <v>1400.0</v>
      </c>
      <c r="P28" s="19">
        <v>1800.0</v>
      </c>
      <c r="Q28" s="20" t="s">
        <v>59</v>
      </c>
      <c r="R28" s="20" t="s">
        <v>58</v>
      </c>
      <c r="S28" s="20" t="s">
        <v>58</v>
      </c>
      <c r="T28" s="20"/>
      <c r="U28" s="20"/>
      <c r="V28" s="20" t="s">
        <v>61</v>
      </c>
      <c r="W28" s="20" t="s">
        <v>58</v>
      </c>
      <c r="X28" s="20" t="s">
        <v>58</v>
      </c>
      <c r="Y28" s="20" t="s">
        <v>58</v>
      </c>
      <c r="Z28" s="20" t="s">
        <v>58</v>
      </c>
      <c r="AA28" s="20" t="s">
        <v>58</v>
      </c>
      <c r="AB28" s="20" t="s">
        <v>58</v>
      </c>
      <c r="AC28" s="20" t="s">
        <v>58</v>
      </c>
      <c r="AD28" s="20" t="s">
        <v>58</v>
      </c>
      <c r="AE28" s="20" t="s">
        <v>58</v>
      </c>
      <c r="AF28" s="20" t="s">
        <v>61</v>
      </c>
      <c r="AG28" s="20" t="s">
        <v>61</v>
      </c>
      <c r="AH28" s="20" t="s">
        <v>58</v>
      </c>
      <c r="AI28" s="19">
        <v>100.0</v>
      </c>
      <c r="AJ28" s="19">
        <v>2000.0</v>
      </c>
      <c r="AK28" s="19">
        <v>100.0</v>
      </c>
      <c r="AL28" s="19">
        <v>0.0</v>
      </c>
      <c r="AM28" s="20"/>
      <c r="AN28" s="19">
        <v>1400.0</v>
      </c>
      <c r="AO28" s="19">
        <v>1800.0</v>
      </c>
      <c r="AP28" s="26" t="s">
        <v>65</v>
      </c>
      <c r="AQ28" s="19"/>
    </row>
    <row r="29">
      <c r="A29" s="31">
        <v>24.0</v>
      </c>
      <c r="B29" s="32" t="s">
        <v>523</v>
      </c>
      <c r="C29" s="32" t="s">
        <v>524</v>
      </c>
      <c r="D29" s="32" t="s">
        <v>525</v>
      </c>
      <c r="E29" s="32" t="s">
        <v>49</v>
      </c>
      <c r="F29" s="35" t="s">
        <v>526</v>
      </c>
      <c r="G29" s="21" t="s">
        <v>532</v>
      </c>
      <c r="H29" s="32" t="s">
        <v>147</v>
      </c>
      <c r="I29" s="32" t="s">
        <v>148</v>
      </c>
      <c r="J29" s="32" t="s">
        <v>148</v>
      </c>
      <c r="K29" s="32" t="s">
        <v>55</v>
      </c>
      <c r="L29" s="32" t="s">
        <v>56</v>
      </c>
      <c r="M29" s="32" t="s">
        <v>57</v>
      </c>
      <c r="N29" s="32" t="s">
        <v>58</v>
      </c>
      <c r="O29" s="31">
        <v>550.0</v>
      </c>
      <c r="P29" s="31">
        <v>750.0</v>
      </c>
      <c r="Q29" s="32" t="s">
        <v>59</v>
      </c>
      <c r="R29" s="32" t="s">
        <v>58</v>
      </c>
      <c r="S29" s="32" t="s">
        <v>58</v>
      </c>
      <c r="T29" s="32"/>
      <c r="U29" s="32"/>
      <c r="V29" s="32" t="s">
        <v>61</v>
      </c>
      <c r="W29" s="32" t="s">
        <v>58</v>
      </c>
      <c r="X29" s="32" t="s">
        <v>58</v>
      </c>
      <c r="Y29" s="32" t="s">
        <v>58</v>
      </c>
      <c r="Z29" s="32" t="s">
        <v>58</v>
      </c>
      <c r="AA29" s="32" t="s">
        <v>58</v>
      </c>
      <c r="AB29" s="32" t="s">
        <v>58</v>
      </c>
      <c r="AC29" s="32" t="s">
        <v>58</v>
      </c>
      <c r="AD29" s="32" t="s">
        <v>58</v>
      </c>
      <c r="AE29" s="32" t="s">
        <v>58</v>
      </c>
      <c r="AF29" s="32" t="s">
        <v>61</v>
      </c>
      <c r="AG29" s="32" t="s">
        <v>61</v>
      </c>
      <c r="AH29" s="32" t="s">
        <v>58</v>
      </c>
      <c r="AI29" s="31">
        <v>25.0</v>
      </c>
      <c r="AJ29" s="31">
        <v>3000.0</v>
      </c>
      <c r="AK29" s="31">
        <v>25.0</v>
      </c>
      <c r="AL29" s="31">
        <v>0.0</v>
      </c>
      <c r="AM29" s="32"/>
      <c r="AN29" s="31">
        <v>550.0</v>
      </c>
      <c r="AO29" s="31">
        <v>750.0</v>
      </c>
      <c r="AP29" s="34" t="s">
        <v>65</v>
      </c>
      <c r="AQ29" s="21">
        <v>2.0</v>
      </c>
    </row>
    <row r="30">
      <c r="A30" s="31">
        <v>25.0</v>
      </c>
      <c r="B30" s="32" t="s">
        <v>207</v>
      </c>
      <c r="C30" s="32" t="s">
        <v>208</v>
      </c>
      <c r="D30" s="21" t="s">
        <v>542</v>
      </c>
      <c r="E30" s="32" t="s">
        <v>49</v>
      </c>
      <c r="F30" s="35" t="s">
        <v>211</v>
      </c>
      <c r="G30" s="21" t="s">
        <v>547</v>
      </c>
      <c r="H30" s="32" t="s">
        <v>118</v>
      </c>
      <c r="I30" s="32" t="s">
        <v>92</v>
      </c>
      <c r="J30" s="32" t="s">
        <v>92</v>
      </c>
      <c r="K30" s="32" t="s">
        <v>55</v>
      </c>
      <c r="L30" s="32" t="s">
        <v>56</v>
      </c>
      <c r="M30" s="32" t="s">
        <v>57</v>
      </c>
      <c r="N30" s="32" t="s">
        <v>58</v>
      </c>
      <c r="O30" s="31">
        <v>450.0</v>
      </c>
      <c r="P30" s="31">
        <v>650.0</v>
      </c>
      <c r="Q30" s="32" t="s">
        <v>59</v>
      </c>
      <c r="R30" s="32" t="s">
        <v>58</v>
      </c>
      <c r="S30" s="32" t="s">
        <v>58</v>
      </c>
      <c r="T30" s="32"/>
      <c r="U30" s="32"/>
      <c r="V30" s="32" t="s">
        <v>61</v>
      </c>
      <c r="W30" s="32" t="s">
        <v>58</v>
      </c>
      <c r="X30" s="32" t="s">
        <v>58</v>
      </c>
      <c r="Y30" s="32" t="s">
        <v>58</v>
      </c>
      <c r="Z30" s="32" t="s">
        <v>58</v>
      </c>
      <c r="AA30" s="32" t="s">
        <v>58</v>
      </c>
      <c r="AB30" s="32" t="s">
        <v>58</v>
      </c>
      <c r="AC30" s="32" t="s">
        <v>58</v>
      </c>
      <c r="AD30" s="32" t="s">
        <v>58</v>
      </c>
      <c r="AE30" s="32" t="s">
        <v>58</v>
      </c>
      <c r="AF30" s="32" t="s">
        <v>61</v>
      </c>
      <c r="AG30" s="32" t="s">
        <v>61</v>
      </c>
      <c r="AH30" s="32" t="s">
        <v>58</v>
      </c>
      <c r="AI30" s="31">
        <v>30.0</v>
      </c>
      <c r="AJ30" s="31">
        <v>250.0</v>
      </c>
      <c r="AK30" s="31">
        <v>30.0</v>
      </c>
      <c r="AL30" s="31">
        <v>0.0</v>
      </c>
      <c r="AM30" s="32"/>
      <c r="AN30" s="31">
        <v>450.0</v>
      </c>
      <c r="AO30" s="31">
        <v>650.0</v>
      </c>
      <c r="AP30" s="34" t="s">
        <v>65</v>
      </c>
      <c r="AQ30" s="21">
        <v>2.0</v>
      </c>
    </row>
    <row r="31">
      <c r="A31" s="19">
        <v>26.0</v>
      </c>
      <c r="B31" s="20" t="s">
        <v>554</v>
      </c>
      <c r="C31" s="20" t="s">
        <v>555</v>
      </c>
      <c r="D31" s="29" t="s">
        <v>556</v>
      </c>
      <c r="E31" s="20" t="s">
        <v>49</v>
      </c>
      <c r="F31" s="29" t="s">
        <v>69</v>
      </c>
      <c r="G31" s="29" t="s">
        <v>69</v>
      </c>
      <c r="H31" s="20" t="s">
        <v>147</v>
      </c>
      <c r="I31" s="20" t="s">
        <v>148</v>
      </c>
      <c r="J31" s="20" t="s">
        <v>148</v>
      </c>
      <c r="K31" s="20" t="s">
        <v>55</v>
      </c>
      <c r="L31" s="20" t="s">
        <v>56</v>
      </c>
      <c r="M31" s="20" t="s">
        <v>57</v>
      </c>
      <c r="N31" s="20" t="s">
        <v>58</v>
      </c>
      <c r="O31" s="19">
        <v>350.0</v>
      </c>
      <c r="P31" s="19">
        <v>600.0</v>
      </c>
      <c r="Q31" s="20" t="s">
        <v>59</v>
      </c>
      <c r="R31" s="20" t="s">
        <v>58</v>
      </c>
      <c r="S31" s="20" t="s">
        <v>58</v>
      </c>
      <c r="T31" s="20"/>
      <c r="U31" s="20"/>
      <c r="V31" s="20" t="s">
        <v>61</v>
      </c>
      <c r="W31" s="20" t="s">
        <v>58</v>
      </c>
      <c r="X31" s="20" t="s">
        <v>58</v>
      </c>
      <c r="Y31" s="20" t="s">
        <v>58</v>
      </c>
      <c r="Z31" s="20" t="s">
        <v>58</v>
      </c>
      <c r="AA31" s="20" t="s">
        <v>58</v>
      </c>
      <c r="AB31" s="20" t="s">
        <v>58</v>
      </c>
      <c r="AC31" s="20" t="s">
        <v>58</v>
      </c>
      <c r="AD31" s="20" t="s">
        <v>58</v>
      </c>
      <c r="AE31" s="20" t="s">
        <v>58</v>
      </c>
      <c r="AF31" s="20" t="s">
        <v>61</v>
      </c>
      <c r="AG31" s="20" t="s">
        <v>61</v>
      </c>
      <c r="AH31" s="20" t="s">
        <v>58</v>
      </c>
      <c r="AI31" s="19">
        <v>50.0</v>
      </c>
      <c r="AJ31" s="19">
        <v>2000.0</v>
      </c>
      <c r="AK31" s="19">
        <v>50.0</v>
      </c>
      <c r="AL31" s="19">
        <v>0.0</v>
      </c>
      <c r="AM31" s="20"/>
      <c r="AN31" s="19">
        <v>350.0</v>
      </c>
      <c r="AO31" s="19">
        <v>600.0</v>
      </c>
      <c r="AP31" s="26" t="s">
        <v>65</v>
      </c>
      <c r="AQ31" s="19"/>
    </row>
    <row r="32">
      <c r="A32" s="19">
        <v>27.0</v>
      </c>
      <c r="B32" s="20" t="s">
        <v>565</v>
      </c>
      <c r="C32" s="20" t="s">
        <v>566</v>
      </c>
      <c r="D32" s="29" t="s">
        <v>567</v>
      </c>
      <c r="E32" s="20" t="s">
        <v>49</v>
      </c>
      <c r="F32" s="29" t="s">
        <v>69</v>
      </c>
      <c r="G32" s="29">
        <v>9.035081209E9</v>
      </c>
      <c r="H32" s="20" t="s">
        <v>570</v>
      </c>
      <c r="I32" s="20" t="s">
        <v>571</v>
      </c>
      <c r="J32" s="20" t="s">
        <v>571</v>
      </c>
      <c r="K32" s="20" t="s">
        <v>55</v>
      </c>
      <c r="L32" s="20" t="s">
        <v>56</v>
      </c>
      <c r="M32" s="20" t="s">
        <v>57</v>
      </c>
      <c r="N32" s="20" t="s">
        <v>58</v>
      </c>
      <c r="O32" s="19">
        <v>600.0</v>
      </c>
      <c r="P32" s="20"/>
      <c r="Q32" s="20" t="s">
        <v>59</v>
      </c>
      <c r="R32" s="20" t="s">
        <v>58</v>
      </c>
      <c r="S32" s="20" t="s">
        <v>58</v>
      </c>
      <c r="T32" s="20"/>
      <c r="U32" s="20"/>
      <c r="V32" s="20" t="s">
        <v>61</v>
      </c>
      <c r="W32" s="20" t="s">
        <v>58</v>
      </c>
      <c r="X32" s="20" t="s">
        <v>58</v>
      </c>
      <c r="Y32" s="20" t="s">
        <v>58</v>
      </c>
      <c r="Z32" s="20" t="s">
        <v>58</v>
      </c>
      <c r="AA32" s="20" t="s">
        <v>58</v>
      </c>
      <c r="AB32" s="20" t="s">
        <v>58</v>
      </c>
      <c r="AC32" s="20" t="s">
        <v>58</v>
      </c>
      <c r="AD32" s="20" t="s">
        <v>58</v>
      </c>
      <c r="AE32" s="20" t="s">
        <v>58</v>
      </c>
      <c r="AF32" s="20" t="s">
        <v>61</v>
      </c>
      <c r="AG32" s="20" t="s">
        <v>61</v>
      </c>
      <c r="AH32" s="20" t="s">
        <v>58</v>
      </c>
      <c r="AI32" s="19">
        <v>50.0</v>
      </c>
      <c r="AJ32" s="19">
        <v>1000.0</v>
      </c>
      <c r="AK32" s="19">
        <v>50.0</v>
      </c>
      <c r="AL32" s="19">
        <v>0.0</v>
      </c>
      <c r="AM32" s="20"/>
      <c r="AN32" s="19">
        <v>600.0</v>
      </c>
      <c r="AO32" s="19">
        <v>0.0</v>
      </c>
      <c r="AP32" s="26" t="s">
        <v>65</v>
      </c>
      <c r="AQ32" s="19"/>
    </row>
    <row r="33">
      <c r="A33" s="31">
        <v>28.0</v>
      </c>
      <c r="B33" s="32" t="s">
        <v>580</v>
      </c>
      <c r="C33" s="32" t="s">
        <v>581</v>
      </c>
      <c r="D33" s="21" t="s">
        <v>582</v>
      </c>
      <c r="E33" s="32" t="s">
        <v>49</v>
      </c>
      <c r="F33" s="35" t="s">
        <v>583</v>
      </c>
      <c r="G33" s="21" t="s">
        <v>588</v>
      </c>
      <c r="H33" s="32" t="s">
        <v>147</v>
      </c>
      <c r="I33" s="32" t="s">
        <v>148</v>
      </c>
      <c r="J33" s="32" t="s">
        <v>148</v>
      </c>
      <c r="K33" s="32" t="s">
        <v>55</v>
      </c>
      <c r="L33" s="32" t="s">
        <v>56</v>
      </c>
      <c r="M33" s="32" t="s">
        <v>57</v>
      </c>
      <c r="N33" s="32" t="s">
        <v>58</v>
      </c>
      <c r="O33" s="31">
        <v>499.0</v>
      </c>
      <c r="P33" s="31">
        <v>699.0</v>
      </c>
      <c r="Q33" s="32" t="s">
        <v>59</v>
      </c>
      <c r="R33" s="32" t="s">
        <v>58</v>
      </c>
      <c r="S33" s="32" t="s">
        <v>58</v>
      </c>
      <c r="T33" s="32"/>
      <c r="U33" s="32"/>
      <c r="V33" s="32" t="s">
        <v>61</v>
      </c>
      <c r="W33" s="32" t="s">
        <v>58</v>
      </c>
      <c r="X33" s="32" t="s">
        <v>58</v>
      </c>
      <c r="Y33" s="32" t="s">
        <v>58</v>
      </c>
      <c r="Z33" s="32" t="s">
        <v>58</v>
      </c>
      <c r="AA33" s="32" t="s">
        <v>58</v>
      </c>
      <c r="AB33" s="32" t="s">
        <v>58</v>
      </c>
      <c r="AC33" s="32" t="s">
        <v>58</v>
      </c>
      <c r="AD33" s="32" t="s">
        <v>58</v>
      </c>
      <c r="AE33" s="32" t="s">
        <v>58</v>
      </c>
      <c r="AF33" s="32" t="s">
        <v>61</v>
      </c>
      <c r="AG33" s="32" t="s">
        <v>61</v>
      </c>
      <c r="AH33" s="32" t="s">
        <v>58</v>
      </c>
      <c r="AI33" s="31">
        <v>50.0</v>
      </c>
      <c r="AJ33" s="31">
        <v>5000.0</v>
      </c>
      <c r="AK33" s="31">
        <v>50.0</v>
      </c>
      <c r="AL33" s="31">
        <v>0.0</v>
      </c>
      <c r="AM33" s="32"/>
      <c r="AN33" s="31">
        <v>499.0</v>
      </c>
      <c r="AO33" s="31">
        <v>699.0</v>
      </c>
      <c r="AP33" s="21" t="s">
        <v>65</v>
      </c>
      <c r="AQ33" s="21">
        <v>2.0</v>
      </c>
    </row>
    <row r="34">
      <c r="A34" s="19">
        <v>29.0</v>
      </c>
      <c r="B34" s="20" t="s">
        <v>596</v>
      </c>
      <c r="C34" s="20" t="s">
        <v>598</v>
      </c>
      <c r="D34" s="20" t="s">
        <v>600</v>
      </c>
      <c r="E34" s="20" t="s">
        <v>49</v>
      </c>
      <c r="F34" s="44"/>
      <c r="G34" s="29"/>
      <c r="H34" s="20" t="s">
        <v>602</v>
      </c>
      <c r="I34" s="20" t="s">
        <v>274</v>
      </c>
      <c r="J34" s="20" t="s">
        <v>274</v>
      </c>
      <c r="K34" s="20" t="s">
        <v>55</v>
      </c>
      <c r="L34" s="20" t="s">
        <v>56</v>
      </c>
      <c r="M34" s="20" t="s">
        <v>57</v>
      </c>
      <c r="N34" s="20" t="s">
        <v>58</v>
      </c>
      <c r="O34" s="19">
        <v>500.0</v>
      </c>
      <c r="P34" s="19">
        <v>800.0</v>
      </c>
      <c r="Q34" s="20" t="s">
        <v>59</v>
      </c>
      <c r="R34" s="20" t="s">
        <v>58</v>
      </c>
      <c r="S34" s="20" t="s">
        <v>58</v>
      </c>
      <c r="T34" s="20" t="s">
        <v>604</v>
      </c>
      <c r="U34" s="20"/>
      <c r="V34" s="20" t="s">
        <v>61</v>
      </c>
      <c r="W34" s="20" t="s">
        <v>58</v>
      </c>
      <c r="X34" s="20" t="s">
        <v>58</v>
      </c>
      <c r="Y34" s="20" t="s">
        <v>58</v>
      </c>
      <c r="Z34" s="20" t="s">
        <v>58</v>
      </c>
      <c r="AA34" s="20" t="s">
        <v>58</v>
      </c>
      <c r="AB34" s="20" t="s">
        <v>58</v>
      </c>
      <c r="AC34" s="20" t="s">
        <v>58</v>
      </c>
      <c r="AD34" s="20" t="s">
        <v>58</v>
      </c>
      <c r="AE34" s="20" t="s">
        <v>58</v>
      </c>
      <c r="AF34" s="20" t="s">
        <v>61</v>
      </c>
      <c r="AG34" s="20" t="s">
        <v>61</v>
      </c>
      <c r="AH34" s="20" t="s">
        <v>58</v>
      </c>
      <c r="AI34" s="19">
        <v>100.0</v>
      </c>
      <c r="AJ34" s="19">
        <v>1000.0</v>
      </c>
      <c r="AK34" s="19">
        <v>100.0</v>
      </c>
      <c r="AL34" s="19">
        <v>0.0</v>
      </c>
      <c r="AM34" s="20" t="s">
        <v>606</v>
      </c>
      <c r="AN34" s="19">
        <v>500.0</v>
      </c>
      <c r="AO34" s="19">
        <v>800.0</v>
      </c>
      <c r="AP34" s="26" t="s">
        <v>65</v>
      </c>
      <c r="AQ34" s="19"/>
    </row>
    <row r="35">
      <c r="A35" s="19">
        <v>30.0</v>
      </c>
      <c r="B35" s="20" t="s">
        <v>607</v>
      </c>
      <c r="C35" s="20" t="s">
        <v>608</v>
      </c>
      <c r="D35" s="29" t="s">
        <v>609</v>
      </c>
      <c r="E35" s="20" t="s">
        <v>49</v>
      </c>
      <c r="F35" s="29" t="s">
        <v>69</v>
      </c>
      <c r="G35" s="29">
        <v>7.947126518E9</v>
      </c>
      <c r="H35" s="20" t="s">
        <v>147</v>
      </c>
      <c r="I35" s="20" t="s">
        <v>148</v>
      </c>
      <c r="J35" s="20" t="s">
        <v>148</v>
      </c>
      <c r="K35" s="20" t="s">
        <v>55</v>
      </c>
      <c r="L35" s="20" t="s">
        <v>56</v>
      </c>
      <c r="M35" s="20" t="s">
        <v>57</v>
      </c>
      <c r="N35" s="20" t="s">
        <v>58</v>
      </c>
      <c r="O35" s="19">
        <v>850.0</v>
      </c>
      <c r="P35" s="19">
        <v>1000.0</v>
      </c>
      <c r="Q35" s="20" t="s">
        <v>59</v>
      </c>
      <c r="R35" s="20" t="s">
        <v>58</v>
      </c>
      <c r="S35" s="20" t="s">
        <v>58</v>
      </c>
      <c r="T35" s="20"/>
      <c r="U35" s="20"/>
      <c r="V35" s="20" t="s">
        <v>61</v>
      </c>
      <c r="W35" s="20" t="s">
        <v>58</v>
      </c>
      <c r="X35" s="20" t="s">
        <v>58</v>
      </c>
      <c r="Y35" s="20" t="s">
        <v>58</v>
      </c>
      <c r="Z35" s="20" t="s">
        <v>58</v>
      </c>
      <c r="AA35" s="20" t="s">
        <v>58</v>
      </c>
      <c r="AB35" s="20" t="s">
        <v>58</v>
      </c>
      <c r="AC35" s="20" t="s">
        <v>58</v>
      </c>
      <c r="AD35" s="20" t="s">
        <v>58</v>
      </c>
      <c r="AE35" s="20" t="s">
        <v>58</v>
      </c>
      <c r="AF35" s="20" t="s">
        <v>61</v>
      </c>
      <c r="AG35" s="20" t="s">
        <v>61</v>
      </c>
      <c r="AH35" s="20" t="s">
        <v>58</v>
      </c>
      <c r="AI35" s="19">
        <v>50.0</v>
      </c>
      <c r="AJ35" s="19">
        <v>300.0</v>
      </c>
      <c r="AK35" s="19">
        <v>50.0</v>
      </c>
      <c r="AL35" s="19">
        <v>0.0</v>
      </c>
      <c r="AM35" s="20"/>
      <c r="AN35" s="19">
        <v>850.0</v>
      </c>
      <c r="AO35" s="19">
        <v>1000.0</v>
      </c>
      <c r="AP35" s="26" t="s">
        <v>65</v>
      </c>
      <c r="AQ35" s="19"/>
    </row>
    <row r="36">
      <c r="A36" s="31">
        <v>31.0</v>
      </c>
      <c r="B36" s="32" t="s">
        <v>614</v>
      </c>
      <c r="C36" s="32" t="s">
        <v>615</v>
      </c>
      <c r="D36" s="21" t="s">
        <v>614</v>
      </c>
      <c r="E36" s="32" t="s">
        <v>49</v>
      </c>
      <c r="F36" s="35" t="s">
        <v>617</v>
      </c>
      <c r="G36" s="21">
        <v>7.947150917E9</v>
      </c>
      <c r="H36" s="32" t="s">
        <v>618</v>
      </c>
      <c r="I36" s="32" t="s">
        <v>148</v>
      </c>
      <c r="J36" s="32" t="s">
        <v>74</v>
      </c>
      <c r="K36" s="32" t="s">
        <v>55</v>
      </c>
      <c r="L36" s="32" t="s">
        <v>56</v>
      </c>
      <c r="M36" s="32" t="s">
        <v>57</v>
      </c>
      <c r="N36" s="32" t="s">
        <v>58</v>
      </c>
      <c r="O36" s="31">
        <v>750.0</v>
      </c>
      <c r="P36" s="31">
        <v>759.0</v>
      </c>
      <c r="Q36" s="32" t="s">
        <v>59</v>
      </c>
      <c r="R36" s="32" t="s">
        <v>58</v>
      </c>
      <c r="S36" s="32" t="s">
        <v>58</v>
      </c>
      <c r="T36" s="32"/>
      <c r="U36" s="32"/>
      <c r="V36" s="32" t="s">
        <v>61</v>
      </c>
      <c r="W36" s="32" t="s">
        <v>58</v>
      </c>
      <c r="X36" s="32" t="s">
        <v>58</v>
      </c>
      <c r="Y36" s="32" t="s">
        <v>58</v>
      </c>
      <c r="Z36" s="32" t="s">
        <v>58</v>
      </c>
      <c r="AA36" s="32" t="s">
        <v>58</v>
      </c>
      <c r="AB36" s="32" t="s">
        <v>58</v>
      </c>
      <c r="AC36" s="32" t="s">
        <v>58</v>
      </c>
      <c r="AD36" s="32" t="s">
        <v>58</v>
      </c>
      <c r="AE36" s="32" t="s">
        <v>58</v>
      </c>
      <c r="AF36" s="32" t="s">
        <v>61</v>
      </c>
      <c r="AG36" s="32" t="s">
        <v>61</v>
      </c>
      <c r="AH36" s="32" t="s">
        <v>58</v>
      </c>
      <c r="AI36" s="31">
        <v>10.0</v>
      </c>
      <c r="AJ36" s="31">
        <v>700.0</v>
      </c>
      <c r="AK36" s="31">
        <v>10.0</v>
      </c>
      <c r="AL36" s="31">
        <v>0.0</v>
      </c>
      <c r="AM36" s="32"/>
      <c r="AN36" s="31">
        <v>750.0</v>
      </c>
      <c r="AO36" s="31">
        <v>759.0</v>
      </c>
      <c r="AP36" s="34" t="s">
        <v>65</v>
      </c>
      <c r="AQ36" s="21">
        <v>2.0</v>
      </c>
    </row>
    <row r="37">
      <c r="A37" s="19">
        <v>32.0</v>
      </c>
      <c r="B37" s="20" t="s">
        <v>628</v>
      </c>
      <c r="C37" s="20" t="s">
        <v>629</v>
      </c>
      <c r="D37" s="29" t="s">
        <v>630</v>
      </c>
      <c r="E37" s="20" t="s">
        <v>49</v>
      </c>
      <c r="F37" s="29" t="s">
        <v>69</v>
      </c>
      <c r="G37" s="29">
        <v>8.383095404E9</v>
      </c>
      <c r="H37" s="20" t="s">
        <v>147</v>
      </c>
      <c r="I37" s="20" t="s">
        <v>148</v>
      </c>
      <c r="J37" s="20" t="s">
        <v>148</v>
      </c>
      <c r="K37" s="20" t="s">
        <v>55</v>
      </c>
      <c r="L37" s="20" t="s">
        <v>56</v>
      </c>
      <c r="M37" s="20" t="s">
        <v>57</v>
      </c>
      <c r="N37" s="20" t="s">
        <v>58</v>
      </c>
      <c r="O37" s="19">
        <v>750.0</v>
      </c>
      <c r="P37" s="19">
        <v>1000.0</v>
      </c>
      <c r="Q37" s="20" t="s">
        <v>59</v>
      </c>
      <c r="R37" s="20" t="s">
        <v>58</v>
      </c>
      <c r="S37" s="20" t="s">
        <v>58</v>
      </c>
      <c r="T37" s="20"/>
      <c r="U37" s="20"/>
      <c r="V37" s="20" t="s">
        <v>61</v>
      </c>
      <c r="W37" s="20" t="s">
        <v>58</v>
      </c>
      <c r="X37" s="20" t="s">
        <v>58</v>
      </c>
      <c r="Y37" s="20" t="s">
        <v>58</v>
      </c>
      <c r="Z37" s="20" t="s">
        <v>58</v>
      </c>
      <c r="AA37" s="20" t="s">
        <v>58</v>
      </c>
      <c r="AB37" s="20" t="s">
        <v>58</v>
      </c>
      <c r="AC37" s="20" t="s">
        <v>58</v>
      </c>
      <c r="AD37" s="20" t="s">
        <v>58</v>
      </c>
      <c r="AE37" s="20" t="s">
        <v>58</v>
      </c>
      <c r="AF37" s="20" t="s">
        <v>61</v>
      </c>
      <c r="AG37" s="20" t="s">
        <v>61</v>
      </c>
      <c r="AH37" s="20" t="s">
        <v>58</v>
      </c>
      <c r="AI37" s="19">
        <v>200.0</v>
      </c>
      <c r="AJ37" s="19">
        <v>3000.0</v>
      </c>
      <c r="AK37" s="19">
        <v>200.0</v>
      </c>
      <c r="AL37" s="19">
        <v>0.0</v>
      </c>
      <c r="AM37" s="20"/>
      <c r="AN37" s="19">
        <v>750.0</v>
      </c>
      <c r="AO37" s="19">
        <v>1000.0</v>
      </c>
      <c r="AP37" s="26" t="s">
        <v>65</v>
      </c>
      <c r="AQ37" s="19"/>
    </row>
    <row r="38">
      <c r="A38" s="19">
        <v>33.0</v>
      </c>
      <c r="B38" s="20" t="s">
        <v>640</v>
      </c>
      <c r="C38" s="20" t="s">
        <v>641</v>
      </c>
      <c r="D38" s="29" t="s">
        <v>643</v>
      </c>
      <c r="E38" s="20" t="s">
        <v>49</v>
      </c>
      <c r="F38" s="29" t="s">
        <v>69</v>
      </c>
      <c r="G38" s="29" t="s">
        <v>69</v>
      </c>
      <c r="H38" s="20" t="s">
        <v>147</v>
      </c>
      <c r="I38" s="20" t="s">
        <v>148</v>
      </c>
      <c r="J38" s="20" t="s">
        <v>148</v>
      </c>
      <c r="K38" s="20" t="s">
        <v>55</v>
      </c>
      <c r="L38" s="20" t="s">
        <v>56</v>
      </c>
      <c r="M38" s="20" t="s">
        <v>57</v>
      </c>
      <c r="N38" s="20" t="s">
        <v>58</v>
      </c>
      <c r="O38" s="19">
        <v>300.0</v>
      </c>
      <c r="P38" s="19">
        <v>450.0</v>
      </c>
      <c r="Q38" s="20" t="s">
        <v>59</v>
      </c>
      <c r="R38" s="20" t="s">
        <v>58</v>
      </c>
      <c r="S38" s="20" t="s">
        <v>58</v>
      </c>
      <c r="T38" s="20"/>
      <c r="U38" s="20"/>
      <c r="V38" s="20" t="s">
        <v>61</v>
      </c>
      <c r="W38" s="20" t="s">
        <v>58</v>
      </c>
      <c r="X38" s="20" t="s">
        <v>58</v>
      </c>
      <c r="Y38" s="20" t="s">
        <v>58</v>
      </c>
      <c r="Z38" s="20" t="s">
        <v>58</v>
      </c>
      <c r="AA38" s="20" t="s">
        <v>58</v>
      </c>
      <c r="AB38" s="20" t="s">
        <v>58</v>
      </c>
      <c r="AC38" s="20" t="s">
        <v>58</v>
      </c>
      <c r="AD38" s="20" t="s">
        <v>58</v>
      </c>
      <c r="AE38" s="20" t="s">
        <v>58</v>
      </c>
      <c r="AF38" s="20" t="s">
        <v>61</v>
      </c>
      <c r="AG38" s="20" t="s">
        <v>61</v>
      </c>
      <c r="AH38" s="20" t="s">
        <v>58</v>
      </c>
      <c r="AI38" s="19">
        <v>100.0</v>
      </c>
      <c r="AJ38" s="19">
        <v>1000.0</v>
      </c>
      <c r="AK38" s="19">
        <v>100.0</v>
      </c>
      <c r="AL38" s="19">
        <v>0.0</v>
      </c>
      <c r="AM38" s="20"/>
      <c r="AN38" s="19">
        <v>300.0</v>
      </c>
      <c r="AO38" s="19">
        <v>450.0</v>
      </c>
      <c r="AP38" s="26" t="s">
        <v>65</v>
      </c>
      <c r="AQ38" s="19"/>
    </row>
    <row r="39">
      <c r="A39" s="19">
        <v>34.0</v>
      </c>
      <c r="B39" s="20" t="s">
        <v>648</v>
      </c>
      <c r="C39" s="20" t="s">
        <v>649</v>
      </c>
      <c r="D39" s="29" t="s">
        <v>650</v>
      </c>
      <c r="E39" s="20" t="s">
        <v>49</v>
      </c>
      <c r="F39" s="29" t="s">
        <v>69</v>
      </c>
      <c r="G39" s="29">
        <v>7.947434936E9</v>
      </c>
      <c r="H39" s="20" t="s">
        <v>147</v>
      </c>
      <c r="I39" s="20" t="s">
        <v>148</v>
      </c>
      <c r="J39" s="20" t="s">
        <v>148</v>
      </c>
      <c r="K39" s="20" t="s">
        <v>55</v>
      </c>
      <c r="L39" s="20" t="s">
        <v>56</v>
      </c>
      <c r="M39" s="20" t="s">
        <v>57</v>
      </c>
      <c r="N39" s="20" t="s">
        <v>58</v>
      </c>
      <c r="O39" s="19">
        <v>800.0</v>
      </c>
      <c r="P39" s="20"/>
      <c r="Q39" s="20" t="s">
        <v>59</v>
      </c>
      <c r="R39" s="20" t="s">
        <v>58</v>
      </c>
      <c r="S39" s="20" t="s">
        <v>58</v>
      </c>
      <c r="T39" s="20"/>
      <c r="U39" s="20"/>
      <c r="V39" s="20" t="s">
        <v>61</v>
      </c>
      <c r="W39" s="20" t="s">
        <v>58</v>
      </c>
      <c r="X39" s="20" t="s">
        <v>58</v>
      </c>
      <c r="Y39" s="20" t="s">
        <v>58</v>
      </c>
      <c r="Z39" s="20" t="s">
        <v>58</v>
      </c>
      <c r="AA39" s="20" t="s">
        <v>58</v>
      </c>
      <c r="AB39" s="20" t="s">
        <v>58</v>
      </c>
      <c r="AC39" s="20" t="s">
        <v>58</v>
      </c>
      <c r="AD39" s="20" t="s">
        <v>58</v>
      </c>
      <c r="AE39" s="20" t="s">
        <v>58</v>
      </c>
      <c r="AF39" s="20" t="s">
        <v>61</v>
      </c>
      <c r="AG39" s="20" t="s">
        <v>61</v>
      </c>
      <c r="AH39" s="20" t="s">
        <v>58</v>
      </c>
      <c r="AI39" s="19">
        <v>200.0</v>
      </c>
      <c r="AJ39" s="19">
        <v>2500.0</v>
      </c>
      <c r="AK39" s="19">
        <v>200.0</v>
      </c>
      <c r="AL39" s="19">
        <v>0.0</v>
      </c>
      <c r="AM39" s="20"/>
      <c r="AN39" s="19">
        <v>800.0</v>
      </c>
      <c r="AO39" s="19">
        <v>0.0</v>
      </c>
      <c r="AP39" s="26" t="s">
        <v>65</v>
      </c>
      <c r="AQ39" s="19"/>
    </row>
    <row r="40">
      <c r="A40" s="19">
        <v>35.0</v>
      </c>
      <c r="B40" s="20" t="s">
        <v>658</v>
      </c>
      <c r="C40" s="20" t="s">
        <v>660</v>
      </c>
      <c r="D40" s="29" t="s">
        <v>662</v>
      </c>
      <c r="E40" s="20" t="s">
        <v>49</v>
      </c>
      <c r="F40" s="29" t="s">
        <v>69</v>
      </c>
      <c r="G40" s="29" t="s">
        <v>663</v>
      </c>
      <c r="H40" s="20" t="s">
        <v>618</v>
      </c>
      <c r="I40" s="20" t="s">
        <v>148</v>
      </c>
      <c r="J40" s="20" t="s">
        <v>74</v>
      </c>
      <c r="K40" s="20" t="s">
        <v>55</v>
      </c>
      <c r="L40" s="20" t="s">
        <v>56</v>
      </c>
      <c r="M40" s="20" t="s">
        <v>57</v>
      </c>
      <c r="N40" s="20" t="s">
        <v>58</v>
      </c>
      <c r="O40" s="19">
        <v>800.0</v>
      </c>
      <c r="P40" s="19">
        <v>1200.0</v>
      </c>
      <c r="Q40" s="20" t="s">
        <v>59</v>
      </c>
      <c r="R40" s="20" t="s">
        <v>58</v>
      </c>
      <c r="S40" s="20" t="s">
        <v>58</v>
      </c>
      <c r="T40" s="20"/>
      <c r="U40" s="20"/>
      <c r="V40" s="20" t="s">
        <v>61</v>
      </c>
      <c r="W40" s="20" t="s">
        <v>58</v>
      </c>
      <c r="X40" s="20" t="s">
        <v>58</v>
      </c>
      <c r="Y40" s="20" t="s">
        <v>58</v>
      </c>
      <c r="Z40" s="20" t="s">
        <v>58</v>
      </c>
      <c r="AA40" s="20" t="s">
        <v>58</v>
      </c>
      <c r="AB40" s="20" t="s">
        <v>58</v>
      </c>
      <c r="AC40" s="20" t="s">
        <v>58</v>
      </c>
      <c r="AD40" s="20" t="s">
        <v>58</v>
      </c>
      <c r="AE40" s="20" t="s">
        <v>58</v>
      </c>
      <c r="AF40" s="20" t="s">
        <v>61</v>
      </c>
      <c r="AG40" s="20" t="s">
        <v>61</v>
      </c>
      <c r="AH40" s="20" t="s">
        <v>58</v>
      </c>
      <c r="AI40" s="19">
        <v>10.0</v>
      </c>
      <c r="AJ40" s="19">
        <v>1000.0</v>
      </c>
      <c r="AK40" s="19">
        <v>10.0</v>
      </c>
      <c r="AL40" s="19">
        <v>0.0</v>
      </c>
      <c r="AM40" s="20"/>
      <c r="AN40" s="19">
        <v>800.0</v>
      </c>
      <c r="AO40" s="19">
        <v>1200.0</v>
      </c>
      <c r="AP40" s="26" t="s">
        <v>65</v>
      </c>
      <c r="AQ40" s="19"/>
    </row>
    <row r="41">
      <c r="A41" s="19">
        <v>36.0</v>
      </c>
      <c r="B41" s="20" t="s">
        <v>668</v>
      </c>
      <c r="C41" s="20" t="s">
        <v>669</v>
      </c>
      <c r="D41" s="20" t="s">
        <v>670</v>
      </c>
      <c r="E41" s="20" t="s">
        <v>49</v>
      </c>
      <c r="F41" s="29" t="s">
        <v>69</v>
      </c>
      <c r="G41" s="29">
        <v>7.947122895E9</v>
      </c>
      <c r="H41" s="20" t="s">
        <v>147</v>
      </c>
      <c r="I41" s="20" t="s">
        <v>148</v>
      </c>
      <c r="J41" s="20" t="s">
        <v>148</v>
      </c>
      <c r="K41" s="20" t="s">
        <v>55</v>
      </c>
      <c r="L41" s="20" t="s">
        <v>56</v>
      </c>
      <c r="M41" s="20" t="s">
        <v>57</v>
      </c>
      <c r="N41" s="20" t="s">
        <v>58</v>
      </c>
      <c r="O41" s="19">
        <v>680.0</v>
      </c>
      <c r="P41" s="19">
        <v>899.0</v>
      </c>
      <c r="Q41" s="20" t="s">
        <v>59</v>
      </c>
      <c r="R41" s="20" t="s">
        <v>58</v>
      </c>
      <c r="S41" s="20" t="s">
        <v>58</v>
      </c>
      <c r="T41" s="20" t="s">
        <v>676</v>
      </c>
      <c r="U41" s="20"/>
      <c r="V41" s="20" t="s">
        <v>61</v>
      </c>
      <c r="W41" s="20" t="s">
        <v>58</v>
      </c>
      <c r="X41" s="20" t="s">
        <v>58</v>
      </c>
      <c r="Y41" s="20" t="s">
        <v>58</v>
      </c>
      <c r="Z41" s="20" t="s">
        <v>58</v>
      </c>
      <c r="AA41" s="20" t="s">
        <v>58</v>
      </c>
      <c r="AB41" s="20" t="s">
        <v>58</v>
      </c>
      <c r="AC41" s="20" t="s">
        <v>58</v>
      </c>
      <c r="AD41" s="20" t="s">
        <v>58</v>
      </c>
      <c r="AE41" s="20" t="s">
        <v>58</v>
      </c>
      <c r="AF41" s="20" t="s">
        <v>61</v>
      </c>
      <c r="AG41" s="20" t="s">
        <v>61</v>
      </c>
      <c r="AH41" s="20" t="s">
        <v>58</v>
      </c>
      <c r="AI41" s="19">
        <v>100.0</v>
      </c>
      <c r="AJ41" s="19">
        <v>2000.0</v>
      </c>
      <c r="AK41" s="19">
        <v>100.0</v>
      </c>
      <c r="AL41" s="19">
        <v>0.0</v>
      </c>
      <c r="AM41" s="20"/>
      <c r="AN41" s="19">
        <v>680.0</v>
      </c>
      <c r="AO41" s="19">
        <v>899.0</v>
      </c>
      <c r="AP41" s="26" t="s">
        <v>65</v>
      </c>
      <c r="AQ41" s="19"/>
    </row>
    <row r="42">
      <c r="A42" s="31">
        <v>37.0</v>
      </c>
      <c r="B42" s="32" t="s">
        <v>137</v>
      </c>
      <c r="C42" s="32" t="s">
        <v>139</v>
      </c>
      <c r="D42" s="21" t="s">
        <v>141</v>
      </c>
      <c r="E42" s="32" t="s">
        <v>49</v>
      </c>
      <c r="F42" s="35" t="s">
        <v>683</v>
      </c>
      <c r="G42" s="21">
        <v>7.942699326E9</v>
      </c>
      <c r="H42" s="32" t="s">
        <v>118</v>
      </c>
      <c r="I42" s="32" t="s">
        <v>92</v>
      </c>
      <c r="J42" s="32" t="s">
        <v>92</v>
      </c>
      <c r="K42" s="32" t="s">
        <v>55</v>
      </c>
      <c r="L42" s="32" t="s">
        <v>56</v>
      </c>
      <c r="M42" s="32" t="s">
        <v>57</v>
      </c>
      <c r="N42" s="32" t="s">
        <v>58</v>
      </c>
      <c r="O42" s="31">
        <v>500.0</v>
      </c>
      <c r="P42" s="31">
        <v>700.0</v>
      </c>
      <c r="Q42" s="32" t="s">
        <v>59</v>
      </c>
      <c r="R42" s="32" t="s">
        <v>58</v>
      </c>
      <c r="S42" s="32" t="s">
        <v>58</v>
      </c>
      <c r="T42" s="32"/>
      <c r="U42" s="32"/>
      <c r="V42" s="32" t="s">
        <v>61</v>
      </c>
      <c r="W42" s="32" t="s">
        <v>58</v>
      </c>
      <c r="X42" s="32" t="s">
        <v>58</v>
      </c>
      <c r="Y42" s="32" t="s">
        <v>58</v>
      </c>
      <c r="Z42" s="32" t="s">
        <v>58</v>
      </c>
      <c r="AA42" s="32" t="s">
        <v>58</v>
      </c>
      <c r="AB42" s="32" t="s">
        <v>58</v>
      </c>
      <c r="AC42" s="32" t="s">
        <v>58</v>
      </c>
      <c r="AD42" s="32" t="s">
        <v>58</v>
      </c>
      <c r="AE42" s="32" t="s">
        <v>58</v>
      </c>
      <c r="AF42" s="32" t="s">
        <v>61</v>
      </c>
      <c r="AG42" s="32" t="s">
        <v>61</v>
      </c>
      <c r="AH42" s="32" t="s">
        <v>58</v>
      </c>
      <c r="AI42" s="31">
        <v>250.0</v>
      </c>
      <c r="AJ42" s="31">
        <v>5000.0</v>
      </c>
      <c r="AK42" s="31">
        <v>250.0</v>
      </c>
      <c r="AL42" s="31">
        <v>0.0</v>
      </c>
      <c r="AM42" s="32"/>
      <c r="AN42" s="31">
        <v>500.0</v>
      </c>
      <c r="AO42" s="31">
        <v>700.0</v>
      </c>
      <c r="AP42" s="34" t="s">
        <v>65</v>
      </c>
      <c r="AQ42" s="21">
        <v>2.0</v>
      </c>
    </row>
    <row r="43">
      <c r="A43" s="19">
        <v>38.0</v>
      </c>
      <c r="B43" s="20" t="s">
        <v>693</v>
      </c>
      <c r="C43" s="20" t="s">
        <v>694</v>
      </c>
      <c r="D43" s="29" t="s">
        <v>695</v>
      </c>
      <c r="E43" s="20" t="s">
        <v>49</v>
      </c>
      <c r="F43" s="29" t="s">
        <v>69</v>
      </c>
      <c r="G43" s="29" t="s">
        <v>697</v>
      </c>
      <c r="H43" s="20" t="s">
        <v>147</v>
      </c>
      <c r="I43" s="20" t="s">
        <v>148</v>
      </c>
      <c r="J43" s="20" t="s">
        <v>148</v>
      </c>
      <c r="K43" s="20" t="s">
        <v>55</v>
      </c>
      <c r="L43" s="20" t="s">
        <v>56</v>
      </c>
      <c r="M43" s="20" t="s">
        <v>57</v>
      </c>
      <c r="N43" s="20" t="s">
        <v>58</v>
      </c>
      <c r="O43" s="19">
        <v>120.0</v>
      </c>
      <c r="P43" s="19">
        <v>250.0</v>
      </c>
      <c r="Q43" s="20" t="s">
        <v>59</v>
      </c>
      <c r="R43" s="20" t="s">
        <v>58</v>
      </c>
      <c r="S43" s="20" t="s">
        <v>58</v>
      </c>
      <c r="T43" s="20"/>
      <c r="U43" s="20"/>
      <c r="V43" s="20" t="s">
        <v>61</v>
      </c>
      <c r="W43" s="20" t="s">
        <v>58</v>
      </c>
      <c r="X43" s="20" t="s">
        <v>58</v>
      </c>
      <c r="Y43" s="20" t="s">
        <v>58</v>
      </c>
      <c r="Z43" s="20" t="s">
        <v>58</v>
      </c>
      <c r="AA43" s="20" t="s">
        <v>58</v>
      </c>
      <c r="AB43" s="20" t="s">
        <v>58</v>
      </c>
      <c r="AC43" s="20" t="s">
        <v>58</v>
      </c>
      <c r="AD43" s="20" t="s">
        <v>58</v>
      </c>
      <c r="AE43" s="20" t="s">
        <v>58</v>
      </c>
      <c r="AF43" s="20" t="s">
        <v>61</v>
      </c>
      <c r="AG43" s="20" t="s">
        <v>61</v>
      </c>
      <c r="AH43" s="20" t="s">
        <v>58</v>
      </c>
      <c r="AI43" s="19">
        <v>20.0</v>
      </c>
      <c r="AJ43" s="19">
        <v>2000.0</v>
      </c>
      <c r="AK43" s="19">
        <v>20.0</v>
      </c>
      <c r="AL43" s="19">
        <v>0.0</v>
      </c>
      <c r="AM43" s="20"/>
      <c r="AN43" s="19">
        <v>120.0</v>
      </c>
      <c r="AO43" s="19">
        <v>250.0</v>
      </c>
      <c r="AP43" s="26" t="s">
        <v>65</v>
      </c>
      <c r="AQ43" s="19"/>
    </row>
    <row r="44">
      <c r="A44" s="19">
        <v>39.0</v>
      </c>
      <c r="B44" s="20" t="s">
        <v>700</v>
      </c>
      <c r="C44" s="20" t="s">
        <v>701</v>
      </c>
      <c r="D44" s="29" t="s">
        <v>702</v>
      </c>
      <c r="E44" s="20" t="s">
        <v>49</v>
      </c>
      <c r="F44" s="29" t="s">
        <v>69</v>
      </c>
      <c r="G44" s="29">
        <v>7.947434415E9</v>
      </c>
      <c r="H44" s="20" t="s">
        <v>147</v>
      </c>
      <c r="I44" s="20" t="s">
        <v>148</v>
      </c>
      <c r="J44" s="20" t="s">
        <v>148</v>
      </c>
      <c r="K44" s="20" t="s">
        <v>55</v>
      </c>
      <c r="L44" s="20" t="s">
        <v>56</v>
      </c>
      <c r="M44" s="20" t="s">
        <v>57</v>
      </c>
      <c r="N44" s="20" t="s">
        <v>58</v>
      </c>
      <c r="O44" s="19">
        <v>1000.0</v>
      </c>
      <c r="P44" s="19">
        <v>1500.0</v>
      </c>
      <c r="Q44" s="20" t="s">
        <v>59</v>
      </c>
      <c r="R44" s="20" t="s">
        <v>58</v>
      </c>
      <c r="S44" s="20" t="s">
        <v>58</v>
      </c>
      <c r="T44" s="20"/>
      <c r="U44" s="20"/>
      <c r="V44" s="20" t="s">
        <v>61</v>
      </c>
      <c r="W44" s="20" t="s">
        <v>58</v>
      </c>
      <c r="X44" s="20" t="s">
        <v>58</v>
      </c>
      <c r="Y44" s="20" t="s">
        <v>58</v>
      </c>
      <c r="Z44" s="20" t="s">
        <v>58</v>
      </c>
      <c r="AA44" s="20" t="s">
        <v>58</v>
      </c>
      <c r="AB44" s="20" t="s">
        <v>58</v>
      </c>
      <c r="AC44" s="20" t="s">
        <v>58</v>
      </c>
      <c r="AD44" s="20" t="s">
        <v>58</v>
      </c>
      <c r="AE44" s="20" t="s">
        <v>58</v>
      </c>
      <c r="AF44" s="20" t="s">
        <v>61</v>
      </c>
      <c r="AG44" s="20" t="s">
        <v>61</v>
      </c>
      <c r="AH44" s="20" t="s">
        <v>58</v>
      </c>
      <c r="AI44" s="19">
        <v>100.0</v>
      </c>
      <c r="AJ44" s="19">
        <v>1000.0</v>
      </c>
      <c r="AK44" s="19">
        <v>100.0</v>
      </c>
      <c r="AL44" s="19">
        <v>0.0</v>
      </c>
      <c r="AM44" s="20"/>
      <c r="AN44" s="19">
        <v>1000.0</v>
      </c>
      <c r="AO44" s="19">
        <v>1500.0</v>
      </c>
      <c r="AP44" s="26" t="s">
        <v>65</v>
      </c>
      <c r="AQ44" s="19"/>
    </row>
    <row r="45">
      <c r="A45" s="19">
        <v>40.0</v>
      </c>
      <c r="B45" s="20" t="s">
        <v>705</v>
      </c>
      <c r="C45" s="20" t="s">
        <v>707</v>
      </c>
      <c r="D45" s="29" t="s">
        <v>709</v>
      </c>
      <c r="E45" s="20" t="s">
        <v>49</v>
      </c>
      <c r="F45" s="29" t="s">
        <v>69</v>
      </c>
      <c r="G45" s="29">
        <v>7.947434415E9</v>
      </c>
      <c r="H45" s="20" t="s">
        <v>147</v>
      </c>
      <c r="I45" s="20" t="s">
        <v>148</v>
      </c>
      <c r="J45" s="20" t="s">
        <v>148</v>
      </c>
      <c r="K45" s="20" t="s">
        <v>55</v>
      </c>
      <c r="L45" s="20" t="s">
        <v>56</v>
      </c>
      <c r="M45" s="20" t="s">
        <v>57</v>
      </c>
      <c r="N45" s="20" t="s">
        <v>58</v>
      </c>
      <c r="O45" s="19">
        <v>700.0</v>
      </c>
      <c r="P45" s="19">
        <v>900.0</v>
      </c>
      <c r="Q45" s="20" t="s">
        <v>59</v>
      </c>
      <c r="R45" s="20" t="s">
        <v>58</v>
      </c>
      <c r="S45" s="20" t="s">
        <v>58</v>
      </c>
      <c r="T45" s="20"/>
      <c r="U45" s="20"/>
      <c r="V45" s="20" t="s">
        <v>61</v>
      </c>
      <c r="W45" s="20" t="s">
        <v>58</v>
      </c>
      <c r="X45" s="20" t="s">
        <v>58</v>
      </c>
      <c r="Y45" s="20" t="s">
        <v>58</v>
      </c>
      <c r="Z45" s="20" t="s">
        <v>58</v>
      </c>
      <c r="AA45" s="20" t="s">
        <v>58</v>
      </c>
      <c r="AB45" s="20" t="s">
        <v>58</v>
      </c>
      <c r="AC45" s="20" t="s">
        <v>58</v>
      </c>
      <c r="AD45" s="20" t="s">
        <v>58</v>
      </c>
      <c r="AE45" s="20" t="s">
        <v>58</v>
      </c>
      <c r="AF45" s="20" t="s">
        <v>61</v>
      </c>
      <c r="AG45" s="20" t="s">
        <v>61</v>
      </c>
      <c r="AH45" s="20" t="s">
        <v>58</v>
      </c>
      <c r="AI45" s="19">
        <v>50.0</v>
      </c>
      <c r="AJ45" s="19">
        <v>200.0</v>
      </c>
      <c r="AK45" s="19">
        <v>50.0</v>
      </c>
      <c r="AL45" s="19">
        <v>0.0</v>
      </c>
      <c r="AM45" s="20"/>
      <c r="AN45" s="19">
        <v>700.0</v>
      </c>
      <c r="AO45" s="19">
        <v>900.0</v>
      </c>
      <c r="AP45" s="26" t="s">
        <v>65</v>
      </c>
      <c r="AQ45" s="19"/>
    </row>
    <row r="46">
      <c r="A46" s="19">
        <v>41.0</v>
      </c>
      <c r="B46" s="20" t="s">
        <v>716</v>
      </c>
      <c r="C46" s="20" t="s">
        <v>717</v>
      </c>
      <c r="D46" s="29" t="s">
        <v>719</v>
      </c>
      <c r="E46" s="20" t="s">
        <v>49</v>
      </c>
      <c r="F46" s="29" t="s">
        <v>69</v>
      </c>
      <c r="G46" s="29" t="s">
        <v>69</v>
      </c>
      <c r="H46" s="20" t="s">
        <v>723</v>
      </c>
      <c r="I46" s="20" t="s">
        <v>587</v>
      </c>
      <c r="J46" s="20" t="s">
        <v>74</v>
      </c>
      <c r="K46" s="20" t="s">
        <v>55</v>
      </c>
      <c r="L46" s="20" t="s">
        <v>56</v>
      </c>
      <c r="M46" s="20" t="s">
        <v>57</v>
      </c>
      <c r="N46" s="20" t="s">
        <v>58</v>
      </c>
      <c r="O46" s="19">
        <v>1199.0</v>
      </c>
      <c r="P46" s="19">
        <v>1799.0</v>
      </c>
      <c r="Q46" s="20" t="s">
        <v>59</v>
      </c>
      <c r="R46" s="20" t="s">
        <v>58</v>
      </c>
      <c r="S46" s="20" t="s">
        <v>58</v>
      </c>
      <c r="T46" s="20"/>
      <c r="U46" s="20"/>
      <c r="V46" s="20" t="s">
        <v>61</v>
      </c>
      <c r="W46" s="20" t="s">
        <v>58</v>
      </c>
      <c r="X46" s="20" t="s">
        <v>58</v>
      </c>
      <c r="Y46" s="20" t="s">
        <v>58</v>
      </c>
      <c r="Z46" s="20" t="s">
        <v>58</v>
      </c>
      <c r="AA46" s="20" t="s">
        <v>58</v>
      </c>
      <c r="AB46" s="20" t="s">
        <v>58</v>
      </c>
      <c r="AC46" s="20" t="s">
        <v>58</v>
      </c>
      <c r="AD46" s="20" t="s">
        <v>58</v>
      </c>
      <c r="AE46" s="20" t="s">
        <v>58</v>
      </c>
      <c r="AF46" s="20" t="s">
        <v>61</v>
      </c>
      <c r="AG46" s="20" t="s">
        <v>61</v>
      </c>
      <c r="AH46" s="20" t="s">
        <v>58</v>
      </c>
      <c r="AI46" s="19">
        <v>10.0</v>
      </c>
      <c r="AJ46" s="19">
        <v>500.0</v>
      </c>
      <c r="AK46" s="19">
        <v>10.0</v>
      </c>
      <c r="AL46" s="19">
        <v>0.0</v>
      </c>
      <c r="AM46" s="20"/>
      <c r="AN46" s="19">
        <v>1199.0</v>
      </c>
      <c r="AO46" s="19">
        <v>1799.0</v>
      </c>
      <c r="AP46" s="26" t="s">
        <v>65</v>
      </c>
      <c r="AQ46" s="19"/>
    </row>
    <row r="47">
      <c r="A47" s="19">
        <v>42.0</v>
      </c>
      <c r="B47" s="20" t="s">
        <v>728</v>
      </c>
      <c r="C47" s="20" t="s">
        <v>730</v>
      </c>
      <c r="D47" s="29" t="s">
        <v>732</v>
      </c>
      <c r="E47" s="20" t="s">
        <v>49</v>
      </c>
      <c r="F47" s="29" t="s">
        <v>69</v>
      </c>
      <c r="G47" s="29" t="s">
        <v>69</v>
      </c>
      <c r="H47" s="20" t="s">
        <v>733</v>
      </c>
      <c r="I47" s="20" t="s">
        <v>571</v>
      </c>
      <c r="J47" s="20" t="s">
        <v>571</v>
      </c>
      <c r="K47" s="20" t="s">
        <v>55</v>
      </c>
      <c r="L47" s="20" t="s">
        <v>56</v>
      </c>
      <c r="M47" s="20" t="s">
        <v>57</v>
      </c>
      <c r="N47" s="20" t="s">
        <v>58</v>
      </c>
      <c r="O47" s="19">
        <v>1200.0</v>
      </c>
      <c r="P47" s="19">
        <v>1500.0</v>
      </c>
      <c r="Q47" s="20" t="s">
        <v>59</v>
      </c>
      <c r="R47" s="20" t="s">
        <v>58</v>
      </c>
      <c r="S47" s="20" t="s">
        <v>58</v>
      </c>
      <c r="T47" s="20"/>
      <c r="U47" s="20"/>
      <c r="V47" s="20" t="s">
        <v>61</v>
      </c>
      <c r="W47" s="20" t="s">
        <v>58</v>
      </c>
      <c r="X47" s="20" t="s">
        <v>58</v>
      </c>
      <c r="Y47" s="20" t="s">
        <v>58</v>
      </c>
      <c r="Z47" s="20" t="s">
        <v>58</v>
      </c>
      <c r="AA47" s="20" t="s">
        <v>58</v>
      </c>
      <c r="AB47" s="20" t="s">
        <v>58</v>
      </c>
      <c r="AC47" s="20" t="s">
        <v>58</v>
      </c>
      <c r="AD47" s="20" t="s">
        <v>58</v>
      </c>
      <c r="AE47" s="20" t="s">
        <v>58</v>
      </c>
      <c r="AF47" s="20" t="s">
        <v>61</v>
      </c>
      <c r="AG47" s="20" t="s">
        <v>61</v>
      </c>
      <c r="AH47" s="20" t="s">
        <v>58</v>
      </c>
      <c r="AI47" s="19">
        <v>100.0</v>
      </c>
      <c r="AJ47" s="19">
        <v>1000.0</v>
      </c>
      <c r="AK47" s="19">
        <v>100.0</v>
      </c>
      <c r="AL47" s="19">
        <v>0.0</v>
      </c>
      <c r="AM47" s="20"/>
      <c r="AN47" s="19">
        <v>1200.0</v>
      </c>
      <c r="AO47" s="19">
        <v>1500.0</v>
      </c>
      <c r="AP47" s="29" t="s">
        <v>65</v>
      </c>
      <c r="AQ47" s="19"/>
    </row>
    <row r="48">
      <c r="A48" s="19">
        <v>43.0</v>
      </c>
      <c r="B48" s="20" t="s">
        <v>742</v>
      </c>
      <c r="C48" s="20" t="s">
        <v>743</v>
      </c>
      <c r="D48" s="20" t="s">
        <v>744</v>
      </c>
      <c r="E48" s="20" t="s">
        <v>49</v>
      </c>
      <c r="F48" s="29" t="s">
        <v>69</v>
      </c>
      <c r="G48" s="29" t="s">
        <v>745</v>
      </c>
      <c r="H48" s="20" t="s">
        <v>723</v>
      </c>
      <c r="I48" s="20" t="s">
        <v>587</v>
      </c>
      <c r="J48" s="20" t="s">
        <v>74</v>
      </c>
      <c r="K48" s="20" t="s">
        <v>55</v>
      </c>
      <c r="L48" s="20" t="s">
        <v>56</v>
      </c>
      <c r="M48" s="20" t="s">
        <v>57</v>
      </c>
      <c r="N48" s="20" t="s">
        <v>58</v>
      </c>
      <c r="O48" s="19">
        <v>400.0</v>
      </c>
      <c r="P48" s="20"/>
      <c r="Q48" s="20" t="s">
        <v>59</v>
      </c>
      <c r="R48" s="20" t="s">
        <v>58</v>
      </c>
      <c r="S48" s="20" t="s">
        <v>58</v>
      </c>
      <c r="T48" s="20" t="s">
        <v>746</v>
      </c>
      <c r="U48" s="20" t="s">
        <v>747</v>
      </c>
      <c r="V48" s="20" t="s">
        <v>61</v>
      </c>
      <c r="W48" s="20" t="s">
        <v>58</v>
      </c>
      <c r="X48" s="20" t="s">
        <v>58</v>
      </c>
      <c r="Y48" s="20" t="s">
        <v>58</v>
      </c>
      <c r="Z48" s="20" t="s">
        <v>58</v>
      </c>
      <c r="AA48" s="20" t="s">
        <v>58</v>
      </c>
      <c r="AB48" s="20" t="s">
        <v>58</v>
      </c>
      <c r="AC48" s="20" t="s">
        <v>58</v>
      </c>
      <c r="AD48" s="20" t="s">
        <v>58</v>
      </c>
      <c r="AE48" s="20" t="s">
        <v>58</v>
      </c>
      <c r="AF48" s="20" t="s">
        <v>61</v>
      </c>
      <c r="AG48" s="20" t="s">
        <v>61</v>
      </c>
      <c r="AH48" s="20" t="s">
        <v>58</v>
      </c>
      <c r="AI48" s="19">
        <v>200.0</v>
      </c>
      <c r="AJ48" s="19">
        <v>5000.0</v>
      </c>
      <c r="AK48" s="19">
        <v>200.0</v>
      </c>
      <c r="AL48" s="19">
        <v>0.0</v>
      </c>
      <c r="AM48" s="20"/>
      <c r="AN48" s="19">
        <v>400.0</v>
      </c>
      <c r="AO48" s="19">
        <v>0.0</v>
      </c>
      <c r="AP48" s="26" t="s">
        <v>65</v>
      </c>
      <c r="AQ48" s="19"/>
    </row>
    <row r="49">
      <c r="A49" s="19">
        <v>44.0</v>
      </c>
      <c r="B49" s="20" t="s">
        <v>750</v>
      </c>
      <c r="C49" s="20" t="s">
        <v>752</v>
      </c>
      <c r="D49" s="29" t="s">
        <v>753</v>
      </c>
      <c r="E49" s="20" t="s">
        <v>49</v>
      </c>
      <c r="F49" s="29" t="s">
        <v>69</v>
      </c>
      <c r="G49" s="29">
        <v>7.895399999E9</v>
      </c>
      <c r="H49" s="20" t="s">
        <v>147</v>
      </c>
      <c r="I49" s="20" t="s">
        <v>148</v>
      </c>
      <c r="J49" s="20" t="s">
        <v>148</v>
      </c>
      <c r="K49" s="20" t="s">
        <v>55</v>
      </c>
      <c r="L49" s="20" t="s">
        <v>56</v>
      </c>
      <c r="M49" s="20" t="s">
        <v>57</v>
      </c>
      <c r="N49" s="20" t="s">
        <v>58</v>
      </c>
      <c r="O49" s="19">
        <v>1000.0</v>
      </c>
      <c r="P49" s="20"/>
      <c r="Q49" s="20" t="s">
        <v>59</v>
      </c>
      <c r="R49" s="20" t="s">
        <v>58</v>
      </c>
      <c r="S49" s="20" t="s">
        <v>58</v>
      </c>
      <c r="T49" s="20"/>
      <c r="U49" s="20"/>
      <c r="V49" s="20" t="s">
        <v>61</v>
      </c>
      <c r="W49" s="20" t="s">
        <v>58</v>
      </c>
      <c r="X49" s="20" t="s">
        <v>58</v>
      </c>
      <c r="Y49" s="20" t="s">
        <v>58</v>
      </c>
      <c r="Z49" s="20" t="s">
        <v>58</v>
      </c>
      <c r="AA49" s="20" t="s">
        <v>58</v>
      </c>
      <c r="AB49" s="20" t="s">
        <v>58</v>
      </c>
      <c r="AC49" s="20" t="s">
        <v>58</v>
      </c>
      <c r="AD49" s="20" t="s">
        <v>58</v>
      </c>
      <c r="AE49" s="20" t="s">
        <v>58</v>
      </c>
      <c r="AF49" s="20" t="s">
        <v>61</v>
      </c>
      <c r="AG49" s="20" t="s">
        <v>61</v>
      </c>
      <c r="AH49" s="20" t="s">
        <v>58</v>
      </c>
      <c r="AI49" s="19">
        <v>10.0</v>
      </c>
      <c r="AJ49" s="19">
        <v>500.0</v>
      </c>
      <c r="AK49" s="19">
        <v>10.0</v>
      </c>
      <c r="AL49" s="19">
        <v>0.0</v>
      </c>
      <c r="AM49" s="20"/>
      <c r="AN49" s="19">
        <v>1000.0</v>
      </c>
      <c r="AO49" s="19">
        <v>0.0</v>
      </c>
      <c r="AP49" s="26" t="s">
        <v>65</v>
      </c>
      <c r="AQ49" s="19"/>
    </row>
    <row r="50">
      <c r="A50" s="31">
        <v>45.0</v>
      </c>
      <c r="B50" s="32" t="s">
        <v>755</v>
      </c>
      <c r="C50" s="32" t="s">
        <v>758</v>
      </c>
      <c r="D50" s="21" t="s">
        <v>759</v>
      </c>
      <c r="E50" s="32" t="s">
        <v>49</v>
      </c>
      <c r="F50" s="35" t="s">
        <v>761</v>
      </c>
      <c r="G50" s="21" t="s">
        <v>765</v>
      </c>
      <c r="H50" s="32" t="s">
        <v>147</v>
      </c>
      <c r="I50" s="32" t="s">
        <v>148</v>
      </c>
      <c r="J50" s="32" t="s">
        <v>148</v>
      </c>
      <c r="K50" s="32" t="s">
        <v>55</v>
      </c>
      <c r="L50" s="32" t="s">
        <v>56</v>
      </c>
      <c r="M50" s="32" t="s">
        <v>57</v>
      </c>
      <c r="N50" s="32" t="s">
        <v>58</v>
      </c>
      <c r="O50" s="31">
        <v>800.0</v>
      </c>
      <c r="P50" s="31">
        <v>1000.0</v>
      </c>
      <c r="Q50" s="32" t="s">
        <v>59</v>
      </c>
      <c r="R50" s="32" t="s">
        <v>58</v>
      </c>
      <c r="S50" s="32" t="s">
        <v>58</v>
      </c>
      <c r="T50" s="32"/>
      <c r="U50" s="32"/>
      <c r="V50" s="32" t="s">
        <v>61</v>
      </c>
      <c r="W50" s="32" t="s">
        <v>58</v>
      </c>
      <c r="X50" s="32" t="s">
        <v>58</v>
      </c>
      <c r="Y50" s="32" t="s">
        <v>58</v>
      </c>
      <c r="Z50" s="32" t="s">
        <v>58</v>
      </c>
      <c r="AA50" s="32" t="s">
        <v>58</v>
      </c>
      <c r="AB50" s="32" t="s">
        <v>58</v>
      </c>
      <c r="AC50" s="32" t="s">
        <v>58</v>
      </c>
      <c r="AD50" s="32" t="s">
        <v>58</v>
      </c>
      <c r="AE50" s="32" t="s">
        <v>58</v>
      </c>
      <c r="AF50" s="32" t="s">
        <v>61</v>
      </c>
      <c r="AG50" s="32" t="s">
        <v>61</v>
      </c>
      <c r="AH50" s="32" t="s">
        <v>58</v>
      </c>
      <c r="AI50" s="31">
        <v>50.0</v>
      </c>
      <c r="AJ50" s="31">
        <v>3000.0</v>
      </c>
      <c r="AK50" s="31">
        <v>50.0</v>
      </c>
      <c r="AL50" s="31">
        <v>0.0</v>
      </c>
      <c r="AM50" s="32"/>
      <c r="AN50" s="31">
        <v>800.0</v>
      </c>
      <c r="AO50" s="31">
        <v>1000.0</v>
      </c>
      <c r="AP50" s="34" t="s">
        <v>65</v>
      </c>
      <c r="AQ50" s="21">
        <v>2.0</v>
      </c>
    </row>
    <row r="51">
      <c r="A51" s="19">
        <v>46.0</v>
      </c>
      <c r="B51" s="20" t="s">
        <v>773</v>
      </c>
      <c r="C51" s="20" t="s">
        <v>775</v>
      </c>
      <c r="D51" s="29" t="s">
        <v>776</v>
      </c>
      <c r="E51" s="20" t="s">
        <v>49</v>
      </c>
      <c r="F51" s="29" t="s">
        <v>69</v>
      </c>
      <c r="G51" s="29" t="s">
        <v>777</v>
      </c>
      <c r="H51" s="20" t="s">
        <v>147</v>
      </c>
      <c r="I51" s="20" t="s">
        <v>148</v>
      </c>
      <c r="J51" s="20" t="s">
        <v>148</v>
      </c>
      <c r="K51" s="20" t="s">
        <v>55</v>
      </c>
      <c r="L51" s="20" t="s">
        <v>56</v>
      </c>
      <c r="M51" s="20" t="s">
        <v>57</v>
      </c>
      <c r="N51" s="20" t="s">
        <v>58</v>
      </c>
      <c r="O51" s="19">
        <v>450.0</v>
      </c>
      <c r="P51" s="19">
        <v>650.0</v>
      </c>
      <c r="Q51" s="20" t="s">
        <v>59</v>
      </c>
      <c r="R51" s="20" t="s">
        <v>58</v>
      </c>
      <c r="S51" s="20" t="s">
        <v>58</v>
      </c>
      <c r="T51" s="20"/>
      <c r="U51" s="20"/>
      <c r="V51" s="20" t="s">
        <v>61</v>
      </c>
      <c r="W51" s="20" t="s">
        <v>58</v>
      </c>
      <c r="X51" s="20" t="s">
        <v>58</v>
      </c>
      <c r="Y51" s="20" t="s">
        <v>58</v>
      </c>
      <c r="Z51" s="20" t="s">
        <v>58</v>
      </c>
      <c r="AA51" s="20" t="s">
        <v>58</v>
      </c>
      <c r="AB51" s="20" t="s">
        <v>58</v>
      </c>
      <c r="AC51" s="20" t="s">
        <v>58</v>
      </c>
      <c r="AD51" s="20" t="s">
        <v>58</v>
      </c>
      <c r="AE51" s="20" t="s">
        <v>58</v>
      </c>
      <c r="AF51" s="20" t="s">
        <v>61</v>
      </c>
      <c r="AG51" s="20" t="s">
        <v>61</v>
      </c>
      <c r="AH51" s="20" t="s">
        <v>58</v>
      </c>
      <c r="AI51" s="19">
        <v>100.0</v>
      </c>
      <c r="AJ51" s="19">
        <v>5000.0</v>
      </c>
      <c r="AK51" s="19">
        <v>100.0</v>
      </c>
      <c r="AL51" s="19">
        <v>0.0</v>
      </c>
      <c r="AM51" s="20"/>
      <c r="AN51" s="19">
        <v>450.0</v>
      </c>
      <c r="AO51" s="19">
        <v>650.0</v>
      </c>
      <c r="AP51" s="26" t="s">
        <v>65</v>
      </c>
      <c r="AQ51" s="19"/>
    </row>
    <row r="52">
      <c r="A52" s="19">
        <v>47.0</v>
      </c>
      <c r="B52" s="20" t="s">
        <v>782</v>
      </c>
      <c r="C52" s="20" t="s">
        <v>783</v>
      </c>
      <c r="D52" s="29" t="s">
        <v>786</v>
      </c>
      <c r="E52" s="20" t="s">
        <v>49</v>
      </c>
      <c r="F52" s="29" t="s">
        <v>69</v>
      </c>
      <c r="G52" s="29" t="s">
        <v>69</v>
      </c>
      <c r="H52" s="20" t="s">
        <v>147</v>
      </c>
      <c r="I52" s="20" t="s">
        <v>148</v>
      </c>
      <c r="J52" s="20" t="s">
        <v>148</v>
      </c>
      <c r="K52" s="20" t="s">
        <v>55</v>
      </c>
      <c r="L52" s="20" t="s">
        <v>56</v>
      </c>
      <c r="M52" s="20" t="s">
        <v>57</v>
      </c>
      <c r="N52" s="20" t="s">
        <v>58</v>
      </c>
      <c r="O52" s="19">
        <v>2300.0</v>
      </c>
      <c r="P52" s="19">
        <v>2500.0</v>
      </c>
      <c r="Q52" s="20" t="s">
        <v>59</v>
      </c>
      <c r="R52" s="20" t="s">
        <v>58</v>
      </c>
      <c r="S52" s="20" t="s">
        <v>58</v>
      </c>
      <c r="T52" s="20"/>
      <c r="U52" s="20"/>
      <c r="V52" s="20" t="s">
        <v>61</v>
      </c>
      <c r="W52" s="20" t="s">
        <v>58</v>
      </c>
      <c r="X52" s="20" t="s">
        <v>58</v>
      </c>
      <c r="Y52" s="20" t="s">
        <v>58</v>
      </c>
      <c r="Z52" s="20" t="s">
        <v>58</v>
      </c>
      <c r="AA52" s="20" t="s">
        <v>58</v>
      </c>
      <c r="AB52" s="20" t="s">
        <v>58</v>
      </c>
      <c r="AC52" s="20" t="s">
        <v>58</v>
      </c>
      <c r="AD52" s="20" t="s">
        <v>58</v>
      </c>
      <c r="AE52" s="20" t="s">
        <v>58</v>
      </c>
      <c r="AF52" s="20" t="s">
        <v>61</v>
      </c>
      <c r="AG52" s="20" t="s">
        <v>61</v>
      </c>
      <c r="AH52" s="20" t="s">
        <v>58</v>
      </c>
      <c r="AI52" s="19">
        <v>15.0</v>
      </c>
      <c r="AJ52" s="19">
        <v>150.0</v>
      </c>
      <c r="AK52" s="19">
        <v>15.0</v>
      </c>
      <c r="AL52" s="19">
        <v>0.0</v>
      </c>
      <c r="AM52" s="20"/>
      <c r="AN52" s="19">
        <v>2300.0</v>
      </c>
      <c r="AO52" s="19">
        <v>2500.0</v>
      </c>
      <c r="AP52" s="26" t="s">
        <v>65</v>
      </c>
      <c r="AQ52" s="19"/>
    </row>
    <row r="53">
      <c r="A53" s="19">
        <v>48.0</v>
      </c>
      <c r="B53" s="20" t="s">
        <v>794</v>
      </c>
      <c r="C53" s="20" t="s">
        <v>796</v>
      </c>
      <c r="D53" s="20" t="s">
        <v>798</v>
      </c>
      <c r="E53" s="20" t="s">
        <v>49</v>
      </c>
      <c r="F53" s="29" t="s">
        <v>69</v>
      </c>
      <c r="G53" s="29" t="s">
        <v>69</v>
      </c>
      <c r="H53" s="20" t="s">
        <v>147</v>
      </c>
      <c r="I53" s="20" t="s">
        <v>148</v>
      </c>
      <c r="J53" s="20" t="s">
        <v>148</v>
      </c>
      <c r="K53" s="20" t="s">
        <v>55</v>
      </c>
      <c r="L53" s="20" t="s">
        <v>56</v>
      </c>
      <c r="M53" s="20" t="s">
        <v>57</v>
      </c>
      <c r="N53" s="20" t="s">
        <v>58</v>
      </c>
      <c r="O53" s="19">
        <v>500.0</v>
      </c>
      <c r="P53" s="19">
        <v>750.0</v>
      </c>
      <c r="Q53" s="20" t="s">
        <v>59</v>
      </c>
      <c r="R53" s="20" t="s">
        <v>58</v>
      </c>
      <c r="S53" s="20" t="s">
        <v>58</v>
      </c>
      <c r="T53" s="20" t="s">
        <v>275</v>
      </c>
      <c r="U53" s="20"/>
      <c r="V53" s="20" t="s">
        <v>61</v>
      </c>
      <c r="W53" s="20" t="s">
        <v>58</v>
      </c>
      <c r="X53" s="20" t="s">
        <v>58</v>
      </c>
      <c r="Y53" s="20" t="s">
        <v>58</v>
      </c>
      <c r="Z53" s="20" t="s">
        <v>58</v>
      </c>
      <c r="AA53" s="20" t="s">
        <v>58</v>
      </c>
      <c r="AB53" s="20" t="s">
        <v>58</v>
      </c>
      <c r="AC53" s="20" t="s">
        <v>58</v>
      </c>
      <c r="AD53" s="20" t="s">
        <v>58</v>
      </c>
      <c r="AE53" s="20" t="s">
        <v>58</v>
      </c>
      <c r="AF53" s="20" t="s">
        <v>61</v>
      </c>
      <c r="AG53" s="20" t="s">
        <v>61</v>
      </c>
      <c r="AH53" s="20" t="s">
        <v>58</v>
      </c>
      <c r="AI53" s="19">
        <v>50.0</v>
      </c>
      <c r="AJ53" s="19">
        <v>5000.0</v>
      </c>
      <c r="AK53" s="19">
        <v>50.0</v>
      </c>
      <c r="AL53" s="19">
        <v>0.0</v>
      </c>
      <c r="AM53" s="20"/>
      <c r="AN53" s="19">
        <v>500.0</v>
      </c>
      <c r="AO53" s="19">
        <v>750.0</v>
      </c>
      <c r="AP53" s="26" t="s">
        <v>65</v>
      </c>
      <c r="AQ53" s="19"/>
    </row>
    <row r="54">
      <c r="A54" s="31">
        <v>49.0</v>
      </c>
      <c r="B54" s="32" t="s">
        <v>804</v>
      </c>
      <c r="C54" s="32" t="s">
        <v>806</v>
      </c>
      <c r="D54" s="21" t="s">
        <v>808</v>
      </c>
      <c r="E54" s="32" t="s">
        <v>49</v>
      </c>
      <c r="F54" s="35" t="s">
        <v>809</v>
      </c>
      <c r="G54" s="21" t="s">
        <v>817</v>
      </c>
      <c r="H54" s="32" t="s">
        <v>818</v>
      </c>
      <c r="I54" s="32" t="s">
        <v>819</v>
      </c>
      <c r="J54" s="32" t="s">
        <v>819</v>
      </c>
      <c r="K54" s="32" t="s">
        <v>55</v>
      </c>
      <c r="L54" s="32" t="s">
        <v>56</v>
      </c>
      <c r="M54" s="32" t="s">
        <v>57</v>
      </c>
      <c r="N54" s="32" t="s">
        <v>58</v>
      </c>
      <c r="O54" s="31">
        <v>350.0</v>
      </c>
      <c r="P54" s="31">
        <v>850.0</v>
      </c>
      <c r="Q54" s="32" t="s">
        <v>59</v>
      </c>
      <c r="R54" s="32" t="s">
        <v>58</v>
      </c>
      <c r="S54" s="32" t="s">
        <v>58</v>
      </c>
      <c r="T54" s="32"/>
      <c r="U54" s="32"/>
      <c r="V54" s="32" t="s">
        <v>61</v>
      </c>
      <c r="W54" s="32" t="s">
        <v>58</v>
      </c>
      <c r="X54" s="32" t="s">
        <v>58</v>
      </c>
      <c r="Y54" s="32" t="s">
        <v>58</v>
      </c>
      <c r="Z54" s="32" t="s">
        <v>58</v>
      </c>
      <c r="AA54" s="32" t="s">
        <v>58</v>
      </c>
      <c r="AB54" s="32" t="s">
        <v>58</v>
      </c>
      <c r="AC54" s="32" t="s">
        <v>58</v>
      </c>
      <c r="AD54" s="32" t="s">
        <v>58</v>
      </c>
      <c r="AE54" s="32" t="s">
        <v>58</v>
      </c>
      <c r="AF54" s="32" t="s">
        <v>61</v>
      </c>
      <c r="AG54" s="32" t="s">
        <v>61</v>
      </c>
      <c r="AH54" s="32" t="s">
        <v>58</v>
      </c>
      <c r="AI54" s="31">
        <v>10.0</v>
      </c>
      <c r="AJ54" s="31">
        <v>1000.0</v>
      </c>
      <c r="AK54" s="31">
        <v>10.0</v>
      </c>
      <c r="AL54" s="31">
        <v>0.0</v>
      </c>
      <c r="AM54" s="32"/>
      <c r="AN54" s="31">
        <v>350.0</v>
      </c>
      <c r="AO54" s="31">
        <v>850.0</v>
      </c>
      <c r="AP54" s="34" t="s">
        <v>65</v>
      </c>
      <c r="AQ54" s="21">
        <v>2.0</v>
      </c>
    </row>
    <row r="55">
      <c r="A55" s="19">
        <v>50.0</v>
      </c>
      <c r="B55" s="20" t="s">
        <v>827</v>
      </c>
      <c r="C55" s="20" t="s">
        <v>828</v>
      </c>
      <c r="D55" s="20" t="s">
        <v>830</v>
      </c>
      <c r="E55" s="20" t="s">
        <v>49</v>
      </c>
      <c r="F55" s="51" t="s">
        <v>832</v>
      </c>
      <c r="G55" s="29" t="s">
        <v>69</v>
      </c>
      <c r="H55" s="20" t="s">
        <v>723</v>
      </c>
      <c r="I55" s="20" t="s">
        <v>587</v>
      </c>
      <c r="J55" s="20" t="s">
        <v>74</v>
      </c>
      <c r="K55" s="20" t="s">
        <v>55</v>
      </c>
      <c r="L55" s="20" t="s">
        <v>56</v>
      </c>
      <c r="M55" s="20" t="s">
        <v>57</v>
      </c>
      <c r="N55" s="20" t="s">
        <v>58</v>
      </c>
      <c r="O55" s="19">
        <v>2000.0</v>
      </c>
      <c r="P55" s="19">
        <v>2500.0</v>
      </c>
      <c r="Q55" s="20" t="s">
        <v>59</v>
      </c>
      <c r="R55" s="20" t="s">
        <v>58</v>
      </c>
      <c r="S55" s="20" t="s">
        <v>58</v>
      </c>
      <c r="T55" s="20" t="s">
        <v>836</v>
      </c>
      <c r="U55" s="20"/>
      <c r="V55" s="20" t="s">
        <v>61</v>
      </c>
      <c r="W55" s="20" t="s">
        <v>58</v>
      </c>
      <c r="X55" s="20" t="s">
        <v>58</v>
      </c>
      <c r="Y55" s="20" t="s">
        <v>58</v>
      </c>
      <c r="Z55" s="20" t="s">
        <v>58</v>
      </c>
      <c r="AA55" s="20" t="s">
        <v>58</v>
      </c>
      <c r="AB55" s="20" t="s">
        <v>58</v>
      </c>
      <c r="AC55" s="20" t="s">
        <v>58</v>
      </c>
      <c r="AD55" s="20" t="s">
        <v>58</v>
      </c>
      <c r="AE55" s="20" t="s">
        <v>58</v>
      </c>
      <c r="AF55" s="20" t="s">
        <v>61</v>
      </c>
      <c r="AG55" s="20" t="s">
        <v>61</v>
      </c>
      <c r="AH55" s="20" t="s">
        <v>58</v>
      </c>
      <c r="AI55" s="19">
        <v>10.0</v>
      </c>
      <c r="AJ55" s="19">
        <v>100.0</v>
      </c>
      <c r="AK55" s="19">
        <v>10.0</v>
      </c>
      <c r="AL55" s="19">
        <v>0.0</v>
      </c>
      <c r="AM55" s="20"/>
      <c r="AN55" s="19">
        <v>2000.0</v>
      </c>
      <c r="AO55" s="19">
        <v>2500.0</v>
      </c>
      <c r="AP55" s="26" t="s">
        <v>65</v>
      </c>
      <c r="AQ55" s="19"/>
    </row>
    <row r="56">
      <c r="A56" s="19">
        <v>51.0</v>
      </c>
      <c r="B56" s="20" t="s">
        <v>843</v>
      </c>
      <c r="C56" s="20" t="s">
        <v>844</v>
      </c>
      <c r="D56" s="29" t="s">
        <v>845</v>
      </c>
      <c r="E56" s="20" t="s">
        <v>49</v>
      </c>
      <c r="F56" s="29" t="s">
        <v>69</v>
      </c>
      <c r="G56" s="29" t="s">
        <v>69</v>
      </c>
      <c r="H56" s="20" t="s">
        <v>273</v>
      </c>
      <c r="I56" s="20" t="s">
        <v>274</v>
      </c>
      <c r="J56" s="20" t="s">
        <v>274</v>
      </c>
      <c r="K56" s="20" t="s">
        <v>55</v>
      </c>
      <c r="L56" s="20" t="s">
        <v>56</v>
      </c>
      <c r="M56" s="20" t="s">
        <v>57</v>
      </c>
      <c r="N56" s="20" t="s">
        <v>58</v>
      </c>
      <c r="O56" s="19">
        <v>1300.0</v>
      </c>
      <c r="P56" s="20"/>
      <c r="Q56" s="20" t="s">
        <v>59</v>
      </c>
      <c r="R56" s="20" t="s">
        <v>58</v>
      </c>
      <c r="S56" s="20" t="s">
        <v>58</v>
      </c>
      <c r="T56" s="20"/>
      <c r="U56" s="20"/>
      <c r="V56" s="20" t="s">
        <v>61</v>
      </c>
      <c r="W56" s="20" t="s">
        <v>58</v>
      </c>
      <c r="X56" s="20" t="s">
        <v>58</v>
      </c>
      <c r="Y56" s="20" t="s">
        <v>58</v>
      </c>
      <c r="Z56" s="20" t="s">
        <v>58</v>
      </c>
      <c r="AA56" s="20" t="s">
        <v>58</v>
      </c>
      <c r="AB56" s="20" t="s">
        <v>58</v>
      </c>
      <c r="AC56" s="20" t="s">
        <v>58</v>
      </c>
      <c r="AD56" s="20" t="s">
        <v>58</v>
      </c>
      <c r="AE56" s="20" t="s">
        <v>58</v>
      </c>
      <c r="AF56" s="20" t="s">
        <v>61</v>
      </c>
      <c r="AG56" s="20" t="s">
        <v>61</v>
      </c>
      <c r="AH56" s="20" t="s">
        <v>58</v>
      </c>
      <c r="AI56" s="19">
        <v>50.0</v>
      </c>
      <c r="AJ56" s="19">
        <v>5000.0</v>
      </c>
      <c r="AK56" s="19">
        <v>50.0</v>
      </c>
      <c r="AL56" s="19">
        <v>0.0</v>
      </c>
      <c r="AM56" s="20"/>
      <c r="AN56" s="19">
        <v>1300.0</v>
      </c>
      <c r="AO56" s="19">
        <v>0.0</v>
      </c>
      <c r="AP56" s="26" t="s">
        <v>65</v>
      </c>
      <c r="AQ56" s="19"/>
    </row>
    <row r="57">
      <c r="A57" s="19">
        <v>52.0</v>
      </c>
      <c r="B57" s="20" t="s">
        <v>853</v>
      </c>
      <c r="C57" s="20" t="s">
        <v>854</v>
      </c>
      <c r="D57" s="29" t="s">
        <v>122</v>
      </c>
      <c r="E57" s="20" t="s">
        <v>49</v>
      </c>
      <c r="F57" s="29" t="s">
        <v>122</v>
      </c>
      <c r="G57" s="29" t="s">
        <v>855</v>
      </c>
      <c r="H57" s="20" t="s">
        <v>147</v>
      </c>
      <c r="I57" s="20" t="s">
        <v>148</v>
      </c>
      <c r="J57" s="20" t="s">
        <v>148</v>
      </c>
      <c r="K57" s="20" t="s">
        <v>55</v>
      </c>
      <c r="L57" s="20" t="s">
        <v>56</v>
      </c>
      <c r="M57" s="20" t="s">
        <v>57</v>
      </c>
      <c r="N57" s="20" t="s">
        <v>58</v>
      </c>
      <c r="O57" s="19">
        <v>489.0</v>
      </c>
      <c r="P57" s="19">
        <v>589.0</v>
      </c>
      <c r="Q57" s="20" t="s">
        <v>59</v>
      </c>
      <c r="R57" s="20" t="s">
        <v>58</v>
      </c>
      <c r="S57" s="20" t="s">
        <v>58</v>
      </c>
      <c r="T57" s="20"/>
      <c r="U57" s="20"/>
      <c r="V57" s="20" t="s">
        <v>61</v>
      </c>
      <c r="W57" s="20" t="s">
        <v>58</v>
      </c>
      <c r="X57" s="20" t="s">
        <v>58</v>
      </c>
      <c r="Y57" s="20" t="s">
        <v>58</v>
      </c>
      <c r="Z57" s="20" t="s">
        <v>58</v>
      </c>
      <c r="AA57" s="20" t="s">
        <v>58</v>
      </c>
      <c r="AB57" s="20" t="s">
        <v>58</v>
      </c>
      <c r="AC57" s="20" t="s">
        <v>58</v>
      </c>
      <c r="AD57" s="20" t="s">
        <v>58</v>
      </c>
      <c r="AE57" s="20" t="s">
        <v>58</v>
      </c>
      <c r="AF57" s="20" t="s">
        <v>61</v>
      </c>
      <c r="AG57" s="20" t="s">
        <v>61</v>
      </c>
      <c r="AH57" s="20" t="s">
        <v>58</v>
      </c>
      <c r="AI57" s="19">
        <v>15.0</v>
      </c>
      <c r="AJ57" s="19">
        <v>200.0</v>
      </c>
      <c r="AK57" s="19">
        <v>15.0</v>
      </c>
      <c r="AL57" s="19">
        <v>0.0</v>
      </c>
      <c r="AM57" s="20"/>
      <c r="AN57" s="19">
        <v>489.0</v>
      </c>
      <c r="AO57" s="19">
        <v>589.0</v>
      </c>
      <c r="AP57" s="26" t="s">
        <v>65</v>
      </c>
      <c r="AQ57" s="19"/>
    </row>
    <row r="58">
      <c r="A58" s="19">
        <v>53.0</v>
      </c>
      <c r="B58" s="20" t="s">
        <v>862</v>
      </c>
      <c r="C58" s="20" t="s">
        <v>863</v>
      </c>
      <c r="D58" s="20" t="s">
        <v>864</v>
      </c>
      <c r="E58" s="20" t="s">
        <v>49</v>
      </c>
      <c r="F58" s="29" t="s">
        <v>122</v>
      </c>
      <c r="G58" s="29">
        <v>7.947129996E9</v>
      </c>
      <c r="H58" s="20" t="s">
        <v>570</v>
      </c>
      <c r="I58" s="20" t="s">
        <v>571</v>
      </c>
      <c r="J58" s="20" t="s">
        <v>571</v>
      </c>
      <c r="K58" s="20" t="s">
        <v>55</v>
      </c>
      <c r="L58" s="20" t="s">
        <v>56</v>
      </c>
      <c r="M58" s="20" t="s">
        <v>57</v>
      </c>
      <c r="N58" s="20" t="s">
        <v>58</v>
      </c>
      <c r="O58" s="19">
        <v>1150.0</v>
      </c>
      <c r="P58" s="19">
        <v>1250.0</v>
      </c>
      <c r="Q58" s="20" t="s">
        <v>59</v>
      </c>
      <c r="R58" s="20" t="s">
        <v>58</v>
      </c>
      <c r="S58" s="20" t="s">
        <v>58</v>
      </c>
      <c r="T58" s="20" t="s">
        <v>275</v>
      </c>
      <c r="U58" s="20"/>
      <c r="V58" s="20" t="s">
        <v>61</v>
      </c>
      <c r="W58" s="20" t="s">
        <v>58</v>
      </c>
      <c r="X58" s="20" t="s">
        <v>58</v>
      </c>
      <c r="Y58" s="20" t="s">
        <v>58</v>
      </c>
      <c r="Z58" s="20" t="s">
        <v>58</v>
      </c>
      <c r="AA58" s="20" t="s">
        <v>58</v>
      </c>
      <c r="AB58" s="20" t="s">
        <v>58</v>
      </c>
      <c r="AC58" s="20" t="s">
        <v>58</v>
      </c>
      <c r="AD58" s="20" t="s">
        <v>58</v>
      </c>
      <c r="AE58" s="20" t="s">
        <v>58</v>
      </c>
      <c r="AF58" s="20" t="s">
        <v>61</v>
      </c>
      <c r="AG58" s="20" t="s">
        <v>61</v>
      </c>
      <c r="AH58" s="20" t="s">
        <v>58</v>
      </c>
      <c r="AI58" s="19">
        <v>50.0</v>
      </c>
      <c r="AJ58" s="19">
        <v>500.0</v>
      </c>
      <c r="AK58" s="19">
        <v>50.0</v>
      </c>
      <c r="AL58" s="19">
        <v>0.0</v>
      </c>
      <c r="AM58" s="20"/>
      <c r="AN58" s="19">
        <v>1150.0</v>
      </c>
      <c r="AO58" s="19">
        <v>1250.0</v>
      </c>
      <c r="AP58" s="26" t="s">
        <v>65</v>
      </c>
      <c r="AQ58" s="19"/>
    </row>
    <row r="59">
      <c r="A59" s="19">
        <v>55.0</v>
      </c>
      <c r="B59" s="20" t="s">
        <v>873</v>
      </c>
      <c r="C59" s="20" t="s">
        <v>875</v>
      </c>
      <c r="D59" s="29" t="s">
        <v>873</v>
      </c>
      <c r="E59" s="20" t="s">
        <v>49</v>
      </c>
      <c r="F59" s="51" t="s">
        <v>877</v>
      </c>
      <c r="G59" s="29" t="s">
        <v>69</v>
      </c>
      <c r="H59" s="20" t="s">
        <v>147</v>
      </c>
      <c r="I59" s="20" t="s">
        <v>148</v>
      </c>
      <c r="J59" s="20" t="s">
        <v>148</v>
      </c>
      <c r="K59" s="20" t="s">
        <v>55</v>
      </c>
      <c r="L59" s="20" t="s">
        <v>56</v>
      </c>
      <c r="M59" s="20" t="s">
        <v>57</v>
      </c>
      <c r="N59" s="20" t="s">
        <v>58</v>
      </c>
      <c r="O59" s="19">
        <v>500.0</v>
      </c>
      <c r="P59" s="19">
        <v>700.0</v>
      </c>
      <c r="Q59" s="20" t="s">
        <v>59</v>
      </c>
      <c r="R59" s="20" t="s">
        <v>58</v>
      </c>
      <c r="S59" s="20" t="s">
        <v>58</v>
      </c>
      <c r="T59" s="20"/>
      <c r="U59" s="20"/>
      <c r="V59" s="20" t="s">
        <v>61</v>
      </c>
      <c r="W59" s="20" t="s">
        <v>58</v>
      </c>
      <c r="X59" s="20" t="s">
        <v>58</v>
      </c>
      <c r="Y59" s="20" t="s">
        <v>58</v>
      </c>
      <c r="Z59" s="20" t="s">
        <v>58</v>
      </c>
      <c r="AA59" s="20" t="s">
        <v>58</v>
      </c>
      <c r="AB59" s="20" t="s">
        <v>58</v>
      </c>
      <c r="AC59" s="20" t="s">
        <v>58</v>
      </c>
      <c r="AD59" s="20" t="s">
        <v>58</v>
      </c>
      <c r="AE59" s="20" t="s">
        <v>58</v>
      </c>
      <c r="AF59" s="20" t="s">
        <v>61</v>
      </c>
      <c r="AG59" s="20" t="s">
        <v>61</v>
      </c>
      <c r="AH59" s="20" t="s">
        <v>58</v>
      </c>
      <c r="AI59" s="19">
        <v>25.0</v>
      </c>
      <c r="AJ59" s="19">
        <v>1500.0</v>
      </c>
      <c r="AK59" s="19">
        <v>25.0</v>
      </c>
      <c r="AL59" s="19">
        <v>0.0</v>
      </c>
      <c r="AM59" s="20"/>
      <c r="AN59" s="19">
        <v>500.0</v>
      </c>
      <c r="AO59" s="19">
        <v>700.0</v>
      </c>
      <c r="AP59" s="26" t="s">
        <v>65</v>
      </c>
      <c r="AQ59" s="19"/>
    </row>
    <row r="60">
      <c r="A60" s="19">
        <v>56.0</v>
      </c>
      <c r="B60" s="20" t="s">
        <v>108</v>
      </c>
      <c r="C60" s="20" t="s">
        <v>111</v>
      </c>
      <c r="D60" s="20" t="s">
        <v>112</v>
      </c>
      <c r="E60" s="20" t="s">
        <v>49</v>
      </c>
      <c r="F60" s="51" t="s">
        <v>114</v>
      </c>
      <c r="G60" s="29" t="s">
        <v>69</v>
      </c>
      <c r="H60" s="20" t="s">
        <v>118</v>
      </c>
      <c r="I60" s="20" t="s">
        <v>92</v>
      </c>
      <c r="J60" s="20" t="s">
        <v>92</v>
      </c>
      <c r="K60" s="20" t="s">
        <v>55</v>
      </c>
      <c r="L60" s="20" t="s">
        <v>56</v>
      </c>
      <c r="M60" s="20" t="s">
        <v>57</v>
      </c>
      <c r="N60" s="20" t="s">
        <v>58</v>
      </c>
      <c r="O60" s="19">
        <v>699.0</v>
      </c>
      <c r="P60" s="19">
        <v>899.0</v>
      </c>
      <c r="Q60" s="20" t="s">
        <v>59</v>
      </c>
      <c r="R60" s="20" t="s">
        <v>58</v>
      </c>
      <c r="S60" s="20" t="s">
        <v>58</v>
      </c>
      <c r="T60" s="20" t="s">
        <v>275</v>
      </c>
      <c r="U60" s="20" t="s">
        <v>342</v>
      </c>
      <c r="V60" s="20" t="s">
        <v>61</v>
      </c>
      <c r="W60" s="20" t="s">
        <v>58</v>
      </c>
      <c r="X60" s="20" t="s">
        <v>58</v>
      </c>
      <c r="Y60" s="20" t="s">
        <v>58</v>
      </c>
      <c r="Z60" s="20" t="s">
        <v>58</v>
      </c>
      <c r="AA60" s="20" t="s">
        <v>58</v>
      </c>
      <c r="AB60" s="20" t="s">
        <v>58</v>
      </c>
      <c r="AC60" s="20" t="s">
        <v>58</v>
      </c>
      <c r="AD60" s="20" t="s">
        <v>58</v>
      </c>
      <c r="AE60" s="20" t="s">
        <v>58</v>
      </c>
      <c r="AF60" s="20" t="s">
        <v>61</v>
      </c>
      <c r="AG60" s="20" t="s">
        <v>61</v>
      </c>
      <c r="AH60" s="20" t="s">
        <v>58</v>
      </c>
      <c r="AI60" s="19">
        <v>50.0</v>
      </c>
      <c r="AJ60" s="19">
        <v>2000.0</v>
      </c>
      <c r="AK60" s="19">
        <v>50.0</v>
      </c>
      <c r="AL60" s="19">
        <v>0.0</v>
      </c>
      <c r="AM60" s="20" t="s">
        <v>132</v>
      </c>
      <c r="AN60" s="19">
        <v>699.0</v>
      </c>
      <c r="AO60" s="19">
        <v>899.0</v>
      </c>
      <c r="AP60" s="26" t="s">
        <v>65</v>
      </c>
      <c r="AQ60" s="19"/>
    </row>
    <row r="61">
      <c r="A61" s="19">
        <v>57.0</v>
      </c>
      <c r="B61" s="20" t="s">
        <v>96</v>
      </c>
      <c r="C61" s="20" t="s">
        <v>97</v>
      </c>
      <c r="D61" s="20" t="s">
        <v>98</v>
      </c>
      <c r="E61" s="20" t="s">
        <v>49</v>
      </c>
      <c r="F61" s="29" t="s">
        <v>69</v>
      </c>
      <c r="G61" s="29" t="s">
        <v>69</v>
      </c>
      <c r="H61" s="20" t="s">
        <v>102</v>
      </c>
      <c r="I61" s="20" t="s">
        <v>103</v>
      </c>
      <c r="J61" s="20" t="s">
        <v>103</v>
      </c>
      <c r="K61" s="20" t="s">
        <v>55</v>
      </c>
      <c r="L61" s="20" t="s">
        <v>56</v>
      </c>
      <c r="M61" s="20" t="s">
        <v>57</v>
      </c>
      <c r="N61" s="20" t="s">
        <v>58</v>
      </c>
      <c r="O61" s="19">
        <v>5850.0</v>
      </c>
      <c r="P61" s="19">
        <v>5850.0</v>
      </c>
      <c r="Q61" s="20" t="s">
        <v>59</v>
      </c>
      <c r="R61" s="20" t="s">
        <v>58</v>
      </c>
      <c r="S61" s="20" t="s">
        <v>58</v>
      </c>
      <c r="T61" s="20" t="s">
        <v>104</v>
      </c>
      <c r="U61" s="20"/>
      <c r="V61" s="20" t="s">
        <v>61</v>
      </c>
      <c r="W61" s="20" t="s">
        <v>58</v>
      </c>
      <c r="X61" s="20" t="s">
        <v>58</v>
      </c>
      <c r="Y61" s="20" t="s">
        <v>58</v>
      </c>
      <c r="Z61" s="20" t="s">
        <v>58</v>
      </c>
      <c r="AA61" s="20" t="s">
        <v>58</v>
      </c>
      <c r="AB61" s="20" t="s">
        <v>58</v>
      </c>
      <c r="AC61" s="20" t="s">
        <v>58</v>
      </c>
      <c r="AD61" s="20" t="s">
        <v>58</v>
      </c>
      <c r="AE61" s="20" t="s">
        <v>58</v>
      </c>
      <c r="AF61" s="20" t="s">
        <v>61</v>
      </c>
      <c r="AG61" s="20" t="s">
        <v>61</v>
      </c>
      <c r="AH61" s="20" t="s">
        <v>58</v>
      </c>
      <c r="AI61" s="19">
        <v>25.0</v>
      </c>
      <c r="AJ61" s="19">
        <v>5000.0</v>
      </c>
      <c r="AK61" s="19">
        <v>25.0</v>
      </c>
      <c r="AL61" s="19">
        <v>0.0</v>
      </c>
      <c r="AM61" s="20"/>
      <c r="AN61" s="19">
        <v>5850.0</v>
      </c>
      <c r="AO61" s="19">
        <v>5850.0</v>
      </c>
      <c r="AP61" s="29" t="s">
        <v>65</v>
      </c>
      <c r="AQ61" s="19"/>
    </row>
    <row r="62">
      <c r="A62" s="31">
        <v>58.0</v>
      </c>
      <c r="B62" s="32" t="s">
        <v>295</v>
      </c>
      <c r="C62" s="32" t="s">
        <v>296</v>
      </c>
      <c r="D62" s="32" t="s">
        <v>297</v>
      </c>
      <c r="E62" s="32" t="s">
        <v>49</v>
      </c>
      <c r="F62" s="35" t="s">
        <v>306</v>
      </c>
      <c r="G62" s="21" t="s">
        <v>301</v>
      </c>
      <c r="H62" s="32" t="s">
        <v>302</v>
      </c>
      <c r="I62" s="32" t="s">
        <v>303</v>
      </c>
      <c r="J62" s="32" t="s">
        <v>74</v>
      </c>
      <c r="K62" s="32" t="s">
        <v>55</v>
      </c>
      <c r="L62" s="32" t="s">
        <v>56</v>
      </c>
      <c r="M62" s="32" t="s">
        <v>57</v>
      </c>
      <c r="N62" s="32" t="s">
        <v>58</v>
      </c>
      <c r="O62" s="31">
        <v>1000.0</v>
      </c>
      <c r="P62" s="31">
        <v>2000.0</v>
      </c>
      <c r="Q62" s="32" t="s">
        <v>59</v>
      </c>
      <c r="R62" s="32" t="s">
        <v>58</v>
      </c>
      <c r="S62" s="32" t="s">
        <v>58</v>
      </c>
      <c r="T62" s="32" t="s">
        <v>909</v>
      </c>
      <c r="U62" s="32"/>
      <c r="V62" s="32" t="s">
        <v>61</v>
      </c>
      <c r="W62" s="32" t="s">
        <v>58</v>
      </c>
      <c r="X62" s="32" t="s">
        <v>58</v>
      </c>
      <c r="Y62" s="32" t="s">
        <v>58</v>
      </c>
      <c r="Z62" s="32" t="s">
        <v>58</v>
      </c>
      <c r="AA62" s="32" t="s">
        <v>58</v>
      </c>
      <c r="AB62" s="32" t="s">
        <v>58</v>
      </c>
      <c r="AC62" s="32" t="s">
        <v>58</v>
      </c>
      <c r="AD62" s="32" t="s">
        <v>58</v>
      </c>
      <c r="AE62" s="32" t="s">
        <v>58</v>
      </c>
      <c r="AF62" s="32" t="s">
        <v>61</v>
      </c>
      <c r="AG62" s="32" t="s">
        <v>61</v>
      </c>
      <c r="AH62" s="32" t="s">
        <v>58</v>
      </c>
      <c r="AI62" s="31">
        <v>50.0</v>
      </c>
      <c r="AJ62" s="31">
        <v>3000.0</v>
      </c>
      <c r="AK62" s="31">
        <v>50.0</v>
      </c>
      <c r="AL62" s="31">
        <v>0.0</v>
      </c>
      <c r="AM62" s="32"/>
      <c r="AN62" s="31">
        <v>1000.0</v>
      </c>
      <c r="AO62" s="31">
        <v>2000.0</v>
      </c>
      <c r="AP62" s="34" t="s">
        <v>65</v>
      </c>
      <c r="AQ62" s="21">
        <v>2.0</v>
      </c>
    </row>
    <row r="63">
      <c r="A63" s="31">
        <v>59.0</v>
      </c>
      <c r="B63" s="32" t="s">
        <v>444</v>
      </c>
      <c r="C63" s="32" t="s">
        <v>445</v>
      </c>
      <c r="D63" s="32" t="s">
        <v>446</v>
      </c>
      <c r="E63" s="32" t="s">
        <v>49</v>
      </c>
      <c r="F63" s="35" t="s">
        <v>914</v>
      </c>
      <c r="G63" s="21">
        <v>8.826807808E9</v>
      </c>
      <c r="H63" s="32" t="s">
        <v>449</v>
      </c>
      <c r="I63" s="32" t="s">
        <v>450</v>
      </c>
      <c r="J63" s="32" t="s">
        <v>74</v>
      </c>
      <c r="K63" s="32" t="s">
        <v>55</v>
      </c>
      <c r="L63" s="32" t="s">
        <v>56</v>
      </c>
      <c r="M63" s="32" t="s">
        <v>57</v>
      </c>
      <c r="N63" s="32" t="s">
        <v>58</v>
      </c>
      <c r="O63" s="31">
        <v>1500.0</v>
      </c>
      <c r="P63" s="31">
        <v>2000.0</v>
      </c>
      <c r="Q63" s="32" t="s">
        <v>59</v>
      </c>
      <c r="R63" s="32" t="s">
        <v>58</v>
      </c>
      <c r="S63" s="32" t="s">
        <v>58</v>
      </c>
      <c r="T63" s="32" t="s">
        <v>275</v>
      </c>
      <c r="U63" s="32"/>
      <c r="V63" s="32" t="s">
        <v>61</v>
      </c>
      <c r="W63" s="32" t="s">
        <v>58</v>
      </c>
      <c r="X63" s="32" t="s">
        <v>58</v>
      </c>
      <c r="Y63" s="32" t="s">
        <v>58</v>
      </c>
      <c r="Z63" s="32" t="s">
        <v>58</v>
      </c>
      <c r="AA63" s="32" t="s">
        <v>58</v>
      </c>
      <c r="AB63" s="32" t="s">
        <v>58</v>
      </c>
      <c r="AC63" s="32" t="s">
        <v>58</v>
      </c>
      <c r="AD63" s="32" t="s">
        <v>58</v>
      </c>
      <c r="AE63" s="32" t="s">
        <v>58</v>
      </c>
      <c r="AF63" s="32" t="s">
        <v>61</v>
      </c>
      <c r="AG63" s="32" t="s">
        <v>61</v>
      </c>
      <c r="AH63" s="32" t="s">
        <v>58</v>
      </c>
      <c r="AI63" s="31">
        <v>50.0</v>
      </c>
      <c r="AJ63" s="31">
        <v>2000.0</v>
      </c>
      <c r="AK63" s="31">
        <v>50.0</v>
      </c>
      <c r="AL63" s="31">
        <v>0.0</v>
      </c>
      <c r="AM63" s="32"/>
      <c r="AN63" s="31">
        <v>1500.0</v>
      </c>
      <c r="AO63" s="31">
        <v>2000.0</v>
      </c>
      <c r="AP63" s="34" t="s">
        <v>65</v>
      </c>
      <c r="AQ63" s="21">
        <v>2.0</v>
      </c>
    </row>
    <row r="64">
      <c r="A64" s="19">
        <v>60.0</v>
      </c>
      <c r="B64" s="20" t="s">
        <v>280</v>
      </c>
      <c r="C64" s="20" t="s">
        <v>282</v>
      </c>
      <c r="D64" s="20" t="s">
        <v>283</v>
      </c>
      <c r="E64" s="20" t="s">
        <v>49</v>
      </c>
      <c r="F64" s="29" t="s">
        <v>69</v>
      </c>
      <c r="G64" s="29">
        <v>7.947434757E9</v>
      </c>
      <c r="H64" s="20" t="s">
        <v>285</v>
      </c>
      <c r="I64" s="20" t="s">
        <v>286</v>
      </c>
      <c r="J64" s="20" t="s">
        <v>74</v>
      </c>
      <c r="K64" s="20" t="s">
        <v>55</v>
      </c>
      <c r="L64" s="20" t="s">
        <v>56</v>
      </c>
      <c r="M64" s="20" t="s">
        <v>57</v>
      </c>
      <c r="N64" s="20" t="s">
        <v>58</v>
      </c>
      <c r="O64" s="19">
        <v>1500.0</v>
      </c>
      <c r="P64" s="19">
        <v>1800.0</v>
      </c>
      <c r="Q64" s="20" t="s">
        <v>59</v>
      </c>
      <c r="R64" s="20" t="s">
        <v>58</v>
      </c>
      <c r="S64" s="20" t="s">
        <v>58</v>
      </c>
      <c r="T64" s="8" t="s">
        <v>932</v>
      </c>
      <c r="U64" s="20" t="s">
        <v>291</v>
      </c>
      <c r="V64" s="20" t="s">
        <v>61</v>
      </c>
      <c r="W64" s="20" t="s">
        <v>58</v>
      </c>
      <c r="X64" s="20" t="s">
        <v>58</v>
      </c>
      <c r="Y64" s="20" t="s">
        <v>58</v>
      </c>
      <c r="Z64" s="20" t="s">
        <v>58</v>
      </c>
      <c r="AA64" s="20" t="s">
        <v>58</v>
      </c>
      <c r="AB64" s="20" t="s">
        <v>58</v>
      </c>
      <c r="AC64" s="20" t="s">
        <v>58</v>
      </c>
      <c r="AD64" s="20" t="s">
        <v>58</v>
      </c>
      <c r="AE64" s="20" t="s">
        <v>58</v>
      </c>
      <c r="AF64" s="20" t="s">
        <v>61</v>
      </c>
      <c r="AG64" s="20" t="s">
        <v>61</v>
      </c>
      <c r="AH64" s="20" t="s">
        <v>58</v>
      </c>
      <c r="AI64" s="19">
        <v>100.0</v>
      </c>
      <c r="AJ64" s="19">
        <v>5000.0</v>
      </c>
      <c r="AK64" s="19">
        <v>100.0</v>
      </c>
      <c r="AL64" s="19">
        <v>0.0</v>
      </c>
      <c r="AM64" s="20" t="s">
        <v>933</v>
      </c>
      <c r="AN64" s="19">
        <v>1500.0</v>
      </c>
      <c r="AO64" s="19">
        <v>1800.0</v>
      </c>
      <c r="AP64" s="26" t="s">
        <v>65</v>
      </c>
      <c r="AQ64" s="19"/>
    </row>
    <row r="65">
      <c r="A65" s="31">
        <v>61.0</v>
      </c>
      <c r="B65" s="32" t="s">
        <v>307</v>
      </c>
      <c r="C65" s="32" t="s">
        <v>308</v>
      </c>
      <c r="D65" s="32" t="s">
        <v>311</v>
      </c>
      <c r="E65" s="32" t="s">
        <v>49</v>
      </c>
      <c r="F65" s="35" t="s">
        <v>936</v>
      </c>
      <c r="G65" s="21">
        <v>9.145131313E9</v>
      </c>
      <c r="H65" s="32" t="s">
        <v>314</v>
      </c>
      <c r="I65" s="32" t="s">
        <v>315</v>
      </c>
      <c r="J65" s="32" t="s">
        <v>74</v>
      </c>
      <c r="K65" s="32" t="s">
        <v>55</v>
      </c>
      <c r="L65" s="32" t="s">
        <v>56</v>
      </c>
      <c r="M65" s="32" t="s">
        <v>57</v>
      </c>
      <c r="N65" s="32" t="s">
        <v>58</v>
      </c>
      <c r="O65" s="31">
        <v>1400.0</v>
      </c>
      <c r="P65" s="31">
        <v>1500.0</v>
      </c>
      <c r="Q65" s="32" t="s">
        <v>59</v>
      </c>
      <c r="R65" s="32" t="s">
        <v>58</v>
      </c>
      <c r="S65" s="32" t="s">
        <v>58</v>
      </c>
      <c r="T65" s="32" t="s">
        <v>944</v>
      </c>
      <c r="U65" s="32" t="s">
        <v>319</v>
      </c>
      <c r="V65" s="32" t="s">
        <v>61</v>
      </c>
      <c r="W65" s="32" t="s">
        <v>58</v>
      </c>
      <c r="X65" s="32" t="s">
        <v>58</v>
      </c>
      <c r="Y65" s="32" t="s">
        <v>58</v>
      </c>
      <c r="Z65" s="32" t="s">
        <v>58</v>
      </c>
      <c r="AA65" s="32" t="s">
        <v>58</v>
      </c>
      <c r="AB65" s="32" t="s">
        <v>58</v>
      </c>
      <c r="AC65" s="32" t="s">
        <v>58</v>
      </c>
      <c r="AD65" s="32" t="s">
        <v>58</v>
      </c>
      <c r="AE65" s="32" t="s">
        <v>58</v>
      </c>
      <c r="AF65" s="32" t="s">
        <v>61</v>
      </c>
      <c r="AG65" s="32" t="s">
        <v>61</v>
      </c>
      <c r="AH65" s="32" t="s">
        <v>58</v>
      </c>
      <c r="AI65" s="31">
        <v>100.0</v>
      </c>
      <c r="AJ65" s="31">
        <v>5000.0</v>
      </c>
      <c r="AK65" s="31">
        <v>100.0</v>
      </c>
      <c r="AL65" s="31">
        <v>0.0</v>
      </c>
      <c r="AM65" s="32" t="s">
        <v>950</v>
      </c>
      <c r="AN65" s="31">
        <v>1400.0</v>
      </c>
      <c r="AO65" s="31">
        <v>1500.0</v>
      </c>
      <c r="AP65" s="34" t="s">
        <v>65</v>
      </c>
      <c r="AQ65" s="21">
        <v>2.0</v>
      </c>
    </row>
    <row r="66">
      <c r="A66" s="31">
        <v>62.0</v>
      </c>
      <c r="B66" s="32" t="s">
        <v>242</v>
      </c>
      <c r="C66" s="32" t="s">
        <v>244</v>
      </c>
      <c r="D66" s="21" t="s">
        <v>247</v>
      </c>
      <c r="E66" s="32" t="s">
        <v>49</v>
      </c>
      <c r="F66" s="35" t="s">
        <v>952</v>
      </c>
      <c r="G66" s="21" t="s">
        <v>956</v>
      </c>
      <c r="H66" s="32" t="s">
        <v>147</v>
      </c>
      <c r="I66" s="32" t="s">
        <v>148</v>
      </c>
      <c r="J66" s="32" t="s">
        <v>148</v>
      </c>
      <c r="K66" s="32" t="s">
        <v>55</v>
      </c>
      <c r="L66" s="32" t="s">
        <v>56</v>
      </c>
      <c r="M66" s="32" t="s">
        <v>57</v>
      </c>
      <c r="N66" s="32" t="s">
        <v>58</v>
      </c>
      <c r="O66" s="31">
        <v>800.0</v>
      </c>
      <c r="P66" s="31">
        <v>1000.0</v>
      </c>
      <c r="Q66" s="32" t="s">
        <v>59</v>
      </c>
      <c r="R66" s="32" t="s">
        <v>58</v>
      </c>
      <c r="S66" s="32" t="s">
        <v>58</v>
      </c>
      <c r="T66" s="32"/>
      <c r="U66" s="32"/>
      <c r="V66" s="32" t="s">
        <v>61</v>
      </c>
      <c r="W66" s="32" t="s">
        <v>58</v>
      </c>
      <c r="X66" s="32" t="s">
        <v>58</v>
      </c>
      <c r="Y66" s="32" t="s">
        <v>58</v>
      </c>
      <c r="Z66" s="32" t="s">
        <v>58</v>
      </c>
      <c r="AA66" s="32" t="s">
        <v>58</v>
      </c>
      <c r="AB66" s="32" t="s">
        <v>58</v>
      </c>
      <c r="AC66" s="32" t="s">
        <v>58</v>
      </c>
      <c r="AD66" s="32" t="s">
        <v>58</v>
      </c>
      <c r="AE66" s="32" t="s">
        <v>58</v>
      </c>
      <c r="AF66" s="32" t="s">
        <v>61</v>
      </c>
      <c r="AG66" s="32" t="s">
        <v>61</v>
      </c>
      <c r="AH66" s="32" t="s">
        <v>58</v>
      </c>
      <c r="AI66" s="31">
        <v>40.0</v>
      </c>
      <c r="AJ66" s="31">
        <v>700.0</v>
      </c>
      <c r="AK66" s="31">
        <v>40.0</v>
      </c>
      <c r="AL66" s="31">
        <v>0.0</v>
      </c>
      <c r="AM66" s="32"/>
      <c r="AN66" s="31">
        <v>800.0</v>
      </c>
      <c r="AO66" s="31">
        <v>1000.0</v>
      </c>
      <c r="AP66" s="34" t="s">
        <v>65</v>
      </c>
      <c r="AQ66" s="21">
        <v>2.0</v>
      </c>
    </row>
    <row r="67">
      <c r="A67" s="19">
        <v>63.0</v>
      </c>
      <c r="B67" s="20" t="s">
        <v>257</v>
      </c>
      <c r="C67" s="20" t="s">
        <v>292</v>
      </c>
      <c r="D67" s="29" t="s">
        <v>963</v>
      </c>
      <c r="E67" s="20" t="s">
        <v>49</v>
      </c>
      <c r="F67" s="29" t="s">
        <v>122</v>
      </c>
      <c r="G67" s="29">
        <v>9.899096699E9</v>
      </c>
      <c r="H67" s="20" t="s">
        <v>118</v>
      </c>
      <c r="I67" s="20" t="s">
        <v>92</v>
      </c>
      <c r="J67" s="20" t="s">
        <v>92</v>
      </c>
      <c r="K67" s="20" t="s">
        <v>55</v>
      </c>
      <c r="L67" s="20" t="s">
        <v>56</v>
      </c>
      <c r="M67" s="20" t="s">
        <v>57</v>
      </c>
      <c r="N67" s="20" t="s">
        <v>58</v>
      </c>
      <c r="O67" s="19">
        <v>2000.0</v>
      </c>
      <c r="P67" s="19">
        <v>2300.0</v>
      </c>
      <c r="Q67" s="20" t="s">
        <v>59</v>
      </c>
      <c r="R67" s="20" t="s">
        <v>58</v>
      </c>
      <c r="S67" s="20" t="s">
        <v>58</v>
      </c>
      <c r="T67" s="20"/>
      <c r="U67" s="20"/>
      <c r="V67" s="20" t="s">
        <v>61</v>
      </c>
      <c r="W67" s="20" t="s">
        <v>58</v>
      </c>
      <c r="X67" s="20" t="s">
        <v>58</v>
      </c>
      <c r="Y67" s="20" t="s">
        <v>58</v>
      </c>
      <c r="Z67" s="20" t="s">
        <v>58</v>
      </c>
      <c r="AA67" s="20" t="s">
        <v>58</v>
      </c>
      <c r="AB67" s="20" t="s">
        <v>58</v>
      </c>
      <c r="AC67" s="20" t="s">
        <v>58</v>
      </c>
      <c r="AD67" s="20" t="s">
        <v>58</v>
      </c>
      <c r="AE67" s="20" t="s">
        <v>58</v>
      </c>
      <c r="AF67" s="20" t="s">
        <v>61</v>
      </c>
      <c r="AG67" s="20" t="s">
        <v>61</v>
      </c>
      <c r="AH67" s="20" t="s">
        <v>58</v>
      </c>
      <c r="AI67" s="19">
        <v>0.0</v>
      </c>
      <c r="AJ67" s="19">
        <v>0.0</v>
      </c>
      <c r="AK67" s="19">
        <v>0.0</v>
      </c>
      <c r="AL67" s="19">
        <v>0.0</v>
      </c>
      <c r="AM67" s="20"/>
      <c r="AN67" s="19">
        <v>2000.0</v>
      </c>
      <c r="AO67" s="19">
        <v>2300.0</v>
      </c>
      <c r="AP67" s="26" t="s">
        <v>65</v>
      </c>
      <c r="AQ67" s="19"/>
    </row>
    <row r="68">
      <c r="A68" s="31">
        <v>65.0</v>
      </c>
      <c r="B68" s="32" t="s">
        <v>138</v>
      </c>
      <c r="C68" s="32" t="s">
        <v>140</v>
      </c>
      <c r="D68" s="21" t="s">
        <v>143</v>
      </c>
      <c r="E68" s="32" t="s">
        <v>49</v>
      </c>
      <c r="F68" s="35" t="s">
        <v>145</v>
      </c>
      <c r="G68" s="21">
        <v>8.048073745E9</v>
      </c>
      <c r="H68" s="32" t="s">
        <v>147</v>
      </c>
      <c r="I68" s="32" t="s">
        <v>148</v>
      </c>
      <c r="J68" s="32" t="s">
        <v>148</v>
      </c>
      <c r="K68" s="32" t="s">
        <v>55</v>
      </c>
      <c r="L68" s="32" t="s">
        <v>56</v>
      </c>
      <c r="M68" s="32" t="s">
        <v>57</v>
      </c>
      <c r="N68" s="32" t="s">
        <v>58</v>
      </c>
      <c r="O68" s="31">
        <v>500.0</v>
      </c>
      <c r="P68" s="31">
        <v>850.0</v>
      </c>
      <c r="Q68" s="32" t="s">
        <v>59</v>
      </c>
      <c r="R68" s="32" t="s">
        <v>58</v>
      </c>
      <c r="S68" s="32" t="s">
        <v>58</v>
      </c>
      <c r="T68" s="32"/>
      <c r="U68" s="32"/>
      <c r="V68" s="32" t="s">
        <v>61</v>
      </c>
      <c r="W68" s="32" t="s">
        <v>58</v>
      </c>
      <c r="X68" s="32" t="s">
        <v>58</v>
      </c>
      <c r="Y68" s="32" t="s">
        <v>58</v>
      </c>
      <c r="Z68" s="32" t="s">
        <v>58</v>
      </c>
      <c r="AA68" s="32" t="s">
        <v>58</v>
      </c>
      <c r="AB68" s="32" t="s">
        <v>58</v>
      </c>
      <c r="AC68" s="32" t="s">
        <v>58</v>
      </c>
      <c r="AD68" s="32" t="s">
        <v>58</v>
      </c>
      <c r="AE68" s="32" t="s">
        <v>58</v>
      </c>
      <c r="AF68" s="32" t="s">
        <v>61</v>
      </c>
      <c r="AG68" s="32" t="s">
        <v>61</v>
      </c>
      <c r="AH68" s="32" t="s">
        <v>58</v>
      </c>
      <c r="AI68" s="31">
        <v>20.0</v>
      </c>
      <c r="AJ68" s="31">
        <v>1000.0</v>
      </c>
      <c r="AK68" s="31">
        <v>20.0</v>
      </c>
      <c r="AL68" s="31">
        <v>0.0</v>
      </c>
      <c r="AM68" s="32"/>
      <c r="AN68" s="31">
        <v>500.0</v>
      </c>
      <c r="AO68" s="31">
        <v>850.0</v>
      </c>
      <c r="AP68" s="34" t="s">
        <v>65</v>
      </c>
      <c r="AQ68" s="21">
        <v>2.0</v>
      </c>
    </row>
    <row r="69">
      <c r="A69" s="19">
        <v>66.0</v>
      </c>
      <c r="B69" s="20" t="s">
        <v>773</v>
      </c>
      <c r="C69" s="20" t="s">
        <v>775</v>
      </c>
      <c r="D69" s="29" t="s">
        <v>776</v>
      </c>
      <c r="E69" s="20" t="s">
        <v>49</v>
      </c>
      <c r="F69" s="29" t="s">
        <v>69</v>
      </c>
      <c r="G69" s="29" t="s">
        <v>777</v>
      </c>
      <c r="H69" s="20" t="s">
        <v>147</v>
      </c>
      <c r="I69" s="20" t="s">
        <v>148</v>
      </c>
      <c r="J69" s="20" t="s">
        <v>148</v>
      </c>
      <c r="K69" s="20" t="s">
        <v>55</v>
      </c>
      <c r="L69" s="20" t="s">
        <v>56</v>
      </c>
      <c r="M69" s="20" t="s">
        <v>57</v>
      </c>
      <c r="N69" s="20" t="s">
        <v>58</v>
      </c>
      <c r="O69" s="19">
        <v>450.0</v>
      </c>
      <c r="P69" s="19">
        <v>650.0</v>
      </c>
      <c r="Q69" s="20" t="s">
        <v>59</v>
      </c>
      <c r="R69" s="20" t="s">
        <v>58</v>
      </c>
      <c r="S69" s="20" t="s">
        <v>58</v>
      </c>
      <c r="T69" s="20"/>
      <c r="U69" s="20"/>
      <c r="V69" s="20" t="s">
        <v>61</v>
      </c>
      <c r="W69" s="20" t="s">
        <v>58</v>
      </c>
      <c r="X69" s="20" t="s">
        <v>58</v>
      </c>
      <c r="Y69" s="20" t="s">
        <v>58</v>
      </c>
      <c r="Z69" s="20" t="s">
        <v>58</v>
      </c>
      <c r="AA69" s="20" t="s">
        <v>58</v>
      </c>
      <c r="AB69" s="20" t="s">
        <v>58</v>
      </c>
      <c r="AC69" s="20" t="s">
        <v>58</v>
      </c>
      <c r="AD69" s="20" t="s">
        <v>58</v>
      </c>
      <c r="AE69" s="20" t="s">
        <v>58</v>
      </c>
      <c r="AF69" s="20" t="s">
        <v>61</v>
      </c>
      <c r="AG69" s="20" t="s">
        <v>61</v>
      </c>
      <c r="AH69" s="20" t="s">
        <v>58</v>
      </c>
      <c r="AI69" s="19">
        <v>100.0</v>
      </c>
      <c r="AJ69" s="19">
        <v>5000.0</v>
      </c>
      <c r="AK69" s="19">
        <v>100.0</v>
      </c>
      <c r="AL69" s="19">
        <v>0.0</v>
      </c>
      <c r="AM69" s="20"/>
      <c r="AN69" s="19">
        <v>450.0</v>
      </c>
      <c r="AO69" s="19">
        <v>650.0</v>
      </c>
      <c r="AP69" s="26" t="s">
        <v>65</v>
      </c>
      <c r="AQ69" s="19"/>
    </row>
    <row r="70">
      <c r="A70" s="19">
        <v>67.0</v>
      </c>
      <c r="B70" s="20" t="s">
        <v>983</v>
      </c>
      <c r="C70" s="20" t="s">
        <v>984</v>
      </c>
      <c r="D70" s="29" t="s">
        <v>985</v>
      </c>
      <c r="E70" s="20" t="s">
        <v>49</v>
      </c>
      <c r="F70" s="29" t="s">
        <v>69</v>
      </c>
      <c r="G70" s="29">
        <v>7.947149135E9</v>
      </c>
      <c r="H70" s="20" t="s">
        <v>75</v>
      </c>
      <c r="I70" s="20" t="s">
        <v>76</v>
      </c>
      <c r="J70" s="20" t="s">
        <v>76</v>
      </c>
      <c r="K70" s="20" t="s">
        <v>55</v>
      </c>
      <c r="L70" s="20" t="s">
        <v>56</v>
      </c>
      <c r="M70" s="20" t="s">
        <v>57</v>
      </c>
      <c r="N70" s="20" t="s">
        <v>58</v>
      </c>
      <c r="O70" s="19">
        <v>1200.0</v>
      </c>
      <c r="P70" s="19">
        <v>1500.0</v>
      </c>
      <c r="Q70" s="20" t="s">
        <v>59</v>
      </c>
      <c r="R70" s="20" t="s">
        <v>58</v>
      </c>
      <c r="S70" s="20" t="s">
        <v>58</v>
      </c>
      <c r="T70" s="20"/>
      <c r="U70" s="20"/>
      <c r="V70" s="20" t="s">
        <v>61</v>
      </c>
      <c r="W70" s="20" t="s">
        <v>58</v>
      </c>
      <c r="X70" s="20" t="s">
        <v>58</v>
      </c>
      <c r="Y70" s="20" t="s">
        <v>58</v>
      </c>
      <c r="Z70" s="20" t="s">
        <v>58</v>
      </c>
      <c r="AA70" s="20" t="s">
        <v>58</v>
      </c>
      <c r="AB70" s="20" t="s">
        <v>58</v>
      </c>
      <c r="AC70" s="20" t="s">
        <v>58</v>
      </c>
      <c r="AD70" s="20" t="s">
        <v>58</v>
      </c>
      <c r="AE70" s="20" t="s">
        <v>58</v>
      </c>
      <c r="AF70" s="20" t="s">
        <v>61</v>
      </c>
      <c r="AG70" s="20" t="s">
        <v>61</v>
      </c>
      <c r="AH70" s="20" t="s">
        <v>58</v>
      </c>
      <c r="AI70" s="19">
        <v>100.0</v>
      </c>
      <c r="AJ70" s="19">
        <v>5000.0</v>
      </c>
      <c r="AK70" s="19">
        <v>100.0</v>
      </c>
      <c r="AL70" s="19">
        <v>0.0</v>
      </c>
      <c r="AM70" s="20"/>
      <c r="AN70" s="19">
        <v>1200.0</v>
      </c>
      <c r="AO70" s="19">
        <v>1500.0</v>
      </c>
      <c r="AP70" s="26" t="s">
        <v>65</v>
      </c>
      <c r="AQ70" s="19"/>
    </row>
    <row r="71">
      <c r="A71" s="19">
        <v>68.0</v>
      </c>
      <c r="B71" s="20" t="s">
        <v>990</v>
      </c>
      <c r="C71" s="20" t="s">
        <v>992</v>
      </c>
      <c r="D71" s="29" t="s">
        <v>993</v>
      </c>
      <c r="E71" s="20" t="s">
        <v>49</v>
      </c>
      <c r="F71" s="29" t="s">
        <v>69</v>
      </c>
      <c r="G71" s="29" t="s">
        <v>994</v>
      </c>
      <c r="H71" s="20" t="s">
        <v>123</v>
      </c>
      <c r="I71" s="20" t="s">
        <v>124</v>
      </c>
      <c r="J71" s="20" t="s">
        <v>74</v>
      </c>
      <c r="K71" s="20" t="s">
        <v>55</v>
      </c>
      <c r="L71" s="20" t="s">
        <v>56</v>
      </c>
      <c r="M71" s="20" t="s">
        <v>57</v>
      </c>
      <c r="N71" s="20" t="s">
        <v>58</v>
      </c>
      <c r="O71" s="19">
        <v>850.0</v>
      </c>
      <c r="P71" s="20"/>
      <c r="Q71" s="20" t="s">
        <v>59</v>
      </c>
      <c r="R71" s="20" t="s">
        <v>58</v>
      </c>
      <c r="S71" s="20" t="s">
        <v>58</v>
      </c>
      <c r="T71" s="20"/>
      <c r="U71" s="20"/>
      <c r="V71" s="20" t="s">
        <v>61</v>
      </c>
      <c r="W71" s="20" t="s">
        <v>58</v>
      </c>
      <c r="X71" s="20" t="s">
        <v>58</v>
      </c>
      <c r="Y71" s="20" t="s">
        <v>58</v>
      </c>
      <c r="Z71" s="20" t="s">
        <v>58</v>
      </c>
      <c r="AA71" s="20" t="s">
        <v>58</v>
      </c>
      <c r="AB71" s="20" t="s">
        <v>58</v>
      </c>
      <c r="AC71" s="20" t="s">
        <v>58</v>
      </c>
      <c r="AD71" s="20" t="s">
        <v>58</v>
      </c>
      <c r="AE71" s="20" t="s">
        <v>58</v>
      </c>
      <c r="AF71" s="20" t="s">
        <v>61</v>
      </c>
      <c r="AG71" s="20" t="s">
        <v>61</v>
      </c>
      <c r="AH71" s="20" t="s">
        <v>58</v>
      </c>
      <c r="AI71" s="19">
        <v>200.0</v>
      </c>
      <c r="AJ71" s="19">
        <v>5000.0</v>
      </c>
      <c r="AK71" s="19">
        <v>200.0</v>
      </c>
      <c r="AL71" s="19">
        <v>0.0</v>
      </c>
      <c r="AM71" s="20"/>
      <c r="AN71" s="19">
        <v>850.0</v>
      </c>
      <c r="AO71" s="19">
        <v>0.0</v>
      </c>
      <c r="AP71" s="26" t="s">
        <v>65</v>
      </c>
      <c r="AQ71" s="19"/>
    </row>
    <row r="72">
      <c r="A72" s="31">
        <v>69.0</v>
      </c>
      <c r="B72" s="32" t="s">
        <v>128</v>
      </c>
      <c r="C72" s="32" t="s">
        <v>129</v>
      </c>
      <c r="D72" s="32" t="s">
        <v>130</v>
      </c>
      <c r="E72" s="32" t="s">
        <v>49</v>
      </c>
      <c r="F72" s="35" t="s">
        <v>131</v>
      </c>
      <c r="G72" s="21">
        <v>8.802338595E9</v>
      </c>
      <c r="H72" s="32" t="s">
        <v>142</v>
      </c>
      <c r="I72" s="32" t="s">
        <v>144</v>
      </c>
      <c r="J72" s="32" t="s">
        <v>74</v>
      </c>
      <c r="K72" s="32" t="s">
        <v>55</v>
      </c>
      <c r="L72" s="32" t="s">
        <v>56</v>
      </c>
      <c r="M72" s="32" t="s">
        <v>57</v>
      </c>
      <c r="N72" s="32" t="s">
        <v>58</v>
      </c>
      <c r="O72" s="31">
        <v>1600.0</v>
      </c>
      <c r="P72" s="31">
        <v>1900.0</v>
      </c>
      <c r="Q72" s="32" t="s">
        <v>59</v>
      </c>
      <c r="R72" s="32" t="s">
        <v>58</v>
      </c>
      <c r="S72" s="32" t="s">
        <v>58</v>
      </c>
      <c r="T72" s="32" t="s">
        <v>1003</v>
      </c>
      <c r="U72" s="32"/>
      <c r="V72" s="32" t="s">
        <v>61</v>
      </c>
      <c r="W72" s="32" t="s">
        <v>58</v>
      </c>
      <c r="X72" s="32" t="s">
        <v>58</v>
      </c>
      <c r="Y72" s="32" t="s">
        <v>58</v>
      </c>
      <c r="Z72" s="32" t="s">
        <v>58</v>
      </c>
      <c r="AA72" s="32" t="s">
        <v>58</v>
      </c>
      <c r="AB72" s="32" t="s">
        <v>58</v>
      </c>
      <c r="AC72" s="32" t="s">
        <v>58</v>
      </c>
      <c r="AD72" s="32" t="s">
        <v>58</v>
      </c>
      <c r="AE72" s="32" t="s">
        <v>58</v>
      </c>
      <c r="AF72" s="32" t="s">
        <v>61</v>
      </c>
      <c r="AG72" s="32" t="s">
        <v>61</v>
      </c>
      <c r="AH72" s="32" t="s">
        <v>58</v>
      </c>
      <c r="AI72" s="31">
        <v>50.0</v>
      </c>
      <c r="AJ72" s="31">
        <v>2000.0</v>
      </c>
      <c r="AK72" s="31">
        <v>50.0</v>
      </c>
      <c r="AL72" s="31">
        <v>0.0</v>
      </c>
      <c r="AM72" s="32"/>
      <c r="AN72" s="31">
        <v>1600.0</v>
      </c>
      <c r="AO72" s="31">
        <v>1900.0</v>
      </c>
      <c r="AP72" s="34" t="s">
        <v>65</v>
      </c>
      <c r="AQ72" s="21">
        <v>2.0</v>
      </c>
    </row>
    <row r="73">
      <c r="A73" s="31">
        <v>70.0</v>
      </c>
      <c r="B73" s="32" t="s">
        <v>93</v>
      </c>
      <c r="C73" s="32" t="s">
        <v>94</v>
      </c>
      <c r="D73" s="32" t="s">
        <v>95</v>
      </c>
      <c r="E73" s="32" t="s">
        <v>49</v>
      </c>
      <c r="F73" s="35" t="s">
        <v>430</v>
      </c>
      <c r="G73" s="21" t="s">
        <v>439</v>
      </c>
      <c r="H73" s="32" t="s">
        <v>107</v>
      </c>
      <c r="I73" s="32" t="s">
        <v>109</v>
      </c>
      <c r="J73" s="32" t="s">
        <v>74</v>
      </c>
      <c r="K73" s="32" t="s">
        <v>55</v>
      </c>
      <c r="L73" s="32" t="s">
        <v>56</v>
      </c>
      <c r="M73" s="32" t="s">
        <v>57</v>
      </c>
      <c r="N73" s="32" t="s">
        <v>58</v>
      </c>
      <c r="O73" s="31">
        <v>1000.0</v>
      </c>
      <c r="P73" s="32"/>
      <c r="Q73" s="32" t="s">
        <v>59</v>
      </c>
      <c r="R73" s="32" t="s">
        <v>58</v>
      </c>
      <c r="S73" s="32" t="s">
        <v>58</v>
      </c>
      <c r="T73" s="32"/>
      <c r="U73" s="32"/>
      <c r="V73" s="32" t="s">
        <v>61</v>
      </c>
      <c r="W73" s="32" t="s">
        <v>58</v>
      </c>
      <c r="X73" s="32" t="s">
        <v>58</v>
      </c>
      <c r="Y73" s="32" t="s">
        <v>58</v>
      </c>
      <c r="Z73" s="32" t="s">
        <v>58</v>
      </c>
      <c r="AA73" s="32" t="s">
        <v>58</v>
      </c>
      <c r="AB73" s="32" t="s">
        <v>58</v>
      </c>
      <c r="AC73" s="32" t="s">
        <v>58</v>
      </c>
      <c r="AD73" s="32" t="s">
        <v>58</v>
      </c>
      <c r="AE73" s="32" t="s">
        <v>58</v>
      </c>
      <c r="AF73" s="32" t="s">
        <v>61</v>
      </c>
      <c r="AG73" s="32" t="s">
        <v>61</v>
      </c>
      <c r="AH73" s="32" t="s">
        <v>58</v>
      </c>
      <c r="AI73" s="31">
        <v>100.0</v>
      </c>
      <c r="AJ73" s="31">
        <v>50000.0</v>
      </c>
      <c r="AK73" s="31">
        <v>100.0</v>
      </c>
      <c r="AL73" s="31">
        <v>0.0</v>
      </c>
      <c r="AM73" s="32"/>
      <c r="AN73" s="31">
        <v>1000.0</v>
      </c>
      <c r="AO73" s="31">
        <v>0.0</v>
      </c>
      <c r="AP73" s="34" t="s">
        <v>65</v>
      </c>
      <c r="AQ73" s="21">
        <v>2.0</v>
      </c>
    </row>
    <row r="74">
      <c r="A74" s="31">
        <v>71.0</v>
      </c>
      <c r="B74" s="32" t="s">
        <v>119</v>
      </c>
      <c r="C74" s="32" t="s">
        <v>120</v>
      </c>
      <c r="D74" s="32" t="s">
        <v>121</v>
      </c>
      <c r="E74" s="32" t="s">
        <v>49</v>
      </c>
      <c r="F74" s="35" t="s">
        <v>1026</v>
      </c>
      <c r="G74" s="21" t="s">
        <v>1028</v>
      </c>
      <c r="H74" s="32" t="s">
        <v>123</v>
      </c>
      <c r="I74" s="32" t="s">
        <v>124</v>
      </c>
      <c r="J74" s="32" t="s">
        <v>74</v>
      </c>
      <c r="K74" s="32" t="s">
        <v>55</v>
      </c>
      <c r="L74" s="32" t="s">
        <v>56</v>
      </c>
      <c r="M74" s="32" t="s">
        <v>57</v>
      </c>
      <c r="N74" s="32" t="s">
        <v>58</v>
      </c>
      <c r="O74" s="31">
        <v>1100.0</v>
      </c>
      <c r="P74" s="31">
        <v>1300.0</v>
      </c>
      <c r="Q74" s="32" t="s">
        <v>59</v>
      </c>
      <c r="R74" s="32" t="s">
        <v>58</v>
      </c>
      <c r="S74" s="32" t="s">
        <v>58</v>
      </c>
      <c r="T74" s="32" t="s">
        <v>127</v>
      </c>
      <c r="U74" s="32"/>
      <c r="V74" s="32" t="s">
        <v>61</v>
      </c>
      <c r="W74" s="32" t="s">
        <v>58</v>
      </c>
      <c r="X74" s="32" t="s">
        <v>58</v>
      </c>
      <c r="Y74" s="32" t="s">
        <v>58</v>
      </c>
      <c r="Z74" s="32" t="s">
        <v>58</v>
      </c>
      <c r="AA74" s="32" t="s">
        <v>58</v>
      </c>
      <c r="AB74" s="32" t="s">
        <v>58</v>
      </c>
      <c r="AC74" s="32" t="s">
        <v>58</v>
      </c>
      <c r="AD74" s="32" t="s">
        <v>58</v>
      </c>
      <c r="AE74" s="32" t="s">
        <v>58</v>
      </c>
      <c r="AF74" s="32" t="s">
        <v>61</v>
      </c>
      <c r="AG74" s="32" t="s">
        <v>61</v>
      </c>
      <c r="AH74" s="32" t="s">
        <v>58</v>
      </c>
      <c r="AI74" s="31">
        <v>150.0</v>
      </c>
      <c r="AJ74" s="31">
        <v>5000.0</v>
      </c>
      <c r="AK74" s="31">
        <v>150.0</v>
      </c>
      <c r="AL74" s="31">
        <v>0.0</v>
      </c>
      <c r="AM74" s="32"/>
      <c r="AN74" s="31">
        <v>1100.0</v>
      </c>
      <c r="AO74" s="31">
        <v>1300.0</v>
      </c>
      <c r="AP74" s="34" t="s">
        <v>65</v>
      </c>
      <c r="AQ74" s="21">
        <v>2.0</v>
      </c>
    </row>
    <row r="75">
      <c r="A75" s="31">
        <v>72.0</v>
      </c>
      <c r="B75" s="32" t="s">
        <v>64</v>
      </c>
      <c r="C75" s="32" t="s">
        <v>66</v>
      </c>
      <c r="D75" s="32" t="s">
        <v>67</v>
      </c>
      <c r="E75" s="32" t="s">
        <v>49</v>
      </c>
      <c r="F75" s="21" t="s">
        <v>1039</v>
      </c>
      <c r="G75" s="21">
        <v>8.048982597E9</v>
      </c>
      <c r="H75" s="32" t="s">
        <v>72</v>
      </c>
      <c r="I75" s="32" t="s">
        <v>73</v>
      </c>
      <c r="J75" s="32" t="s">
        <v>74</v>
      </c>
      <c r="K75" s="32" t="s">
        <v>55</v>
      </c>
      <c r="L75" s="32" t="s">
        <v>56</v>
      </c>
      <c r="M75" s="32" t="s">
        <v>57</v>
      </c>
      <c r="N75" s="32" t="s">
        <v>58</v>
      </c>
      <c r="O75" s="31">
        <v>2999.0</v>
      </c>
      <c r="P75" s="31">
        <v>2999.0</v>
      </c>
      <c r="Q75" s="32" t="s">
        <v>59</v>
      </c>
      <c r="R75" s="32" t="s">
        <v>58</v>
      </c>
      <c r="S75" s="32" t="s">
        <v>58</v>
      </c>
      <c r="T75" s="32"/>
      <c r="U75" s="32"/>
      <c r="V75" s="32" t="s">
        <v>61</v>
      </c>
      <c r="W75" s="32" t="s">
        <v>58</v>
      </c>
      <c r="X75" s="32" t="s">
        <v>58</v>
      </c>
      <c r="Y75" s="32" t="s">
        <v>58</v>
      </c>
      <c r="Z75" s="32" t="s">
        <v>58</v>
      </c>
      <c r="AA75" s="32" t="s">
        <v>58</v>
      </c>
      <c r="AB75" s="32" t="s">
        <v>58</v>
      </c>
      <c r="AC75" s="32" t="s">
        <v>58</v>
      </c>
      <c r="AD75" s="32" t="s">
        <v>58</v>
      </c>
      <c r="AE75" s="32" t="s">
        <v>58</v>
      </c>
      <c r="AF75" s="32" t="s">
        <v>61</v>
      </c>
      <c r="AG75" s="32" t="s">
        <v>61</v>
      </c>
      <c r="AH75" s="32" t="s">
        <v>58</v>
      </c>
      <c r="AI75" s="31">
        <v>50.0</v>
      </c>
      <c r="AJ75" s="31">
        <v>1500.0</v>
      </c>
      <c r="AK75" s="31">
        <v>50.0</v>
      </c>
      <c r="AL75" s="31">
        <v>0.0</v>
      </c>
      <c r="AM75" s="32"/>
      <c r="AN75" s="31">
        <v>2999.0</v>
      </c>
      <c r="AO75" s="31">
        <v>2999.0</v>
      </c>
      <c r="AP75" s="21" t="s">
        <v>65</v>
      </c>
      <c r="AQ75" s="21">
        <v>2.0</v>
      </c>
    </row>
    <row r="76">
      <c r="A76" s="31">
        <v>73.0</v>
      </c>
      <c r="B76" s="32" t="s">
        <v>456</v>
      </c>
      <c r="C76" s="32" t="s">
        <v>457</v>
      </c>
      <c r="D76" s="32" t="s">
        <v>458</v>
      </c>
      <c r="E76" s="32" t="s">
        <v>49</v>
      </c>
      <c r="F76" s="21" t="s">
        <v>1047</v>
      </c>
      <c r="G76" s="21" t="s">
        <v>460</v>
      </c>
      <c r="H76" s="32" t="s">
        <v>123</v>
      </c>
      <c r="I76" s="32" t="s">
        <v>124</v>
      </c>
      <c r="J76" s="32" t="s">
        <v>74</v>
      </c>
      <c r="K76" s="32" t="s">
        <v>55</v>
      </c>
      <c r="L76" s="32" t="s">
        <v>56</v>
      </c>
      <c r="M76" s="32" t="s">
        <v>57</v>
      </c>
      <c r="N76" s="32" t="s">
        <v>58</v>
      </c>
      <c r="O76" s="31">
        <v>1200.0</v>
      </c>
      <c r="P76" s="31">
        <v>1200.0</v>
      </c>
      <c r="Q76" s="32" t="s">
        <v>59</v>
      </c>
      <c r="R76" s="32" t="s">
        <v>58</v>
      </c>
      <c r="S76" s="32" t="s">
        <v>61</v>
      </c>
      <c r="T76" s="32" t="s">
        <v>1052</v>
      </c>
      <c r="U76" s="32" t="s">
        <v>1053</v>
      </c>
      <c r="V76" s="32" t="s">
        <v>61</v>
      </c>
      <c r="W76" s="32" t="s">
        <v>58</v>
      </c>
      <c r="X76" s="32" t="s">
        <v>58</v>
      </c>
      <c r="Y76" s="32" t="s">
        <v>58</v>
      </c>
      <c r="Z76" s="32" t="s">
        <v>58</v>
      </c>
      <c r="AA76" s="32" t="s">
        <v>58</v>
      </c>
      <c r="AB76" s="32" t="s">
        <v>58</v>
      </c>
      <c r="AC76" s="32" t="s">
        <v>58</v>
      </c>
      <c r="AD76" s="32" t="s">
        <v>58</v>
      </c>
      <c r="AE76" s="32" t="s">
        <v>58</v>
      </c>
      <c r="AF76" s="32" t="s">
        <v>61</v>
      </c>
      <c r="AG76" s="32" t="s">
        <v>61</v>
      </c>
      <c r="AH76" s="32" t="s">
        <v>58</v>
      </c>
      <c r="AI76" s="31">
        <v>50.0</v>
      </c>
      <c r="AJ76" s="31">
        <v>1000.0</v>
      </c>
      <c r="AK76" s="31">
        <v>50.0</v>
      </c>
      <c r="AL76" s="31">
        <v>0.0</v>
      </c>
      <c r="AM76" s="32"/>
      <c r="AN76" s="31">
        <v>1200.0</v>
      </c>
      <c r="AO76" s="31">
        <v>1200.0</v>
      </c>
      <c r="AP76" s="34" t="s">
        <v>65</v>
      </c>
      <c r="AQ76" s="21">
        <v>2.0</v>
      </c>
    </row>
    <row r="77">
      <c r="A77" s="31">
        <v>74.0</v>
      </c>
      <c r="B77" s="32" t="s">
        <v>207</v>
      </c>
      <c r="C77" s="32" t="s">
        <v>208</v>
      </c>
      <c r="D77" s="21" t="s">
        <v>542</v>
      </c>
      <c r="E77" s="32" t="s">
        <v>49</v>
      </c>
      <c r="F77" s="62" t="s">
        <v>211</v>
      </c>
      <c r="G77" s="21" t="s">
        <v>547</v>
      </c>
      <c r="H77" s="32" t="s">
        <v>118</v>
      </c>
      <c r="I77" s="32" t="s">
        <v>92</v>
      </c>
      <c r="J77" s="32" t="s">
        <v>92</v>
      </c>
      <c r="K77" s="32" t="s">
        <v>55</v>
      </c>
      <c r="L77" s="32" t="s">
        <v>56</v>
      </c>
      <c r="M77" s="32" t="s">
        <v>57</v>
      </c>
      <c r="N77" s="32" t="s">
        <v>58</v>
      </c>
      <c r="O77" s="31">
        <v>450.0</v>
      </c>
      <c r="P77" s="31">
        <v>650.0</v>
      </c>
      <c r="Q77" s="32" t="s">
        <v>59</v>
      </c>
      <c r="R77" s="32" t="s">
        <v>58</v>
      </c>
      <c r="S77" s="32" t="s">
        <v>58</v>
      </c>
      <c r="T77" s="32"/>
      <c r="U77" s="32"/>
      <c r="V77" s="32" t="s">
        <v>61</v>
      </c>
      <c r="W77" s="32" t="s">
        <v>58</v>
      </c>
      <c r="X77" s="32" t="s">
        <v>58</v>
      </c>
      <c r="Y77" s="32" t="s">
        <v>58</v>
      </c>
      <c r="Z77" s="32" t="s">
        <v>58</v>
      </c>
      <c r="AA77" s="32" t="s">
        <v>58</v>
      </c>
      <c r="AB77" s="32" t="s">
        <v>58</v>
      </c>
      <c r="AC77" s="32" t="s">
        <v>58</v>
      </c>
      <c r="AD77" s="32" t="s">
        <v>58</v>
      </c>
      <c r="AE77" s="32" t="s">
        <v>58</v>
      </c>
      <c r="AF77" s="32" t="s">
        <v>61</v>
      </c>
      <c r="AG77" s="32" t="s">
        <v>61</v>
      </c>
      <c r="AH77" s="32" t="s">
        <v>58</v>
      </c>
      <c r="AI77" s="31">
        <v>30.0</v>
      </c>
      <c r="AJ77" s="31">
        <v>250.0</v>
      </c>
      <c r="AK77" s="31">
        <v>30.0</v>
      </c>
      <c r="AL77" s="31">
        <v>0.0</v>
      </c>
      <c r="AM77" s="32"/>
      <c r="AN77" s="31">
        <v>450.0</v>
      </c>
      <c r="AO77" s="31">
        <v>650.0</v>
      </c>
      <c r="AP77" s="34" t="s">
        <v>65</v>
      </c>
      <c r="AQ77" s="21">
        <v>2.0</v>
      </c>
    </row>
    <row r="78">
      <c r="A78" s="19">
        <v>76.0</v>
      </c>
      <c r="B78" s="20" t="s">
        <v>268</v>
      </c>
      <c r="C78" s="20" t="s">
        <v>1069</v>
      </c>
      <c r="D78" s="29" t="s">
        <v>1070</v>
      </c>
      <c r="E78" s="20" t="s">
        <v>49</v>
      </c>
      <c r="F78" s="29" t="s">
        <v>122</v>
      </c>
      <c r="G78" s="29" t="s">
        <v>122</v>
      </c>
      <c r="H78" s="20" t="s">
        <v>271</v>
      </c>
      <c r="I78" s="20" t="s">
        <v>92</v>
      </c>
      <c r="J78" s="20" t="s">
        <v>74</v>
      </c>
      <c r="K78" s="20" t="s">
        <v>55</v>
      </c>
      <c r="L78" s="20" t="s">
        <v>56</v>
      </c>
      <c r="M78" s="20" t="s">
        <v>57</v>
      </c>
      <c r="N78" s="20" t="s">
        <v>58</v>
      </c>
      <c r="O78" s="19">
        <v>450.0</v>
      </c>
      <c r="P78" s="19">
        <v>600.0</v>
      </c>
      <c r="Q78" s="20" t="s">
        <v>59</v>
      </c>
      <c r="R78" s="20" t="s">
        <v>58</v>
      </c>
      <c r="S78" s="20" t="s">
        <v>58</v>
      </c>
      <c r="T78" s="20"/>
      <c r="U78" s="20"/>
      <c r="V78" s="20" t="s">
        <v>61</v>
      </c>
      <c r="W78" s="20" t="s">
        <v>58</v>
      </c>
      <c r="X78" s="20" t="s">
        <v>58</v>
      </c>
      <c r="Y78" s="20" t="s">
        <v>58</v>
      </c>
      <c r="Z78" s="20" t="s">
        <v>58</v>
      </c>
      <c r="AA78" s="20" t="s">
        <v>58</v>
      </c>
      <c r="AB78" s="20" t="s">
        <v>58</v>
      </c>
      <c r="AC78" s="20" t="s">
        <v>58</v>
      </c>
      <c r="AD78" s="20" t="s">
        <v>58</v>
      </c>
      <c r="AE78" s="20" t="s">
        <v>58</v>
      </c>
      <c r="AF78" s="20" t="s">
        <v>61</v>
      </c>
      <c r="AG78" s="20" t="s">
        <v>61</v>
      </c>
      <c r="AH78" s="20" t="s">
        <v>58</v>
      </c>
      <c r="AI78" s="19">
        <v>200.0</v>
      </c>
      <c r="AJ78" s="19">
        <v>5000.0</v>
      </c>
      <c r="AK78" s="19">
        <v>200.0</v>
      </c>
      <c r="AL78" s="19">
        <v>0.0</v>
      </c>
      <c r="AM78" s="20"/>
      <c r="AN78" s="19">
        <v>450.0</v>
      </c>
      <c r="AO78" s="19">
        <v>600.0</v>
      </c>
      <c r="AP78" s="26" t="s">
        <v>65</v>
      </c>
      <c r="AQ78" s="19"/>
    </row>
    <row r="79">
      <c r="A79" s="19">
        <v>77.0</v>
      </c>
      <c r="B79" s="20" t="s">
        <v>1077</v>
      </c>
      <c r="C79" s="20" t="s">
        <v>1078</v>
      </c>
      <c r="D79" s="29" t="s">
        <v>1079</v>
      </c>
      <c r="E79" s="20" t="s">
        <v>49</v>
      </c>
      <c r="F79" s="29" t="s">
        <v>122</v>
      </c>
      <c r="G79" s="29" t="s">
        <v>122</v>
      </c>
      <c r="H79" s="20" t="s">
        <v>123</v>
      </c>
      <c r="I79" s="20" t="s">
        <v>124</v>
      </c>
      <c r="J79" s="20" t="s">
        <v>74</v>
      </c>
      <c r="K79" s="20" t="s">
        <v>55</v>
      </c>
      <c r="L79" s="20" t="s">
        <v>56</v>
      </c>
      <c r="M79" s="20" t="s">
        <v>57</v>
      </c>
      <c r="N79" s="20" t="s">
        <v>58</v>
      </c>
      <c r="O79" s="19">
        <v>900.0</v>
      </c>
      <c r="P79" s="19">
        <v>1200.0</v>
      </c>
      <c r="Q79" s="20" t="s">
        <v>59</v>
      </c>
      <c r="R79" s="20" t="s">
        <v>58</v>
      </c>
      <c r="S79" s="20" t="s">
        <v>58</v>
      </c>
      <c r="T79" s="20"/>
      <c r="U79" s="20"/>
      <c r="V79" s="20" t="s">
        <v>61</v>
      </c>
      <c r="W79" s="20" t="s">
        <v>58</v>
      </c>
      <c r="X79" s="20" t="s">
        <v>58</v>
      </c>
      <c r="Y79" s="20" t="s">
        <v>58</v>
      </c>
      <c r="Z79" s="20" t="s">
        <v>58</v>
      </c>
      <c r="AA79" s="20" t="s">
        <v>58</v>
      </c>
      <c r="AB79" s="20" t="s">
        <v>58</v>
      </c>
      <c r="AC79" s="20" t="s">
        <v>58</v>
      </c>
      <c r="AD79" s="20" t="s">
        <v>58</v>
      </c>
      <c r="AE79" s="20" t="s">
        <v>58</v>
      </c>
      <c r="AF79" s="20" t="s">
        <v>61</v>
      </c>
      <c r="AG79" s="20" t="s">
        <v>61</v>
      </c>
      <c r="AH79" s="20" t="s">
        <v>58</v>
      </c>
      <c r="AI79" s="19">
        <v>25.0</v>
      </c>
      <c r="AJ79" s="19">
        <v>1000.0</v>
      </c>
      <c r="AK79" s="19">
        <v>25.0</v>
      </c>
      <c r="AL79" s="19">
        <v>0.0</v>
      </c>
      <c r="AM79" s="20"/>
      <c r="AN79" s="19">
        <v>900.0</v>
      </c>
      <c r="AO79" s="19">
        <v>1200.0</v>
      </c>
      <c r="AP79" s="26" t="s">
        <v>65</v>
      </c>
      <c r="AQ79" s="19"/>
    </row>
    <row r="80">
      <c r="A80" s="19">
        <v>78.0</v>
      </c>
      <c r="B80" s="20" t="s">
        <v>1080</v>
      </c>
      <c r="C80" s="20" t="s">
        <v>1081</v>
      </c>
      <c r="D80" s="29" t="s">
        <v>1083</v>
      </c>
      <c r="E80" s="20" t="s">
        <v>49</v>
      </c>
      <c r="F80" s="51" t="s">
        <v>1084</v>
      </c>
      <c r="G80" s="29" t="s">
        <v>122</v>
      </c>
      <c r="H80" s="20" t="s">
        <v>53</v>
      </c>
      <c r="I80" s="20" t="s">
        <v>54</v>
      </c>
      <c r="J80" s="20" t="s">
        <v>54</v>
      </c>
      <c r="K80" s="20" t="s">
        <v>55</v>
      </c>
      <c r="L80" s="20" t="s">
        <v>56</v>
      </c>
      <c r="M80" s="20" t="s">
        <v>57</v>
      </c>
      <c r="N80" s="20" t="s">
        <v>58</v>
      </c>
      <c r="O80" s="19">
        <v>900.0</v>
      </c>
      <c r="P80" s="19">
        <v>900.0</v>
      </c>
      <c r="Q80" s="20" t="s">
        <v>59</v>
      </c>
      <c r="R80" s="20" t="s">
        <v>58</v>
      </c>
      <c r="S80" s="20" t="s">
        <v>58</v>
      </c>
      <c r="T80" s="20"/>
      <c r="U80" s="20"/>
      <c r="V80" s="20" t="s">
        <v>61</v>
      </c>
      <c r="W80" s="20" t="s">
        <v>58</v>
      </c>
      <c r="X80" s="20" t="s">
        <v>58</v>
      </c>
      <c r="Y80" s="20" t="s">
        <v>58</v>
      </c>
      <c r="Z80" s="20" t="s">
        <v>58</v>
      </c>
      <c r="AA80" s="20" t="s">
        <v>58</v>
      </c>
      <c r="AB80" s="20" t="s">
        <v>58</v>
      </c>
      <c r="AC80" s="20" t="s">
        <v>58</v>
      </c>
      <c r="AD80" s="20" t="s">
        <v>58</v>
      </c>
      <c r="AE80" s="20" t="s">
        <v>58</v>
      </c>
      <c r="AF80" s="20" t="s">
        <v>61</v>
      </c>
      <c r="AG80" s="20" t="s">
        <v>61</v>
      </c>
      <c r="AH80" s="20" t="s">
        <v>58</v>
      </c>
      <c r="AI80" s="19">
        <v>50.0</v>
      </c>
      <c r="AJ80" s="19">
        <v>1500.0</v>
      </c>
      <c r="AK80" s="19">
        <v>50.0</v>
      </c>
      <c r="AL80" s="19">
        <v>0.0</v>
      </c>
      <c r="AM80" s="20"/>
      <c r="AN80" s="19">
        <v>900.0</v>
      </c>
      <c r="AO80" s="19">
        <v>900.0</v>
      </c>
      <c r="AP80" s="26" t="s">
        <v>65</v>
      </c>
      <c r="AQ80" s="19"/>
    </row>
    <row r="81">
      <c r="A81" s="31">
        <v>79.0</v>
      </c>
      <c r="B81" s="32" t="s">
        <v>380</v>
      </c>
      <c r="C81" s="32" t="s">
        <v>381</v>
      </c>
      <c r="D81" s="21" t="s">
        <v>1096</v>
      </c>
      <c r="E81" s="32" t="s">
        <v>49</v>
      </c>
      <c r="F81" s="35" t="s">
        <v>385</v>
      </c>
      <c r="G81" s="21" t="s">
        <v>1100</v>
      </c>
      <c r="H81" s="32" t="s">
        <v>147</v>
      </c>
      <c r="I81" s="32" t="s">
        <v>148</v>
      </c>
      <c r="J81" s="32" t="s">
        <v>148</v>
      </c>
      <c r="K81" s="32" t="s">
        <v>55</v>
      </c>
      <c r="L81" s="32" t="s">
        <v>56</v>
      </c>
      <c r="M81" s="32" t="s">
        <v>57</v>
      </c>
      <c r="N81" s="32" t="s">
        <v>58</v>
      </c>
      <c r="O81" s="31">
        <v>2300.0</v>
      </c>
      <c r="P81" s="31">
        <v>2500.0</v>
      </c>
      <c r="Q81" s="32" t="s">
        <v>59</v>
      </c>
      <c r="R81" s="32" t="s">
        <v>58</v>
      </c>
      <c r="S81" s="32" t="s">
        <v>58</v>
      </c>
      <c r="T81" s="32"/>
      <c r="U81" s="32"/>
      <c r="V81" s="32" t="s">
        <v>61</v>
      </c>
      <c r="W81" s="32" t="s">
        <v>58</v>
      </c>
      <c r="X81" s="32" t="s">
        <v>58</v>
      </c>
      <c r="Y81" s="32" t="s">
        <v>58</v>
      </c>
      <c r="Z81" s="32" t="s">
        <v>58</v>
      </c>
      <c r="AA81" s="32" t="s">
        <v>58</v>
      </c>
      <c r="AB81" s="32" t="s">
        <v>58</v>
      </c>
      <c r="AC81" s="32" t="s">
        <v>58</v>
      </c>
      <c r="AD81" s="32" t="s">
        <v>58</v>
      </c>
      <c r="AE81" s="32" t="s">
        <v>58</v>
      </c>
      <c r="AF81" s="32" t="s">
        <v>61</v>
      </c>
      <c r="AG81" s="32" t="s">
        <v>61</v>
      </c>
      <c r="AH81" s="32" t="s">
        <v>58</v>
      </c>
      <c r="AI81" s="31">
        <v>50.0</v>
      </c>
      <c r="AJ81" s="31">
        <v>500.0</v>
      </c>
      <c r="AK81" s="31">
        <v>50.0</v>
      </c>
      <c r="AL81" s="31">
        <v>0.0</v>
      </c>
      <c r="AM81" s="32"/>
      <c r="AN81" s="31">
        <v>2300.0</v>
      </c>
      <c r="AO81" s="31">
        <v>2500.0</v>
      </c>
      <c r="AP81" s="34" t="s">
        <v>65</v>
      </c>
      <c r="AQ81" s="21">
        <v>2.0</v>
      </c>
    </row>
    <row r="82">
      <c r="A82" s="31">
        <v>80.0</v>
      </c>
      <c r="B82" s="32" t="s">
        <v>68</v>
      </c>
      <c r="C82" s="32" t="s">
        <v>70</v>
      </c>
      <c r="D82" s="21" t="s">
        <v>71</v>
      </c>
      <c r="E82" s="32" t="s">
        <v>49</v>
      </c>
      <c r="F82" s="62" t="s">
        <v>1113</v>
      </c>
      <c r="G82" s="21">
        <v>7.947108995E9</v>
      </c>
      <c r="H82" s="32" t="s">
        <v>75</v>
      </c>
      <c r="I82" s="32" t="s">
        <v>76</v>
      </c>
      <c r="J82" s="32" t="s">
        <v>76</v>
      </c>
      <c r="K82" s="32" t="s">
        <v>55</v>
      </c>
      <c r="L82" s="32" t="s">
        <v>56</v>
      </c>
      <c r="M82" s="32" t="s">
        <v>57</v>
      </c>
      <c r="N82" s="32" t="s">
        <v>58</v>
      </c>
      <c r="O82" s="31">
        <v>3000.0</v>
      </c>
      <c r="P82" s="31">
        <v>3500.0</v>
      </c>
      <c r="Q82" s="32" t="s">
        <v>59</v>
      </c>
      <c r="R82" s="32" t="s">
        <v>58</v>
      </c>
      <c r="S82" s="32" t="s">
        <v>58</v>
      </c>
      <c r="T82" s="32"/>
      <c r="U82" s="32"/>
      <c r="V82" s="32" t="s">
        <v>61</v>
      </c>
      <c r="W82" s="32" t="s">
        <v>58</v>
      </c>
      <c r="X82" s="32" t="s">
        <v>58</v>
      </c>
      <c r="Y82" s="32" t="s">
        <v>58</v>
      </c>
      <c r="Z82" s="32" t="s">
        <v>58</v>
      </c>
      <c r="AA82" s="32" t="s">
        <v>58</v>
      </c>
      <c r="AB82" s="32" t="s">
        <v>58</v>
      </c>
      <c r="AC82" s="32" t="s">
        <v>58</v>
      </c>
      <c r="AD82" s="32" t="s">
        <v>58</v>
      </c>
      <c r="AE82" s="32" t="s">
        <v>58</v>
      </c>
      <c r="AF82" s="32" t="s">
        <v>61</v>
      </c>
      <c r="AG82" s="32" t="s">
        <v>61</v>
      </c>
      <c r="AH82" s="32" t="s">
        <v>58</v>
      </c>
      <c r="AI82" s="31">
        <v>150.0</v>
      </c>
      <c r="AJ82" s="31">
        <v>1500.0</v>
      </c>
      <c r="AK82" s="31">
        <v>150.0</v>
      </c>
      <c r="AL82" s="31">
        <v>0.0</v>
      </c>
      <c r="AM82" s="32"/>
      <c r="AN82" s="31">
        <v>3000.0</v>
      </c>
      <c r="AO82" s="31">
        <v>3500.0</v>
      </c>
      <c r="AP82" s="34" t="s">
        <v>65</v>
      </c>
      <c r="AQ82" s="21">
        <v>2.0</v>
      </c>
    </row>
    <row r="83">
      <c r="A83" s="31">
        <v>81.0</v>
      </c>
      <c r="B83" s="32" t="s">
        <v>46</v>
      </c>
      <c r="C83" s="32" t="s">
        <v>47</v>
      </c>
      <c r="D83" s="21" t="s">
        <v>48</v>
      </c>
      <c r="E83" s="32" t="s">
        <v>49</v>
      </c>
      <c r="F83" s="35" t="s">
        <v>1122</v>
      </c>
      <c r="G83" s="21">
        <v>8.447750692E9</v>
      </c>
      <c r="H83" s="32" t="s">
        <v>53</v>
      </c>
      <c r="I83" s="32" t="s">
        <v>54</v>
      </c>
      <c r="J83" s="32" t="s">
        <v>54</v>
      </c>
      <c r="K83" s="32" t="s">
        <v>55</v>
      </c>
      <c r="L83" s="32" t="s">
        <v>56</v>
      </c>
      <c r="M83" s="32" t="s">
        <v>57</v>
      </c>
      <c r="N83" s="32" t="s">
        <v>58</v>
      </c>
      <c r="O83" s="31">
        <v>1000.0</v>
      </c>
      <c r="P83" s="31">
        <v>1200.0</v>
      </c>
      <c r="Q83" s="32" t="s">
        <v>59</v>
      </c>
      <c r="R83" s="32" t="s">
        <v>58</v>
      </c>
      <c r="S83" s="32" t="s">
        <v>58</v>
      </c>
      <c r="T83" s="32"/>
      <c r="U83" s="32"/>
      <c r="V83" s="32" t="s">
        <v>61</v>
      </c>
      <c r="W83" s="32" t="s">
        <v>58</v>
      </c>
      <c r="X83" s="32" t="s">
        <v>58</v>
      </c>
      <c r="Y83" s="32" t="s">
        <v>58</v>
      </c>
      <c r="Z83" s="32" t="s">
        <v>58</v>
      </c>
      <c r="AA83" s="32" t="s">
        <v>58</v>
      </c>
      <c r="AB83" s="32" t="s">
        <v>58</v>
      </c>
      <c r="AC83" s="32" t="s">
        <v>58</v>
      </c>
      <c r="AD83" s="32" t="s">
        <v>58</v>
      </c>
      <c r="AE83" s="32" t="s">
        <v>58</v>
      </c>
      <c r="AF83" s="32" t="s">
        <v>61</v>
      </c>
      <c r="AG83" s="32" t="s">
        <v>61</v>
      </c>
      <c r="AH83" s="32" t="s">
        <v>58</v>
      </c>
      <c r="AI83" s="31">
        <v>2000.0</v>
      </c>
      <c r="AJ83" s="31">
        <v>2000.0</v>
      </c>
      <c r="AK83" s="31">
        <v>2000.0</v>
      </c>
      <c r="AL83" s="31">
        <v>0.0</v>
      </c>
      <c r="AM83" s="32"/>
      <c r="AN83" s="31">
        <v>1000.0</v>
      </c>
      <c r="AO83" s="31">
        <v>1200.0</v>
      </c>
      <c r="AP83" s="34" t="s">
        <v>65</v>
      </c>
      <c r="AQ83" s="21">
        <v>2.0</v>
      </c>
    </row>
    <row r="84">
      <c r="A84" s="31">
        <v>82.0</v>
      </c>
      <c r="B84" s="32" t="s">
        <v>77</v>
      </c>
      <c r="C84" s="32" t="s">
        <v>78</v>
      </c>
      <c r="D84" s="32" t="s">
        <v>79</v>
      </c>
      <c r="E84" s="32" t="s">
        <v>49</v>
      </c>
      <c r="F84" s="35" t="s">
        <v>80</v>
      </c>
      <c r="G84" s="21">
        <v>8.527575333E9</v>
      </c>
      <c r="H84" s="32" t="s">
        <v>75</v>
      </c>
      <c r="I84" s="32" t="s">
        <v>76</v>
      </c>
      <c r="J84" s="32" t="s">
        <v>76</v>
      </c>
      <c r="K84" s="32" t="s">
        <v>55</v>
      </c>
      <c r="L84" s="32" t="s">
        <v>56</v>
      </c>
      <c r="M84" s="32" t="s">
        <v>57</v>
      </c>
      <c r="N84" s="32" t="s">
        <v>58</v>
      </c>
      <c r="O84" s="31">
        <v>2000.0</v>
      </c>
      <c r="P84" s="31">
        <v>2200.0</v>
      </c>
      <c r="Q84" s="32" t="s">
        <v>59</v>
      </c>
      <c r="R84" s="32" t="s">
        <v>58</v>
      </c>
      <c r="S84" s="32" t="s">
        <v>58</v>
      </c>
      <c r="T84" s="32" t="s">
        <v>1134</v>
      </c>
      <c r="U84" s="32" t="s">
        <v>1135</v>
      </c>
      <c r="V84" s="32" t="s">
        <v>61</v>
      </c>
      <c r="W84" s="32" t="s">
        <v>58</v>
      </c>
      <c r="X84" s="32" t="s">
        <v>58</v>
      </c>
      <c r="Y84" s="32" t="s">
        <v>58</v>
      </c>
      <c r="Z84" s="32" t="s">
        <v>58</v>
      </c>
      <c r="AA84" s="32" t="s">
        <v>58</v>
      </c>
      <c r="AB84" s="32" t="s">
        <v>58</v>
      </c>
      <c r="AC84" s="32" t="s">
        <v>58</v>
      </c>
      <c r="AD84" s="32" t="s">
        <v>58</v>
      </c>
      <c r="AE84" s="32" t="s">
        <v>58</v>
      </c>
      <c r="AF84" s="32" t="s">
        <v>61</v>
      </c>
      <c r="AG84" s="32" t="s">
        <v>61</v>
      </c>
      <c r="AH84" s="32" t="s">
        <v>58</v>
      </c>
      <c r="AI84" s="31">
        <v>25.0</v>
      </c>
      <c r="AJ84" s="31">
        <v>1500.0</v>
      </c>
      <c r="AK84" s="31">
        <v>25.0</v>
      </c>
      <c r="AL84" s="31">
        <v>0.0</v>
      </c>
      <c r="AM84" s="32"/>
      <c r="AN84" s="31">
        <v>2000.0</v>
      </c>
      <c r="AO84" s="31">
        <v>2200.0</v>
      </c>
      <c r="AP84" s="34" t="s">
        <v>65</v>
      </c>
      <c r="AQ84" s="21">
        <v>2.0</v>
      </c>
    </row>
    <row r="85">
      <c r="A85" s="31">
        <v>83.0</v>
      </c>
      <c r="B85" s="32" t="s">
        <v>151</v>
      </c>
      <c r="C85" s="32" t="s">
        <v>152</v>
      </c>
      <c r="D85" s="32" t="s">
        <v>153</v>
      </c>
      <c r="E85" s="32" t="s">
        <v>49</v>
      </c>
      <c r="F85" s="35" t="s">
        <v>265</v>
      </c>
      <c r="G85" s="21" t="s">
        <v>163</v>
      </c>
      <c r="H85" s="32" t="s">
        <v>123</v>
      </c>
      <c r="I85" s="32" t="s">
        <v>124</v>
      </c>
      <c r="J85" s="32" t="s">
        <v>74</v>
      </c>
      <c r="K85" s="32" t="s">
        <v>55</v>
      </c>
      <c r="L85" s="32" t="s">
        <v>56</v>
      </c>
      <c r="M85" s="32" t="s">
        <v>57</v>
      </c>
      <c r="N85" s="32" t="s">
        <v>58</v>
      </c>
      <c r="O85" s="31">
        <v>500.0</v>
      </c>
      <c r="P85" s="31">
        <v>700.0</v>
      </c>
      <c r="Q85" s="32" t="s">
        <v>59</v>
      </c>
      <c r="R85" s="32" t="s">
        <v>58</v>
      </c>
      <c r="S85" s="32" t="s">
        <v>58</v>
      </c>
      <c r="T85" s="32" t="s">
        <v>275</v>
      </c>
      <c r="U85" s="32"/>
      <c r="V85" s="32" t="s">
        <v>61</v>
      </c>
      <c r="W85" s="32" t="s">
        <v>58</v>
      </c>
      <c r="X85" s="32" t="s">
        <v>58</v>
      </c>
      <c r="Y85" s="32" t="s">
        <v>58</v>
      </c>
      <c r="Z85" s="32" t="s">
        <v>58</v>
      </c>
      <c r="AA85" s="32" t="s">
        <v>58</v>
      </c>
      <c r="AB85" s="32" t="s">
        <v>58</v>
      </c>
      <c r="AC85" s="32" t="s">
        <v>58</v>
      </c>
      <c r="AD85" s="32" t="s">
        <v>58</v>
      </c>
      <c r="AE85" s="32" t="s">
        <v>58</v>
      </c>
      <c r="AF85" s="32" t="s">
        <v>61</v>
      </c>
      <c r="AG85" s="32" t="s">
        <v>61</v>
      </c>
      <c r="AH85" s="32" t="s">
        <v>58</v>
      </c>
      <c r="AI85" s="31">
        <v>50.0</v>
      </c>
      <c r="AJ85" s="31">
        <v>5000.0</v>
      </c>
      <c r="AK85" s="31">
        <v>50.0</v>
      </c>
      <c r="AL85" s="31">
        <v>0.0</v>
      </c>
      <c r="AM85" s="32" t="s">
        <v>179</v>
      </c>
      <c r="AN85" s="31">
        <v>500.0</v>
      </c>
      <c r="AO85" s="31">
        <v>700.0</v>
      </c>
      <c r="AP85" s="34" t="s">
        <v>65</v>
      </c>
      <c r="AQ85" s="21">
        <v>2.0</v>
      </c>
    </row>
    <row r="86">
      <c r="A86" s="31">
        <v>84.0</v>
      </c>
      <c r="B86" s="32" t="s">
        <v>133</v>
      </c>
      <c r="C86" s="32" t="s">
        <v>134</v>
      </c>
      <c r="D86" s="32" t="s">
        <v>135</v>
      </c>
      <c r="E86" s="32" t="s">
        <v>49</v>
      </c>
      <c r="F86" s="62" t="s">
        <v>136</v>
      </c>
      <c r="G86" s="21">
        <v>7.947111885E9</v>
      </c>
      <c r="H86" s="32" t="s">
        <v>147</v>
      </c>
      <c r="I86" s="32" t="s">
        <v>148</v>
      </c>
      <c r="J86" s="32" t="s">
        <v>148</v>
      </c>
      <c r="K86" s="32" t="s">
        <v>55</v>
      </c>
      <c r="L86" s="32" t="s">
        <v>56</v>
      </c>
      <c r="M86" s="32" t="s">
        <v>57</v>
      </c>
      <c r="N86" s="32" t="s">
        <v>58</v>
      </c>
      <c r="O86" s="31">
        <v>700.0</v>
      </c>
      <c r="P86" s="31">
        <v>900.0</v>
      </c>
      <c r="Q86" s="32" t="s">
        <v>59</v>
      </c>
      <c r="R86" s="32" t="s">
        <v>58</v>
      </c>
      <c r="S86" s="32" t="s">
        <v>58</v>
      </c>
      <c r="T86" s="32" t="s">
        <v>127</v>
      </c>
      <c r="U86" s="32"/>
      <c r="V86" s="32" t="s">
        <v>61</v>
      </c>
      <c r="W86" s="32" t="s">
        <v>58</v>
      </c>
      <c r="X86" s="32" t="s">
        <v>58</v>
      </c>
      <c r="Y86" s="32" t="s">
        <v>58</v>
      </c>
      <c r="Z86" s="32" t="s">
        <v>58</v>
      </c>
      <c r="AA86" s="32" t="s">
        <v>58</v>
      </c>
      <c r="AB86" s="32" t="s">
        <v>58</v>
      </c>
      <c r="AC86" s="32" t="s">
        <v>58</v>
      </c>
      <c r="AD86" s="32" t="s">
        <v>58</v>
      </c>
      <c r="AE86" s="32" t="s">
        <v>58</v>
      </c>
      <c r="AF86" s="32" t="s">
        <v>61</v>
      </c>
      <c r="AG86" s="32" t="s">
        <v>61</v>
      </c>
      <c r="AH86" s="32" t="s">
        <v>58</v>
      </c>
      <c r="AI86" s="31">
        <v>100.0</v>
      </c>
      <c r="AJ86" s="31">
        <v>5000.0</v>
      </c>
      <c r="AK86" s="31">
        <v>100.0</v>
      </c>
      <c r="AL86" s="31">
        <v>0.0</v>
      </c>
      <c r="AM86" s="32"/>
      <c r="AN86" s="31">
        <v>700.0</v>
      </c>
      <c r="AO86" s="31">
        <v>900.0</v>
      </c>
      <c r="AP86" s="34" t="s">
        <v>65</v>
      </c>
      <c r="AQ86" s="21">
        <v>2.0</v>
      </c>
    </row>
    <row r="87">
      <c r="A87" s="19">
        <v>85.0</v>
      </c>
      <c r="B87" s="20" t="s">
        <v>228</v>
      </c>
      <c r="C87" s="20" t="s">
        <v>1159</v>
      </c>
      <c r="D87" s="29" t="s">
        <v>419</v>
      </c>
      <c r="E87" s="20" t="s">
        <v>49</v>
      </c>
      <c r="F87" s="29" t="s">
        <v>122</v>
      </c>
      <c r="G87" s="29">
        <v>7.947103986E9</v>
      </c>
      <c r="H87" s="20" t="s">
        <v>91</v>
      </c>
      <c r="I87" s="20" t="s">
        <v>92</v>
      </c>
      <c r="J87" s="20" t="s">
        <v>92</v>
      </c>
      <c r="K87" s="20" t="s">
        <v>55</v>
      </c>
      <c r="L87" s="20" t="s">
        <v>56</v>
      </c>
      <c r="M87" s="20" t="s">
        <v>57</v>
      </c>
      <c r="N87" s="20" t="s">
        <v>58</v>
      </c>
      <c r="O87" s="19">
        <v>1100.0</v>
      </c>
      <c r="P87" s="19">
        <v>1750.0</v>
      </c>
      <c r="Q87" s="20" t="s">
        <v>59</v>
      </c>
      <c r="R87" s="20" t="s">
        <v>58</v>
      </c>
      <c r="S87" s="20" t="s">
        <v>58</v>
      </c>
      <c r="T87" s="20"/>
      <c r="U87" s="20"/>
      <c r="V87" s="20" t="s">
        <v>61</v>
      </c>
      <c r="W87" s="20" t="s">
        <v>58</v>
      </c>
      <c r="X87" s="20" t="s">
        <v>58</v>
      </c>
      <c r="Y87" s="20" t="s">
        <v>58</v>
      </c>
      <c r="Z87" s="20" t="s">
        <v>58</v>
      </c>
      <c r="AA87" s="20" t="s">
        <v>58</v>
      </c>
      <c r="AB87" s="20" t="s">
        <v>58</v>
      </c>
      <c r="AC87" s="20" t="s">
        <v>58</v>
      </c>
      <c r="AD87" s="20" t="s">
        <v>58</v>
      </c>
      <c r="AE87" s="20" t="s">
        <v>58</v>
      </c>
      <c r="AF87" s="20" t="s">
        <v>61</v>
      </c>
      <c r="AG87" s="20" t="s">
        <v>61</v>
      </c>
      <c r="AH87" s="20" t="s">
        <v>58</v>
      </c>
      <c r="AI87" s="19">
        <v>50.0</v>
      </c>
      <c r="AJ87" s="19">
        <v>1200.0</v>
      </c>
      <c r="AK87" s="19">
        <v>50.0</v>
      </c>
      <c r="AL87" s="19">
        <v>0.0</v>
      </c>
      <c r="AM87" s="20"/>
      <c r="AN87" s="19">
        <v>1100.0</v>
      </c>
      <c r="AO87" s="19">
        <v>1750.0</v>
      </c>
      <c r="AP87" s="26" t="s">
        <v>65</v>
      </c>
      <c r="AQ87" s="19"/>
    </row>
    <row r="88">
      <c r="A88" s="19">
        <v>86.0</v>
      </c>
      <c r="B88" s="20" t="s">
        <v>85</v>
      </c>
      <c r="C88" s="20" t="s">
        <v>86</v>
      </c>
      <c r="D88" s="29" t="s">
        <v>1170</v>
      </c>
      <c r="E88" s="20" t="s">
        <v>49</v>
      </c>
      <c r="F88" s="29" t="s">
        <v>122</v>
      </c>
      <c r="G88" s="29">
        <v>7.947133866E9</v>
      </c>
      <c r="H88" s="20" t="s">
        <v>91</v>
      </c>
      <c r="I88" s="20" t="s">
        <v>92</v>
      </c>
      <c r="J88" s="20" t="s">
        <v>92</v>
      </c>
      <c r="K88" s="20" t="s">
        <v>55</v>
      </c>
      <c r="L88" s="20" t="s">
        <v>56</v>
      </c>
      <c r="M88" s="20" t="s">
        <v>57</v>
      </c>
      <c r="N88" s="20" t="s">
        <v>58</v>
      </c>
      <c r="O88" s="19">
        <v>799.0</v>
      </c>
      <c r="P88" s="19">
        <v>1099.0</v>
      </c>
      <c r="Q88" s="20" t="s">
        <v>59</v>
      </c>
      <c r="R88" s="20" t="s">
        <v>58</v>
      </c>
      <c r="S88" s="20" t="s">
        <v>58</v>
      </c>
      <c r="T88" s="20"/>
      <c r="U88" s="20"/>
      <c r="V88" s="20" t="s">
        <v>61</v>
      </c>
      <c r="W88" s="20" t="s">
        <v>58</v>
      </c>
      <c r="X88" s="20" t="s">
        <v>58</v>
      </c>
      <c r="Y88" s="20" t="s">
        <v>58</v>
      </c>
      <c r="Z88" s="20" t="s">
        <v>58</v>
      </c>
      <c r="AA88" s="20" t="s">
        <v>58</v>
      </c>
      <c r="AB88" s="20" t="s">
        <v>58</v>
      </c>
      <c r="AC88" s="20" t="s">
        <v>58</v>
      </c>
      <c r="AD88" s="20" t="s">
        <v>58</v>
      </c>
      <c r="AE88" s="20" t="s">
        <v>58</v>
      </c>
      <c r="AF88" s="20" t="s">
        <v>61</v>
      </c>
      <c r="AG88" s="20" t="s">
        <v>61</v>
      </c>
      <c r="AH88" s="20" t="s">
        <v>58</v>
      </c>
      <c r="AI88" s="19">
        <v>50.0</v>
      </c>
      <c r="AJ88" s="19">
        <v>1500.0</v>
      </c>
      <c r="AK88" s="19">
        <v>50.0</v>
      </c>
      <c r="AL88" s="19">
        <v>0.0</v>
      </c>
      <c r="AM88" s="20"/>
      <c r="AN88" s="19">
        <v>799.0</v>
      </c>
      <c r="AO88" s="19">
        <v>1099.0</v>
      </c>
      <c r="AP88" s="26" t="s">
        <v>65</v>
      </c>
      <c r="AQ88" s="19"/>
    </row>
    <row r="89">
      <c r="A89" s="19">
        <v>87.0</v>
      </c>
      <c r="B89" s="20" t="s">
        <v>105</v>
      </c>
      <c r="C89" s="20" t="s">
        <v>106</v>
      </c>
      <c r="D89" s="29" t="s">
        <v>110</v>
      </c>
      <c r="E89" s="20" t="s">
        <v>49</v>
      </c>
      <c r="F89" s="29" t="s">
        <v>122</v>
      </c>
      <c r="G89" s="29" t="s">
        <v>1176</v>
      </c>
      <c r="H89" s="20" t="s">
        <v>115</v>
      </c>
      <c r="I89" s="20" t="s">
        <v>116</v>
      </c>
      <c r="J89" s="20" t="s">
        <v>116</v>
      </c>
      <c r="K89" s="20" t="s">
        <v>55</v>
      </c>
      <c r="L89" s="20" t="s">
        <v>56</v>
      </c>
      <c r="M89" s="20" t="s">
        <v>57</v>
      </c>
      <c r="N89" s="20" t="s">
        <v>58</v>
      </c>
      <c r="O89" s="19">
        <v>294.0</v>
      </c>
      <c r="P89" s="20"/>
      <c r="Q89" s="20" t="s">
        <v>59</v>
      </c>
      <c r="R89" s="20" t="s">
        <v>58</v>
      </c>
      <c r="S89" s="20" t="s">
        <v>58</v>
      </c>
      <c r="T89" s="20"/>
      <c r="U89" s="20"/>
      <c r="V89" s="20" t="s">
        <v>61</v>
      </c>
      <c r="W89" s="20" t="s">
        <v>58</v>
      </c>
      <c r="X89" s="20" t="s">
        <v>58</v>
      </c>
      <c r="Y89" s="20" t="s">
        <v>58</v>
      </c>
      <c r="Z89" s="20" t="s">
        <v>58</v>
      </c>
      <c r="AA89" s="20" t="s">
        <v>58</v>
      </c>
      <c r="AB89" s="20" t="s">
        <v>58</v>
      </c>
      <c r="AC89" s="20" t="s">
        <v>58</v>
      </c>
      <c r="AD89" s="20" t="s">
        <v>58</v>
      </c>
      <c r="AE89" s="20" t="s">
        <v>58</v>
      </c>
      <c r="AF89" s="20" t="s">
        <v>61</v>
      </c>
      <c r="AG89" s="20" t="s">
        <v>61</v>
      </c>
      <c r="AH89" s="20" t="s">
        <v>58</v>
      </c>
      <c r="AI89" s="19">
        <v>10.0</v>
      </c>
      <c r="AJ89" s="19">
        <v>250.0</v>
      </c>
      <c r="AK89" s="19">
        <v>10.0</v>
      </c>
      <c r="AL89" s="19">
        <v>0.0</v>
      </c>
      <c r="AM89" s="20"/>
      <c r="AN89" s="19">
        <v>294.0</v>
      </c>
      <c r="AO89" s="19">
        <v>0.0</v>
      </c>
      <c r="AP89" s="29" t="s">
        <v>65</v>
      </c>
      <c r="AQ89" s="19"/>
    </row>
    <row r="90">
      <c r="A90" s="31">
        <v>88.0</v>
      </c>
      <c r="B90" s="32" t="s">
        <v>137</v>
      </c>
      <c r="C90" s="32" t="s">
        <v>139</v>
      </c>
      <c r="D90" s="21" t="s">
        <v>1184</v>
      </c>
      <c r="E90" s="32" t="s">
        <v>49</v>
      </c>
      <c r="F90" s="35" t="s">
        <v>683</v>
      </c>
      <c r="G90" s="21">
        <v>7.947435329E9</v>
      </c>
      <c r="H90" s="32" t="s">
        <v>118</v>
      </c>
      <c r="I90" s="32" t="s">
        <v>92</v>
      </c>
      <c r="J90" s="32" t="s">
        <v>92</v>
      </c>
      <c r="K90" s="32" t="s">
        <v>55</v>
      </c>
      <c r="L90" s="32" t="s">
        <v>56</v>
      </c>
      <c r="M90" s="32" t="s">
        <v>57</v>
      </c>
      <c r="N90" s="32" t="s">
        <v>58</v>
      </c>
      <c r="O90" s="31">
        <v>500.0</v>
      </c>
      <c r="P90" s="31">
        <v>700.0</v>
      </c>
      <c r="Q90" s="32" t="s">
        <v>59</v>
      </c>
      <c r="R90" s="32" t="s">
        <v>58</v>
      </c>
      <c r="S90" s="32" t="s">
        <v>58</v>
      </c>
      <c r="T90" s="32"/>
      <c r="U90" s="32"/>
      <c r="V90" s="32" t="s">
        <v>61</v>
      </c>
      <c r="W90" s="32" t="s">
        <v>58</v>
      </c>
      <c r="X90" s="32" t="s">
        <v>58</v>
      </c>
      <c r="Y90" s="32" t="s">
        <v>58</v>
      </c>
      <c r="Z90" s="32" t="s">
        <v>58</v>
      </c>
      <c r="AA90" s="32" t="s">
        <v>58</v>
      </c>
      <c r="AB90" s="32" t="s">
        <v>58</v>
      </c>
      <c r="AC90" s="32" t="s">
        <v>58</v>
      </c>
      <c r="AD90" s="32" t="s">
        <v>58</v>
      </c>
      <c r="AE90" s="32" t="s">
        <v>58</v>
      </c>
      <c r="AF90" s="32" t="s">
        <v>61</v>
      </c>
      <c r="AG90" s="32" t="s">
        <v>61</v>
      </c>
      <c r="AH90" s="32" t="s">
        <v>58</v>
      </c>
      <c r="AI90" s="31">
        <v>250.0</v>
      </c>
      <c r="AJ90" s="31">
        <v>5000.0</v>
      </c>
      <c r="AK90" s="31">
        <v>250.0</v>
      </c>
      <c r="AL90" s="31">
        <v>0.0</v>
      </c>
      <c r="AM90" s="32"/>
      <c r="AN90" s="31">
        <v>500.0</v>
      </c>
      <c r="AO90" s="31">
        <v>700.0</v>
      </c>
      <c r="AP90" s="34" t="s">
        <v>65</v>
      </c>
      <c r="AQ90" s="21">
        <v>2.0</v>
      </c>
    </row>
    <row r="91">
      <c r="A91" s="31">
        <v>89.0</v>
      </c>
      <c r="B91" s="32" t="s">
        <v>255</v>
      </c>
      <c r="C91" s="32" t="s">
        <v>256</v>
      </c>
      <c r="D91" s="21" t="s">
        <v>1192</v>
      </c>
      <c r="E91" s="32" t="s">
        <v>49</v>
      </c>
      <c r="F91" s="40" t="s">
        <v>260</v>
      </c>
      <c r="G91" s="32" t="s">
        <v>272</v>
      </c>
      <c r="H91" s="32" t="s">
        <v>273</v>
      </c>
      <c r="I91" s="32" t="s">
        <v>274</v>
      </c>
      <c r="J91" s="32" t="s">
        <v>274</v>
      </c>
      <c r="K91" s="32" t="s">
        <v>55</v>
      </c>
      <c r="L91" s="32" t="s">
        <v>56</v>
      </c>
      <c r="M91" s="32" t="s">
        <v>57</v>
      </c>
      <c r="N91" s="32" t="s">
        <v>58</v>
      </c>
      <c r="O91" s="31">
        <v>800.0</v>
      </c>
      <c r="P91" s="31">
        <v>1200.0</v>
      </c>
      <c r="Q91" s="32" t="s">
        <v>59</v>
      </c>
      <c r="R91" s="32" t="s">
        <v>58</v>
      </c>
      <c r="S91" s="32" t="s">
        <v>58</v>
      </c>
      <c r="T91" s="32"/>
      <c r="U91" s="32"/>
      <c r="V91" s="32" t="s">
        <v>61</v>
      </c>
      <c r="W91" s="32" t="s">
        <v>58</v>
      </c>
      <c r="X91" s="32" t="s">
        <v>58</v>
      </c>
      <c r="Y91" s="32" t="s">
        <v>58</v>
      </c>
      <c r="Z91" s="32" t="s">
        <v>58</v>
      </c>
      <c r="AA91" s="32" t="s">
        <v>58</v>
      </c>
      <c r="AB91" s="32" t="s">
        <v>58</v>
      </c>
      <c r="AC91" s="32" t="s">
        <v>58</v>
      </c>
      <c r="AD91" s="32" t="s">
        <v>58</v>
      </c>
      <c r="AE91" s="32" t="s">
        <v>58</v>
      </c>
      <c r="AF91" s="32" t="s">
        <v>61</v>
      </c>
      <c r="AG91" s="32" t="s">
        <v>61</v>
      </c>
      <c r="AH91" s="32" t="s">
        <v>58</v>
      </c>
      <c r="AI91" s="31">
        <v>150.0</v>
      </c>
      <c r="AJ91" s="31">
        <v>4000.0</v>
      </c>
      <c r="AK91" s="31">
        <v>150.0</v>
      </c>
      <c r="AL91" s="31">
        <v>0.0</v>
      </c>
      <c r="AM91" s="32"/>
      <c r="AN91" s="31">
        <v>800.0</v>
      </c>
      <c r="AO91" s="31">
        <v>1200.0</v>
      </c>
      <c r="AP91" s="34" t="s">
        <v>65</v>
      </c>
      <c r="AQ91" s="21">
        <v>2.0</v>
      </c>
    </row>
    <row r="92">
      <c r="A92" s="31">
        <v>90.0</v>
      </c>
      <c r="B92" s="32" t="s">
        <v>1199</v>
      </c>
      <c r="C92" s="32" t="s">
        <v>1200</v>
      </c>
      <c r="D92" s="32" t="s">
        <v>1202</v>
      </c>
      <c r="E92" s="32" t="s">
        <v>49</v>
      </c>
      <c r="F92" s="35" t="s">
        <v>1203</v>
      </c>
      <c r="G92" s="21">
        <v>9.990552299E9</v>
      </c>
      <c r="H92" s="32" t="s">
        <v>123</v>
      </c>
      <c r="I92" s="32" t="s">
        <v>124</v>
      </c>
      <c r="J92" s="32" t="s">
        <v>74</v>
      </c>
      <c r="K92" s="32" t="s">
        <v>55</v>
      </c>
      <c r="L92" s="32" t="s">
        <v>56</v>
      </c>
      <c r="M92" s="32" t="s">
        <v>57</v>
      </c>
      <c r="N92" s="32" t="s">
        <v>58</v>
      </c>
      <c r="O92" s="31">
        <v>1500.0</v>
      </c>
      <c r="P92" s="31">
        <v>1800.0</v>
      </c>
      <c r="Q92" s="32" t="s">
        <v>59</v>
      </c>
      <c r="R92" s="32" t="s">
        <v>58</v>
      </c>
      <c r="S92" s="32" t="s">
        <v>58</v>
      </c>
      <c r="T92" s="32" t="s">
        <v>1211</v>
      </c>
      <c r="U92" s="32"/>
      <c r="V92" s="32" t="s">
        <v>61</v>
      </c>
      <c r="W92" s="32" t="s">
        <v>58</v>
      </c>
      <c r="X92" s="32" t="s">
        <v>58</v>
      </c>
      <c r="Y92" s="32" t="s">
        <v>58</v>
      </c>
      <c r="Z92" s="32" t="s">
        <v>58</v>
      </c>
      <c r="AA92" s="32" t="s">
        <v>58</v>
      </c>
      <c r="AB92" s="32" t="s">
        <v>58</v>
      </c>
      <c r="AC92" s="32" t="s">
        <v>58</v>
      </c>
      <c r="AD92" s="32" t="s">
        <v>58</v>
      </c>
      <c r="AE92" s="32" t="s">
        <v>58</v>
      </c>
      <c r="AF92" s="32" t="s">
        <v>61</v>
      </c>
      <c r="AG92" s="32" t="s">
        <v>61</v>
      </c>
      <c r="AH92" s="32" t="s">
        <v>58</v>
      </c>
      <c r="AI92" s="31">
        <v>30.0</v>
      </c>
      <c r="AJ92" s="31">
        <v>250.0</v>
      </c>
      <c r="AK92" s="31">
        <v>30.0</v>
      </c>
      <c r="AL92" s="31">
        <v>0.0</v>
      </c>
      <c r="AM92" s="32"/>
      <c r="AN92" s="31">
        <v>1500.0</v>
      </c>
      <c r="AO92" s="31">
        <v>1800.0</v>
      </c>
      <c r="AP92" s="34" t="s">
        <v>65</v>
      </c>
      <c r="AQ92" s="21">
        <v>2.0</v>
      </c>
    </row>
    <row r="93">
      <c r="A93" s="19">
        <v>91.0</v>
      </c>
      <c r="B93" s="20" t="s">
        <v>1215</v>
      </c>
      <c r="C93" s="20" t="s">
        <v>1216</v>
      </c>
      <c r="D93" s="29" t="s">
        <v>1217</v>
      </c>
      <c r="E93" s="20" t="s">
        <v>49</v>
      </c>
      <c r="F93" s="29" t="s">
        <v>122</v>
      </c>
      <c r="G93" s="29" t="s">
        <v>122</v>
      </c>
      <c r="H93" s="20" t="s">
        <v>142</v>
      </c>
      <c r="I93" s="20" t="s">
        <v>144</v>
      </c>
      <c r="J93" s="20" t="s">
        <v>74</v>
      </c>
      <c r="K93" s="20" t="s">
        <v>55</v>
      </c>
      <c r="L93" s="20" t="s">
        <v>56</v>
      </c>
      <c r="M93" s="20" t="s">
        <v>57</v>
      </c>
      <c r="N93" s="20" t="s">
        <v>58</v>
      </c>
      <c r="O93" s="19">
        <v>600.0</v>
      </c>
      <c r="P93" s="19">
        <v>1200.0</v>
      </c>
      <c r="Q93" s="20" t="s">
        <v>59</v>
      </c>
      <c r="R93" s="20" t="s">
        <v>58</v>
      </c>
      <c r="S93" s="20" t="s">
        <v>58</v>
      </c>
      <c r="T93" s="20"/>
      <c r="U93" s="20"/>
      <c r="V93" s="20" t="s">
        <v>61</v>
      </c>
      <c r="W93" s="20" t="s">
        <v>58</v>
      </c>
      <c r="X93" s="20" t="s">
        <v>58</v>
      </c>
      <c r="Y93" s="20" t="s">
        <v>58</v>
      </c>
      <c r="Z93" s="20" t="s">
        <v>58</v>
      </c>
      <c r="AA93" s="20" t="s">
        <v>58</v>
      </c>
      <c r="AB93" s="20" t="s">
        <v>58</v>
      </c>
      <c r="AC93" s="20" t="s">
        <v>58</v>
      </c>
      <c r="AD93" s="20" t="s">
        <v>58</v>
      </c>
      <c r="AE93" s="20" t="s">
        <v>58</v>
      </c>
      <c r="AF93" s="20" t="s">
        <v>61</v>
      </c>
      <c r="AG93" s="20" t="s">
        <v>61</v>
      </c>
      <c r="AH93" s="20" t="s">
        <v>58</v>
      </c>
      <c r="AI93" s="19">
        <v>25.0</v>
      </c>
      <c r="AJ93" s="19">
        <v>1500.0</v>
      </c>
      <c r="AK93" s="19">
        <v>25.0</v>
      </c>
      <c r="AL93" s="19">
        <v>0.0</v>
      </c>
      <c r="AM93" s="20"/>
      <c r="AN93" s="19">
        <v>600.0</v>
      </c>
      <c r="AO93" s="19">
        <v>1200.0</v>
      </c>
      <c r="AP93" s="26" t="s">
        <v>65</v>
      </c>
      <c r="AQ93" s="19"/>
    </row>
    <row r="94">
      <c r="A94" s="34">
        <v>92.0</v>
      </c>
      <c r="B94" s="32" t="s">
        <v>138</v>
      </c>
      <c r="C94" s="32" t="s">
        <v>140</v>
      </c>
      <c r="D94" s="21" t="s">
        <v>143</v>
      </c>
      <c r="E94" s="32" t="s">
        <v>49</v>
      </c>
      <c r="F94" s="35" t="s">
        <v>145</v>
      </c>
      <c r="G94" s="21" t="s">
        <v>1225</v>
      </c>
      <c r="H94" s="32" t="s">
        <v>147</v>
      </c>
      <c r="I94" s="32" t="s">
        <v>148</v>
      </c>
      <c r="J94" s="32" t="s">
        <v>148</v>
      </c>
      <c r="K94" s="32" t="s">
        <v>55</v>
      </c>
      <c r="L94" s="32" t="s">
        <v>56</v>
      </c>
      <c r="M94" s="32" t="s">
        <v>57</v>
      </c>
      <c r="N94" s="32" t="s">
        <v>58</v>
      </c>
      <c r="O94" s="31">
        <v>500.0</v>
      </c>
      <c r="P94" s="31">
        <v>850.0</v>
      </c>
      <c r="Q94" s="32" t="s">
        <v>59</v>
      </c>
      <c r="R94" s="32" t="s">
        <v>58</v>
      </c>
      <c r="S94" s="32" t="s">
        <v>58</v>
      </c>
      <c r="T94" s="32"/>
      <c r="U94" s="32"/>
      <c r="V94" s="32" t="s">
        <v>61</v>
      </c>
      <c r="W94" s="32" t="s">
        <v>58</v>
      </c>
      <c r="X94" s="32" t="s">
        <v>58</v>
      </c>
      <c r="Y94" s="32" t="s">
        <v>58</v>
      </c>
      <c r="Z94" s="32" t="s">
        <v>58</v>
      </c>
      <c r="AA94" s="32" t="s">
        <v>58</v>
      </c>
      <c r="AB94" s="32" t="s">
        <v>58</v>
      </c>
      <c r="AC94" s="32" t="s">
        <v>58</v>
      </c>
      <c r="AD94" s="32" t="s">
        <v>58</v>
      </c>
      <c r="AE94" s="32" t="s">
        <v>58</v>
      </c>
      <c r="AF94" s="32" t="s">
        <v>61</v>
      </c>
      <c r="AG94" s="32" t="s">
        <v>61</v>
      </c>
      <c r="AH94" s="32" t="s">
        <v>58</v>
      </c>
      <c r="AI94" s="31">
        <v>20.0</v>
      </c>
      <c r="AJ94" s="31">
        <v>1000.0</v>
      </c>
      <c r="AK94" s="31">
        <v>20.0</v>
      </c>
      <c r="AL94" s="31">
        <v>0.0</v>
      </c>
      <c r="AM94" s="32"/>
      <c r="AN94" s="31">
        <v>500.0</v>
      </c>
      <c r="AO94" s="31">
        <v>850.0</v>
      </c>
      <c r="AP94" s="34" t="s">
        <v>65</v>
      </c>
      <c r="AQ94" s="21">
        <v>2.0</v>
      </c>
    </row>
    <row r="95">
      <c r="A95" s="34">
        <v>93.0</v>
      </c>
      <c r="B95" s="32" t="s">
        <v>242</v>
      </c>
      <c r="C95" s="32" t="s">
        <v>244</v>
      </c>
      <c r="D95" s="21" t="s">
        <v>1226</v>
      </c>
      <c r="E95" s="32" t="s">
        <v>49</v>
      </c>
      <c r="F95" s="35" t="s">
        <v>952</v>
      </c>
      <c r="G95" s="21" t="s">
        <v>956</v>
      </c>
      <c r="H95" s="32" t="s">
        <v>147</v>
      </c>
      <c r="I95" s="32" t="s">
        <v>148</v>
      </c>
      <c r="J95" s="32" t="s">
        <v>148</v>
      </c>
      <c r="K95" s="32" t="s">
        <v>55</v>
      </c>
      <c r="L95" s="32" t="s">
        <v>56</v>
      </c>
      <c r="M95" s="32" t="s">
        <v>57</v>
      </c>
      <c r="N95" s="32" t="s">
        <v>58</v>
      </c>
      <c r="O95" s="31">
        <v>800.0</v>
      </c>
      <c r="P95" s="31">
        <v>1000.0</v>
      </c>
      <c r="Q95" s="32" t="s">
        <v>59</v>
      </c>
      <c r="R95" s="32" t="s">
        <v>58</v>
      </c>
      <c r="S95" s="32" t="s">
        <v>58</v>
      </c>
      <c r="T95" s="32"/>
      <c r="U95" s="32"/>
      <c r="V95" s="32" t="s">
        <v>61</v>
      </c>
      <c r="W95" s="32" t="s">
        <v>58</v>
      </c>
      <c r="X95" s="32" t="s">
        <v>58</v>
      </c>
      <c r="Y95" s="32" t="s">
        <v>58</v>
      </c>
      <c r="Z95" s="32" t="s">
        <v>58</v>
      </c>
      <c r="AA95" s="32" t="s">
        <v>58</v>
      </c>
      <c r="AB95" s="32" t="s">
        <v>58</v>
      </c>
      <c r="AC95" s="32" t="s">
        <v>58</v>
      </c>
      <c r="AD95" s="32" t="s">
        <v>58</v>
      </c>
      <c r="AE95" s="32" t="s">
        <v>58</v>
      </c>
      <c r="AF95" s="32" t="s">
        <v>61</v>
      </c>
      <c r="AG95" s="32" t="s">
        <v>61</v>
      </c>
      <c r="AH95" s="32" t="s">
        <v>58</v>
      </c>
      <c r="AI95" s="31">
        <v>40.0</v>
      </c>
      <c r="AJ95" s="31">
        <v>700.0</v>
      </c>
      <c r="AK95" s="31">
        <v>40.0</v>
      </c>
      <c r="AL95" s="31">
        <v>0.0</v>
      </c>
      <c r="AM95" s="32"/>
      <c r="AN95" s="31">
        <v>800.0</v>
      </c>
      <c r="AO95" s="31">
        <v>1000.0</v>
      </c>
      <c r="AP95" s="34" t="s">
        <v>65</v>
      </c>
      <c r="AQ95" s="21">
        <v>2.0</v>
      </c>
    </row>
    <row r="96">
      <c r="A96" s="32" t="s">
        <v>1235</v>
      </c>
      <c r="B96" s="32" t="s">
        <v>133</v>
      </c>
      <c r="C96" s="32" t="s">
        <v>134</v>
      </c>
      <c r="D96" s="32" t="s">
        <v>135</v>
      </c>
      <c r="E96" s="32" t="s">
        <v>49</v>
      </c>
      <c r="F96" s="32" t="s">
        <v>136</v>
      </c>
      <c r="G96" s="32" t="s">
        <v>1237</v>
      </c>
      <c r="H96" s="32" t="s">
        <v>147</v>
      </c>
      <c r="I96" s="32" t="s">
        <v>148</v>
      </c>
      <c r="J96" s="32" t="s">
        <v>148</v>
      </c>
      <c r="K96" s="32" t="s">
        <v>55</v>
      </c>
      <c r="L96" s="32" t="s">
        <v>56</v>
      </c>
      <c r="M96" s="32" t="s">
        <v>57</v>
      </c>
      <c r="N96" s="32" t="s">
        <v>333</v>
      </c>
      <c r="O96" s="32" t="s">
        <v>1238</v>
      </c>
      <c r="P96" s="32" t="s">
        <v>1239</v>
      </c>
      <c r="Q96" s="32" t="s">
        <v>59</v>
      </c>
      <c r="R96" s="32" t="s">
        <v>333</v>
      </c>
      <c r="S96" s="32" t="s">
        <v>333</v>
      </c>
      <c r="T96" s="32" t="s">
        <v>127</v>
      </c>
      <c r="U96" s="32"/>
      <c r="V96" s="32" t="s">
        <v>344</v>
      </c>
      <c r="W96" s="32" t="s">
        <v>333</v>
      </c>
      <c r="X96" s="32" t="s">
        <v>333</v>
      </c>
      <c r="Y96" s="32" t="s">
        <v>333</v>
      </c>
      <c r="Z96" s="32" t="s">
        <v>333</v>
      </c>
      <c r="AA96" s="32" t="s">
        <v>333</v>
      </c>
      <c r="AB96" s="32" t="s">
        <v>333</v>
      </c>
      <c r="AC96" s="32"/>
      <c r="AD96" s="32" t="s">
        <v>333</v>
      </c>
      <c r="AE96" s="32" t="s">
        <v>333</v>
      </c>
      <c r="AF96" s="32" t="s">
        <v>333</v>
      </c>
      <c r="AG96" s="32" t="s">
        <v>344</v>
      </c>
      <c r="AH96" s="32" t="s">
        <v>344</v>
      </c>
      <c r="AI96" s="32" t="s">
        <v>333</v>
      </c>
      <c r="AJ96" s="32"/>
      <c r="AK96" s="32" t="s">
        <v>1244</v>
      </c>
      <c r="AL96" s="32" t="s">
        <v>1245</v>
      </c>
      <c r="AM96" s="32" t="s">
        <v>1244</v>
      </c>
      <c r="AN96" s="32" t="s">
        <v>1238</v>
      </c>
      <c r="AO96" s="32" t="s">
        <v>1239</v>
      </c>
      <c r="AP96" s="21" t="s">
        <v>65</v>
      </c>
      <c r="AQ96" s="21">
        <v>2.0</v>
      </c>
    </row>
    <row r="97">
      <c r="A97" s="32" t="s">
        <v>1246</v>
      </c>
      <c r="B97" s="32" t="s">
        <v>523</v>
      </c>
      <c r="C97" s="32" t="s">
        <v>524</v>
      </c>
      <c r="D97" s="32" t="s">
        <v>525</v>
      </c>
      <c r="E97" s="32" t="s">
        <v>49</v>
      </c>
      <c r="F97" s="32" t="s">
        <v>1247</v>
      </c>
      <c r="G97" s="32" t="s">
        <v>1248</v>
      </c>
      <c r="H97" s="32" t="s">
        <v>147</v>
      </c>
      <c r="I97" s="32" t="s">
        <v>148</v>
      </c>
      <c r="J97" s="32" t="s">
        <v>148</v>
      </c>
      <c r="K97" s="32" t="s">
        <v>55</v>
      </c>
      <c r="L97" s="32" t="s">
        <v>56</v>
      </c>
      <c r="M97" s="32" t="s">
        <v>57</v>
      </c>
      <c r="N97" s="32" t="s">
        <v>333</v>
      </c>
      <c r="O97" s="32" t="s">
        <v>1253</v>
      </c>
      <c r="P97" s="32" t="s">
        <v>1256</v>
      </c>
      <c r="Q97" s="32" t="s">
        <v>59</v>
      </c>
      <c r="R97" s="32" t="s">
        <v>333</v>
      </c>
      <c r="S97" s="32" t="s">
        <v>333</v>
      </c>
      <c r="T97" s="32"/>
      <c r="U97" s="32"/>
      <c r="V97" s="32" t="s">
        <v>344</v>
      </c>
      <c r="W97" s="32" t="s">
        <v>333</v>
      </c>
      <c r="X97" s="32" t="s">
        <v>333</v>
      </c>
      <c r="Y97" s="32" t="s">
        <v>333</v>
      </c>
      <c r="Z97" s="32" t="s">
        <v>333</v>
      </c>
      <c r="AA97" s="32" t="s">
        <v>333</v>
      </c>
      <c r="AB97" s="32" t="s">
        <v>333</v>
      </c>
      <c r="AC97" s="32"/>
      <c r="AD97" s="32" t="s">
        <v>333</v>
      </c>
      <c r="AE97" s="32" t="s">
        <v>333</v>
      </c>
      <c r="AF97" s="32" t="s">
        <v>333</v>
      </c>
      <c r="AG97" s="32" t="s">
        <v>344</v>
      </c>
      <c r="AH97" s="32" t="s">
        <v>344</v>
      </c>
      <c r="AI97" s="32" t="s">
        <v>333</v>
      </c>
      <c r="AJ97" s="32"/>
      <c r="AK97" s="32" t="s">
        <v>1260</v>
      </c>
      <c r="AL97" s="32" t="s">
        <v>1261</v>
      </c>
      <c r="AM97" s="32" t="s">
        <v>1260</v>
      </c>
      <c r="AN97" s="32" t="s">
        <v>1253</v>
      </c>
      <c r="AO97" s="32" t="s">
        <v>1256</v>
      </c>
      <c r="AP97" s="21" t="s">
        <v>65</v>
      </c>
      <c r="AQ97" s="21">
        <v>2.0</v>
      </c>
    </row>
    <row r="98">
      <c r="A98" s="32" t="s">
        <v>1262</v>
      </c>
      <c r="B98" s="32" t="s">
        <v>827</v>
      </c>
      <c r="C98" s="32" t="s">
        <v>828</v>
      </c>
      <c r="D98" s="32" t="s">
        <v>830</v>
      </c>
      <c r="E98" s="32" t="s">
        <v>49</v>
      </c>
      <c r="F98" s="32" t="s">
        <v>1263</v>
      </c>
      <c r="G98" s="32" t="s">
        <v>1264</v>
      </c>
      <c r="H98" s="32" t="s">
        <v>723</v>
      </c>
      <c r="I98" s="32" t="s">
        <v>587</v>
      </c>
      <c r="J98" s="32" t="s">
        <v>74</v>
      </c>
      <c r="K98" s="32" t="s">
        <v>55</v>
      </c>
      <c r="L98" s="32" t="s">
        <v>56</v>
      </c>
      <c r="M98" s="32" t="s">
        <v>57</v>
      </c>
      <c r="N98" s="32" t="s">
        <v>333</v>
      </c>
      <c r="O98" s="32" t="s">
        <v>348</v>
      </c>
      <c r="P98" s="32" t="s">
        <v>1269</v>
      </c>
      <c r="Q98" s="32" t="s">
        <v>59</v>
      </c>
      <c r="R98" s="32" t="s">
        <v>333</v>
      </c>
      <c r="S98" s="32" t="s">
        <v>333</v>
      </c>
      <c r="T98" s="32" t="s">
        <v>1270</v>
      </c>
      <c r="U98" s="32"/>
      <c r="V98" s="32" t="s">
        <v>344</v>
      </c>
      <c r="W98" s="32" t="s">
        <v>333</v>
      </c>
      <c r="X98" s="32" t="s">
        <v>333</v>
      </c>
      <c r="Y98" s="32" t="s">
        <v>333</v>
      </c>
      <c r="Z98" s="32" t="s">
        <v>333</v>
      </c>
      <c r="AA98" s="32" t="s">
        <v>333</v>
      </c>
      <c r="AB98" s="32" t="s">
        <v>333</v>
      </c>
      <c r="AC98" s="32"/>
      <c r="AD98" s="32" t="s">
        <v>333</v>
      </c>
      <c r="AE98" s="32" t="s">
        <v>333</v>
      </c>
      <c r="AF98" s="32" t="s">
        <v>333</v>
      </c>
      <c r="AG98" s="32" t="s">
        <v>344</v>
      </c>
      <c r="AH98" s="32" t="s">
        <v>344</v>
      </c>
      <c r="AI98" s="32" t="s">
        <v>333</v>
      </c>
      <c r="AJ98" s="32"/>
      <c r="AK98" s="32" t="s">
        <v>1274</v>
      </c>
      <c r="AL98" s="32" t="s">
        <v>1244</v>
      </c>
      <c r="AM98" s="32" t="s">
        <v>1274</v>
      </c>
      <c r="AN98" s="32" t="s">
        <v>348</v>
      </c>
      <c r="AO98" s="32" t="s">
        <v>1269</v>
      </c>
      <c r="AP98" s="21" t="s">
        <v>65</v>
      </c>
      <c r="AQ98" s="21">
        <v>2.0</v>
      </c>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9"/>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9"/>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9"/>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9"/>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9"/>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c r="AQ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c r="AO907" s="20"/>
      <c r="AP907" s="20"/>
      <c r="AQ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c r="AO908" s="20"/>
      <c r="AP908" s="20"/>
      <c r="AQ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c r="AO909" s="20"/>
      <c r="AP909" s="20"/>
      <c r="AQ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c r="AM910" s="20"/>
      <c r="AN910" s="20"/>
      <c r="AO910" s="20"/>
      <c r="AP910" s="20"/>
      <c r="AQ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c r="AM911" s="20"/>
      <c r="AN911" s="20"/>
      <c r="AO911" s="20"/>
      <c r="AP911" s="20"/>
      <c r="AQ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c r="AM912" s="20"/>
      <c r="AN912" s="20"/>
      <c r="AO912" s="20"/>
      <c r="AP912" s="20"/>
      <c r="AQ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c r="AM913" s="20"/>
      <c r="AN913" s="20"/>
      <c r="AO913" s="20"/>
      <c r="AP913" s="20"/>
      <c r="AQ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c r="AM914" s="20"/>
      <c r="AN914" s="20"/>
      <c r="AO914" s="20"/>
      <c r="AP914" s="20"/>
      <c r="AQ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c r="AM915" s="20"/>
      <c r="AN915" s="20"/>
      <c r="AO915" s="20"/>
      <c r="AP915" s="20"/>
      <c r="AQ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c r="AM916" s="20"/>
      <c r="AN916" s="20"/>
      <c r="AO916" s="20"/>
      <c r="AP916" s="20"/>
      <c r="AQ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c r="AM917" s="20"/>
      <c r="AN917" s="20"/>
      <c r="AO917" s="20"/>
      <c r="AP917" s="20"/>
      <c r="AQ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c r="AM918" s="20"/>
      <c r="AN918" s="20"/>
      <c r="AO918" s="20"/>
      <c r="AP918" s="20"/>
      <c r="AQ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c r="AM919" s="20"/>
      <c r="AN919" s="20"/>
      <c r="AO919" s="20"/>
      <c r="AP919" s="20"/>
      <c r="AQ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c r="AM920" s="20"/>
      <c r="AN920" s="20"/>
      <c r="AO920" s="20"/>
      <c r="AP920" s="20"/>
      <c r="AQ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c r="AM921" s="20"/>
      <c r="AN921" s="20"/>
      <c r="AO921" s="20"/>
      <c r="AP921" s="20"/>
      <c r="AQ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c r="AM922" s="20"/>
      <c r="AN922" s="20"/>
      <c r="AO922" s="20"/>
      <c r="AP922" s="20"/>
      <c r="AQ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c r="AM923" s="20"/>
      <c r="AN923" s="20"/>
      <c r="AO923" s="20"/>
      <c r="AP923" s="20"/>
      <c r="AQ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c r="AM924" s="20"/>
      <c r="AN924" s="20"/>
      <c r="AO924" s="20"/>
      <c r="AP924" s="20"/>
      <c r="AQ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c r="AM925" s="20"/>
      <c r="AN925" s="20"/>
      <c r="AO925" s="20"/>
      <c r="AP925" s="20"/>
      <c r="AQ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c r="AM926" s="20"/>
      <c r="AN926" s="20"/>
      <c r="AO926" s="20"/>
      <c r="AP926" s="20"/>
      <c r="AQ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c r="AM927" s="20"/>
      <c r="AN927" s="20"/>
      <c r="AO927" s="20"/>
      <c r="AP927" s="20"/>
      <c r="AQ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c r="AM928" s="20"/>
      <c r="AN928" s="20"/>
      <c r="AO928" s="20"/>
      <c r="AP928" s="20"/>
      <c r="AQ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c r="AM929" s="20"/>
      <c r="AN929" s="20"/>
      <c r="AO929" s="20"/>
      <c r="AP929" s="20"/>
      <c r="AQ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c r="AM930" s="20"/>
      <c r="AN930" s="20"/>
      <c r="AO930" s="20"/>
      <c r="AP930" s="20"/>
      <c r="AQ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c r="AM931" s="20"/>
      <c r="AN931" s="20"/>
      <c r="AO931" s="20"/>
      <c r="AP931" s="20"/>
      <c r="AQ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c r="AM932" s="20"/>
      <c r="AN932" s="20"/>
      <c r="AO932" s="20"/>
      <c r="AP932" s="20"/>
      <c r="AQ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c r="AM933" s="20"/>
      <c r="AN933" s="20"/>
      <c r="AO933" s="20"/>
      <c r="AP933" s="20"/>
      <c r="AQ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c r="AM934" s="20"/>
      <c r="AN934" s="20"/>
      <c r="AO934" s="20"/>
      <c r="AP934" s="20"/>
      <c r="AQ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c r="AM935" s="20"/>
      <c r="AN935" s="20"/>
      <c r="AO935" s="20"/>
      <c r="AP935" s="20"/>
      <c r="AQ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c r="AM936" s="20"/>
      <c r="AN936" s="20"/>
      <c r="AO936" s="20"/>
      <c r="AP936" s="20"/>
      <c r="AQ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c r="AM937" s="20"/>
      <c r="AN937" s="20"/>
      <c r="AO937" s="20"/>
      <c r="AP937" s="20"/>
      <c r="AQ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c r="AM938" s="20"/>
      <c r="AN938" s="20"/>
      <c r="AO938" s="20"/>
      <c r="AP938" s="20"/>
      <c r="AQ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c r="AM939" s="20"/>
      <c r="AN939" s="20"/>
      <c r="AO939" s="20"/>
      <c r="AP939" s="20"/>
      <c r="AQ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c r="AM940" s="20"/>
      <c r="AN940" s="20"/>
      <c r="AO940" s="20"/>
      <c r="AP940" s="20"/>
      <c r="AQ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c r="AM941" s="20"/>
      <c r="AN941" s="20"/>
      <c r="AO941" s="20"/>
      <c r="AP941" s="20"/>
      <c r="AQ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c r="AM942" s="20"/>
      <c r="AN942" s="20"/>
      <c r="AO942" s="20"/>
      <c r="AP942" s="20"/>
      <c r="AQ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c r="AM943" s="20"/>
      <c r="AN943" s="20"/>
      <c r="AO943" s="20"/>
      <c r="AP943" s="20"/>
      <c r="AQ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c r="AM944" s="20"/>
      <c r="AN944" s="20"/>
      <c r="AO944" s="20"/>
      <c r="AP944" s="20"/>
      <c r="AQ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c r="AM945" s="20"/>
      <c r="AN945" s="20"/>
      <c r="AO945" s="20"/>
      <c r="AP945" s="20"/>
      <c r="AQ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c r="AM946" s="20"/>
      <c r="AN946" s="20"/>
      <c r="AO946" s="20"/>
      <c r="AP946" s="20"/>
      <c r="AQ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c r="AM947" s="20"/>
      <c r="AN947" s="20"/>
      <c r="AO947" s="20"/>
      <c r="AP947" s="20"/>
      <c r="AQ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c r="AM948" s="20"/>
      <c r="AN948" s="20"/>
      <c r="AO948" s="20"/>
      <c r="AP948" s="20"/>
      <c r="AQ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c r="AM949" s="20"/>
      <c r="AN949" s="20"/>
      <c r="AO949" s="20"/>
      <c r="AP949" s="20"/>
      <c r="AQ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c r="AM950" s="20"/>
      <c r="AN950" s="20"/>
      <c r="AO950" s="20"/>
      <c r="AP950" s="20"/>
      <c r="AQ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c r="AM951" s="20"/>
      <c r="AN951" s="20"/>
      <c r="AO951" s="20"/>
      <c r="AP951" s="20"/>
      <c r="AQ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c r="AM952" s="20"/>
      <c r="AN952" s="20"/>
      <c r="AO952" s="20"/>
      <c r="AP952" s="20"/>
      <c r="AQ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c r="AM953" s="20"/>
      <c r="AN953" s="20"/>
      <c r="AO953" s="20"/>
      <c r="AP953" s="20"/>
      <c r="AQ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c r="AM954" s="20"/>
      <c r="AN954" s="20"/>
      <c r="AO954" s="20"/>
      <c r="AP954" s="20"/>
      <c r="AQ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c r="AM955" s="20"/>
      <c r="AN955" s="20"/>
      <c r="AO955" s="20"/>
      <c r="AP955" s="20"/>
      <c r="AQ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c r="AM956" s="20"/>
      <c r="AN956" s="20"/>
      <c r="AO956" s="20"/>
      <c r="AP956" s="20"/>
      <c r="AQ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c r="AM957" s="20"/>
      <c r="AN957" s="20"/>
      <c r="AO957" s="20"/>
      <c r="AP957" s="20"/>
      <c r="AQ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c r="AM958" s="20"/>
      <c r="AN958" s="20"/>
      <c r="AO958" s="20"/>
      <c r="AP958" s="20"/>
      <c r="AQ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c r="AM959" s="20"/>
      <c r="AN959" s="20"/>
      <c r="AO959" s="20"/>
      <c r="AP959" s="20"/>
      <c r="AQ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c r="AM960" s="20"/>
      <c r="AN960" s="20"/>
      <c r="AO960" s="20"/>
      <c r="AP960" s="20"/>
      <c r="AQ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c r="AM961" s="20"/>
      <c r="AN961" s="20"/>
      <c r="AO961" s="20"/>
      <c r="AP961" s="20"/>
      <c r="AQ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c r="AM962" s="20"/>
      <c r="AN962" s="20"/>
      <c r="AO962" s="20"/>
      <c r="AP962" s="20"/>
      <c r="AQ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c r="AM963" s="20"/>
      <c r="AN963" s="20"/>
      <c r="AO963" s="20"/>
      <c r="AP963" s="20"/>
      <c r="AQ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c r="AM964" s="20"/>
      <c r="AN964" s="20"/>
      <c r="AO964" s="20"/>
      <c r="AP964" s="20"/>
      <c r="AQ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c r="AM965" s="20"/>
      <c r="AN965" s="20"/>
      <c r="AO965" s="20"/>
      <c r="AP965" s="20"/>
      <c r="AQ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c r="AM966" s="20"/>
      <c r="AN966" s="20"/>
      <c r="AO966" s="20"/>
      <c r="AP966" s="20"/>
      <c r="AQ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c r="AM968" s="20"/>
      <c r="AN968" s="20"/>
      <c r="AO968" s="20"/>
      <c r="AP968" s="20"/>
      <c r="AQ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c r="AM969" s="20"/>
      <c r="AN969" s="20"/>
      <c r="AO969" s="20"/>
      <c r="AP969" s="20"/>
      <c r="AQ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c r="AM970" s="20"/>
      <c r="AN970" s="20"/>
      <c r="AO970" s="20"/>
      <c r="AP970" s="20"/>
      <c r="AQ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c r="AM971" s="20"/>
      <c r="AN971" s="20"/>
      <c r="AO971" s="20"/>
      <c r="AP971" s="20"/>
      <c r="AQ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c r="AM972" s="20"/>
      <c r="AN972" s="20"/>
      <c r="AO972" s="20"/>
      <c r="AP972" s="20"/>
      <c r="AQ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c r="AM973" s="20"/>
      <c r="AN973" s="20"/>
      <c r="AO973" s="20"/>
      <c r="AP973" s="20"/>
      <c r="AQ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c r="AM974" s="20"/>
      <c r="AN974" s="20"/>
      <c r="AO974" s="20"/>
      <c r="AP974" s="20"/>
      <c r="AQ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c r="AM975" s="20"/>
      <c r="AN975" s="20"/>
      <c r="AO975" s="20"/>
      <c r="AP975" s="20"/>
      <c r="AQ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c r="AM976" s="20"/>
      <c r="AN976" s="20"/>
      <c r="AO976" s="20"/>
      <c r="AP976" s="20"/>
      <c r="AQ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c r="AM977" s="20"/>
      <c r="AN977" s="20"/>
      <c r="AO977" s="20"/>
      <c r="AP977" s="20"/>
      <c r="AQ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c r="AM978" s="20"/>
      <c r="AN978" s="20"/>
      <c r="AO978" s="20"/>
      <c r="AP978" s="20"/>
      <c r="AQ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c r="AM979" s="20"/>
      <c r="AN979" s="20"/>
      <c r="AO979" s="20"/>
      <c r="AP979" s="20"/>
      <c r="AQ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c r="AM980" s="20"/>
      <c r="AN980" s="20"/>
      <c r="AO980" s="20"/>
      <c r="AP980" s="20"/>
      <c r="AQ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c r="AM981" s="20"/>
      <c r="AN981" s="20"/>
      <c r="AO981" s="20"/>
      <c r="AP981" s="20"/>
      <c r="AQ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c r="AM982" s="20"/>
      <c r="AN982" s="20"/>
      <c r="AO982" s="20"/>
      <c r="AP982" s="20"/>
      <c r="AQ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c r="AM983" s="20"/>
      <c r="AN983" s="20"/>
      <c r="AO983" s="20"/>
      <c r="AP983" s="20"/>
      <c r="AQ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c r="AM984" s="20"/>
      <c r="AN984" s="20"/>
      <c r="AO984" s="20"/>
      <c r="AP984" s="20"/>
      <c r="AQ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c r="AM985" s="20"/>
      <c r="AN985" s="20"/>
      <c r="AO985" s="20"/>
      <c r="AP985" s="20"/>
      <c r="AQ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c r="AM986" s="20"/>
      <c r="AN986" s="20"/>
      <c r="AO986" s="20"/>
      <c r="AP986" s="20"/>
      <c r="AQ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c r="AM987" s="20"/>
      <c r="AN987" s="20"/>
      <c r="AO987" s="20"/>
      <c r="AP987" s="20"/>
      <c r="AQ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c r="AM988" s="20"/>
      <c r="AN988" s="20"/>
      <c r="AO988" s="20"/>
      <c r="AP988" s="20"/>
      <c r="AQ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c r="AM989" s="20"/>
      <c r="AN989" s="20"/>
      <c r="AO989" s="20"/>
      <c r="AP989" s="20"/>
      <c r="AQ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c r="AM990" s="20"/>
      <c r="AN990" s="20"/>
      <c r="AO990" s="20"/>
      <c r="AP990" s="20"/>
      <c r="AQ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c r="AM991" s="20"/>
      <c r="AN991" s="20"/>
      <c r="AO991" s="20"/>
      <c r="AP991" s="20"/>
      <c r="AQ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c r="AM992" s="20"/>
      <c r="AN992" s="20"/>
      <c r="AO992" s="20"/>
      <c r="AP992" s="20"/>
      <c r="AQ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c r="AM993" s="20"/>
      <c r="AN993" s="20"/>
      <c r="AO993" s="20"/>
      <c r="AP993" s="20"/>
      <c r="AQ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c r="AM994" s="20"/>
      <c r="AN994" s="20"/>
      <c r="AO994" s="20"/>
      <c r="AP994" s="20"/>
      <c r="AQ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c r="AM995" s="20"/>
      <c r="AN995" s="20"/>
      <c r="AO995" s="20"/>
      <c r="AP995" s="20"/>
      <c r="AQ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c r="AM996" s="20"/>
      <c r="AN996" s="20"/>
      <c r="AO996" s="20"/>
      <c r="AP996" s="20"/>
      <c r="AQ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c r="AM997" s="20"/>
      <c r="AN997" s="20"/>
      <c r="AO997" s="20"/>
      <c r="AP997" s="20"/>
      <c r="AQ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c r="AM998" s="20"/>
      <c r="AN998" s="20"/>
      <c r="AO998" s="20"/>
      <c r="AP998" s="20"/>
      <c r="AQ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c r="AL999" s="20"/>
      <c r="AM999" s="20"/>
      <c r="AN999" s="20"/>
      <c r="AO999" s="20"/>
      <c r="AP999" s="20"/>
      <c r="AQ999" s="20"/>
    </row>
  </sheetData>
  <hyperlinks>
    <hyperlink r:id="rId1" ref="F8"/>
    <hyperlink r:id="rId2" ref="F9"/>
    <hyperlink r:id="rId3" ref="F10"/>
    <hyperlink r:id="rId4" ref="F11"/>
    <hyperlink r:id="rId5" ref="F13"/>
    <hyperlink r:id="rId6" ref="F14"/>
    <hyperlink r:id="rId7" ref="F15"/>
    <hyperlink r:id="rId8" ref="F17"/>
    <hyperlink r:id="rId9" ref="F19"/>
    <hyperlink r:id="rId10" ref="F20"/>
    <hyperlink r:id="rId11" ref="F23"/>
    <hyperlink r:id="rId12" ref="F24"/>
    <hyperlink r:id="rId13" ref="F25"/>
    <hyperlink r:id="rId14" ref="F27"/>
    <hyperlink r:id="rId15" ref="F29"/>
    <hyperlink r:id="rId16" ref="F30"/>
    <hyperlink r:id="rId17" ref="F33"/>
    <hyperlink r:id="rId18" ref="F36"/>
    <hyperlink r:id="rId19" ref="F42"/>
    <hyperlink r:id="rId20" ref="F50"/>
    <hyperlink r:id="rId21" ref="F54"/>
    <hyperlink r:id="rId22" ref="F55"/>
    <hyperlink r:id="rId23" ref="F59"/>
    <hyperlink r:id="rId24" ref="F60"/>
    <hyperlink r:id="rId25" ref="F62"/>
    <hyperlink r:id="rId26" ref="F63"/>
    <hyperlink r:id="rId27" ref="F65"/>
    <hyperlink r:id="rId28" ref="F66"/>
    <hyperlink r:id="rId29" ref="F68"/>
    <hyperlink r:id="rId30" ref="F72"/>
    <hyperlink r:id="rId31" ref="F73"/>
    <hyperlink r:id="rId32" ref="F74"/>
    <hyperlink r:id="rId33" ref="F77"/>
    <hyperlink r:id="rId34" ref="F80"/>
    <hyperlink r:id="rId35" ref="F81"/>
    <hyperlink r:id="rId36" ref="F82"/>
    <hyperlink r:id="rId37" ref="F83"/>
    <hyperlink r:id="rId38" ref="F84"/>
    <hyperlink r:id="rId39" ref="F85"/>
    <hyperlink r:id="rId40" ref="F86"/>
    <hyperlink r:id="rId41" ref="F90"/>
    <hyperlink r:id="rId42" ref="F91"/>
    <hyperlink r:id="rId43" ref="F92"/>
    <hyperlink r:id="rId44" ref="F94"/>
    <hyperlink r:id="rId45" ref="F95"/>
  </hyperlinks>
  <drawing r:id="rId4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0</v>
      </c>
      <c r="B1" s="2">
        <v>0.0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78"/>
      <c r="AQ1" s="78"/>
      <c r="AR1" s="78"/>
      <c r="AS1" s="78"/>
    </row>
    <row r="2">
      <c r="A2" s="2" t="s">
        <v>3</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78"/>
      <c r="AQ2" s="78"/>
      <c r="AR2" s="78"/>
      <c r="AS2" s="78"/>
    </row>
    <row r="3">
      <c r="A3" s="2" t="s">
        <v>5</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78"/>
      <c r="AQ3" s="78"/>
      <c r="AR3" s="78"/>
      <c r="AS3" s="78"/>
    </row>
    <row r="4">
      <c r="A4" s="2" t="s">
        <v>6</v>
      </c>
      <c r="B4" s="2">
        <v>27.0</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78"/>
      <c r="AQ4" s="78"/>
      <c r="AR4" s="78"/>
      <c r="AS4" s="78"/>
    </row>
    <row r="5">
      <c r="A5" s="78" t="s">
        <v>7</v>
      </c>
      <c r="B5" s="78" t="s">
        <v>8</v>
      </c>
      <c r="C5" s="78" t="s">
        <v>9</v>
      </c>
      <c r="D5" s="78" t="s">
        <v>10</v>
      </c>
      <c r="E5" s="78" t="s">
        <v>11</v>
      </c>
      <c r="F5" s="78" t="s">
        <v>12</v>
      </c>
      <c r="G5" s="78" t="s">
        <v>13</v>
      </c>
      <c r="H5" s="78" t="s">
        <v>14</v>
      </c>
      <c r="I5" s="78" t="s">
        <v>15</v>
      </c>
      <c r="J5" s="78" t="s">
        <v>16</v>
      </c>
      <c r="K5" s="78" t="s">
        <v>17</v>
      </c>
      <c r="L5" s="78" t="s">
        <v>18</v>
      </c>
      <c r="M5" s="78" t="s">
        <v>19</v>
      </c>
      <c r="N5" s="78" t="s">
        <v>20</v>
      </c>
      <c r="O5" s="78" t="s">
        <v>21</v>
      </c>
      <c r="P5" s="78" t="s">
        <v>22</v>
      </c>
      <c r="Q5" s="78" t="s">
        <v>23</v>
      </c>
      <c r="R5" s="78" t="s">
        <v>24</v>
      </c>
      <c r="S5" s="78" t="s">
        <v>25</v>
      </c>
      <c r="T5" s="78" t="s">
        <v>26</v>
      </c>
      <c r="U5" s="78" t="s">
        <v>27</v>
      </c>
      <c r="V5" s="78" t="s">
        <v>28</v>
      </c>
      <c r="W5" s="78" t="s">
        <v>29</v>
      </c>
      <c r="X5" s="78" t="s">
        <v>30</v>
      </c>
      <c r="Y5" s="78" t="s">
        <v>31</v>
      </c>
      <c r="Z5" s="78" t="s">
        <v>51</v>
      </c>
      <c r="AA5" s="78" t="s">
        <v>32</v>
      </c>
      <c r="AB5" s="78" t="s">
        <v>33</v>
      </c>
      <c r="AC5" s="78" t="s">
        <v>1651</v>
      </c>
      <c r="AD5" s="78" t="s">
        <v>34</v>
      </c>
      <c r="AE5" s="78" t="s">
        <v>35</v>
      </c>
      <c r="AF5" s="78" t="s">
        <v>36</v>
      </c>
      <c r="AG5" s="78" t="s">
        <v>37</v>
      </c>
      <c r="AH5" s="78" t="s">
        <v>38</v>
      </c>
      <c r="AI5" s="78" t="s">
        <v>39</v>
      </c>
      <c r="AJ5" s="78" t="s">
        <v>1652</v>
      </c>
      <c r="AK5" s="78" t="s">
        <v>40</v>
      </c>
      <c r="AL5" s="78" t="s">
        <v>41</v>
      </c>
      <c r="AM5" s="78" t="s">
        <v>42</v>
      </c>
      <c r="AN5" s="78" t="s">
        <v>43</v>
      </c>
      <c r="AO5" s="78" t="s">
        <v>60</v>
      </c>
      <c r="AP5" s="78" t="s">
        <v>21</v>
      </c>
      <c r="AQ5" s="78" t="s">
        <v>63</v>
      </c>
      <c r="AR5" s="79" t="s">
        <v>81</v>
      </c>
      <c r="AS5" s="79" t="s">
        <v>82</v>
      </c>
    </row>
    <row r="6">
      <c r="A6" s="20" t="s">
        <v>1654</v>
      </c>
      <c r="B6" s="20" t="s">
        <v>68</v>
      </c>
      <c r="C6" s="20" t="s">
        <v>70</v>
      </c>
      <c r="D6" s="20"/>
      <c r="E6" s="20" t="s">
        <v>49</v>
      </c>
      <c r="F6" s="80" t="s">
        <v>1655</v>
      </c>
      <c r="G6" s="81" t="s">
        <v>1660</v>
      </c>
      <c r="H6" s="20" t="s">
        <v>75</v>
      </c>
      <c r="I6" s="20" t="s">
        <v>76</v>
      </c>
      <c r="J6" s="20" t="s">
        <v>76</v>
      </c>
      <c r="K6" s="20" t="s">
        <v>55</v>
      </c>
      <c r="L6" s="20" t="s">
        <v>56</v>
      </c>
      <c r="M6" s="20" t="s">
        <v>57</v>
      </c>
      <c r="N6" s="20" t="s">
        <v>333</v>
      </c>
      <c r="O6" s="20" t="s">
        <v>1261</v>
      </c>
      <c r="P6" s="20" t="s">
        <v>1661</v>
      </c>
      <c r="Q6" s="20" t="s">
        <v>59</v>
      </c>
      <c r="R6" s="20" t="s">
        <v>333</v>
      </c>
      <c r="S6" s="20" t="s">
        <v>333</v>
      </c>
      <c r="T6" s="20"/>
      <c r="U6" s="20"/>
      <c r="V6" s="20" t="s">
        <v>344</v>
      </c>
      <c r="W6" s="20" t="s">
        <v>333</v>
      </c>
      <c r="X6" s="20" t="s">
        <v>333</v>
      </c>
      <c r="Y6" s="20" t="s">
        <v>333</v>
      </c>
      <c r="Z6" s="20" t="s">
        <v>333</v>
      </c>
      <c r="AA6" s="20" t="s">
        <v>333</v>
      </c>
      <c r="AB6" s="20" t="s">
        <v>333</v>
      </c>
      <c r="AC6" s="20"/>
      <c r="AD6" s="20" t="s">
        <v>333</v>
      </c>
      <c r="AE6" s="20" t="s">
        <v>333</v>
      </c>
      <c r="AF6" s="20" t="s">
        <v>333</v>
      </c>
      <c r="AG6" s="20" t="s">
        <v>344</v>
      </c>
      <c r="AH6" s="20" t="s">
        <v>344</v>
      </c>
      <c r="AI6" s="20" t="s">
        <v>333</v>
      </c>
      <c r="AJ6" s="20"/>
      <c r="AK6" s="20" t="s">
        <v>1663</v>
      </c>
      <c r="AL6" s="20" t="s">
        <v>1586</v>
      </c>
      <c r="AM6" s="20" t="s">
        <v>1663</v>
      </c>
      <c r="AN6" s="20" t="s">
        <v>349</v>
      </c>
      <c r="AO6" s="20"/>
      <c r="AP6" s="20" t="s">
        <v>1261</v>
      </c>
      <c r="AQ6" s="20" t="s">
        <v>1661</v>
      </c>
      <c r="AR6" s="20"/>
      <c r="AS6" s="20"/>
    </row>
    <row r="7">
      <c r="A7" s="20" t="s">
        <v>1664</v>
      </c>
      <c r="B7" s="20" t="s">
        <v>1495</v>
      </c>
      <c r="C7" s="20" t="s">
        <v>1496</v>
      </c>
      <c r="D7" s="20" t="s">
        <v>1497</v>
      </c>
      <c r="E7" s="20" t="s">
        <v>49</v>
      </c>
      <c r="F7" s="29" t="s">
        <v>69</v>
      </c>
      <c r="G7" s="57">
        <v>9.999689758E9</v>
      </c>
      <c r="H7" s="20" t="s">
        <v>389</v>
      </c>
      <c r="I7" s="20" t="s">
        <v>390</v>
      </c>
      <c r="J7" s="20" t="s">
        <v>390</v>
      </c>
      <c r="K7" s="20" t="s">
        <v>55</v>
      </c>
      <c r="L7" s="20" t="s">
        <v>56</v>
      </c>
      <c r="M7" s="20" t="s">
        <v>57</v>
      </c>
      <c r="N7" s="20" t="s">
        <v>333</v>
      </c>
      <c r="O7" s="20" t="s">
        <v>1669</v>
      </c>
      <c r="P7" s="20" t="s">
        <v>1670</v>
      </c>
      <c r="Q7" s="20" t="s">
        <v>59</v>
      </c>
      <c r="R7" s="20" t="s">
        <v>333</v>
      </c>
      <c r="S7" s="20" t="s">
        <v>333</v>
      </c>
      <c r="T7" s="20" t="s">
        <v>1671</v>
      </c>
      <c r="U7" s="20"/>
      <c r="V7" s="20" t="s">
        <v>344</v>
      </c>
      <c r="W7" s="20" t="s">
        <v>333</v>
      </c>
      <c r="X7" s="20" t="s">
        <v>333</v>
      </c>
      <c r="Y7" s="20" t="s">
        <v>333</v>
      </c>
      <c r="Z7" s="20" t="s">
        <v>333</v>
      </c>
      <c r="AA7" s="20" t="s">
        <v>333</v>
      </c>
      <c r="AB7" s="20" t="s">
        <v>333</v>
      </c>
      <c r="AC7" s="20"/>
      <c r="AD7" s="20" t="s">
        <v>333</v>
      </c>
      <c r="AE7" s="20" t="s">
        <v>333</v>
      </c>
      <c r="AF7" s="20" t="s">
        <v>333</v>
      </c>
      <c r="AG7" s="20" t="s">
        <v>344</v>
      </c>
      <c r="AH7" s="20" t="s">
        <v>344</v>
      </c>
      <c r="AI7" s="20" t="s">
        <v>333</v>
      </c>
      <c r="AJ7" s="20"/>
      <c r="AK7" s="20" t="s">
        <v>1244</v>
      </c>
      <c r="AL7" s="20" t="s">
        <v>1673</v>
      </c>
      <c r="AM7" s="20" t="s">
        <v>1244</v>
      </c>
      <c r="AN7" s="20" t="s">
        <v>349</v>
      </c>
      <c r="AO7" s="20"/>
      <c r="AP7" s="20" t="s">
        <v>1669</v>
      </c>
      <c r="AQ7" s="20" t="s">
        <v>1670</v>
      </c>
      <c r="AR7" s="24" t="s">
        <v>757</v>
      </c>
      <c r="AS7" s="20"/>
    </row>
    <row r="8">
      <c r="A8" s="20" t="s">
        <v>1674</v>
      </c>
      <c r="B8" s="20" t="s">
        <v>1165</v>
      </c>
      <c r="C8" s="20" t="s">
        <v>1166</v>
      </c>
      <c r="D8" s="53" t="s">
        <v>1493</v>
      </c>
      <c r="E8" s="20" t="s">
        <v>49</v>
      </c>
      <c r="F8" s="80" t="s">
        <v>1677</v>
      </c>
      <c r="G8" s="20" t="s">
        <v>1680</v>
      </c>
      <c r="H8" s="20" t="s">
        <v>389</v>
      </c>
      <c r="I8" s="20" t="s">
        <v>390</v>
      </c>
      <c r="J8" s="20" t="s">
        <v>390</v>
      </c>
      <c r="K8" s="20" t="s">
        <v>55</v>
      </c>
      <c r="L8" s="20" t="s">
        <v>56</v>
      </c>
      <c r="M8" s="20" t="s">
        <v>57</v>
      </c>
      <c r="N8" s="20" t="s">
        <v>333</v>
      </c>
      <c r="O8" s="20" t="s">
        <v>1682</v>
      </c>
      <c r="P8" s="20" t="s">
        <v>1556</v>
      </c>
      <c r="Q8" s="20" t="s">
        <v>59</v>
      </c>
      <c r="R8" s="20" t="s">
        <v>333</v>
      </c>
      <c r="S8" s="20" t="s">
        <v>333</v>
      </c>
      <c r="T8" s="20"/>
      <c r="U8" s="20"/>
      <c r="V8" s="20" t="s">
        <v>344</v>
      </c>
      <c r="W8" s="20" t="s">
        <v>333</v>
      </c>
      <c r="X8" s="20" t="s">
        <v>333</v>
      </c>
      <c r="Y8" s="20" t="s">
        <v>333</v>
      </c>
      <c r="Z8" s="20" t="s">
        <v>333</v>
      </c>
      <c r="AA8" s="20" t="s">
        <v>333</v>
      </c>
      <c r="AB8" s="20" t="s">
        <v>333</v>
      </c>
      <c r="AC8" s="20"/>
      <c r="AD8" s="20" t="s">
        <v>333</v>
      </c>
      <c r="AE8" s="20" t="s">
        <v>333</v>
      </c>
      <c r="AF8" s="20" t="s">
        <v>333</v>
      </c>
      <c r="AG8" s="20" t="s">
        <v>344</v>
      </c>
      <c r="AH8" s="20" t="s">
        <v>344</v>
      </c>
      <c r="AI8" s="20" t="s">
        <v>333</v>
      </c>
      <c r="AJ8" s="20"/>
      <c r="AK8" s="20" t="s">
        <v>1581</v>
      </c>
      <c r="AL8" s="20" t="s">
        <v>348</v>
      </c>
      <c r="AM8" s="20" t="s">
        <v>1581</v>
      </c>
      <c r="AN8" s="20" t="s">
        <v>349</v>
      </c>
      <c r="AO8" s="20"/>
      <c r="AP8" s="20" t="s">
        <v>1682</v>
      </c>
      <c r="AQ8" s="20" t="s">
        <v>1556</v>
      </c>
      <c r="AR8" s="24" t="s">
        <v>757</v>
      </c>
      <c r="AS8" s="20"/>
    </row>
    <row r="9">
      <c r="A9" s="32" t="s">
        <v>1685</v>
      </c>
      <c r="B9" s="32" t="s">
        <v>1486</v>
      </c>
      <c r="C9" s="32" t="s">
        <v>1487</v>
      </c>
      <c r="D9" s="48" t="s">
        <v>1488</v>
      </c>
      <c r="E9" s="32" t="s">
        <v>49</v>
      </c>
      <c r="F9" s="32" t="s">
        <v>1686</v>
      </c>
      <c r="G9" s="32" t="s">
        <v>1687</v>
      </c>
      <c r="H9" s="32" t="s">
        <v>1409</v>
      </c>
      <c r="I9" s="32" t="s">
        <v>1411</v>
      </c>
      <c r="J9" s="32" t="s">
        <v>1411</v>
      </c>
      <c r="K9" s="32" t="s">
        <v>55</v>
      </c>
      <c r="L9" s="32" t="s">
        <v>56</v>
      </c>
      <c r="M9" s="32" t="s">
        <v>57</v>
      </c>
      <c r="N9" s="32" t="s">
        <v>333</v>
      </c>
      <c r="O9" s="32" t="s">
        <v>1591</v>
      </c>
      <c r="P9" s="32" t="s">
        <v>1688</v>
      </c>
      <c r="Q9" s="32" t="s">
        <v>59</v>
      </c>
      <c r="R9" s="32" t="s">
        <v>333</v>
      </c>
      <c r="S9" s="32" t="s">
        <v>333</v>
      </c>
      <c r="T9" s="32"/>
      <c r="U9" s="32"/>
      <c r="V9" s="32" t="s">
        <v>344</v>
      </c>
      <c r="W9" s="32" t="s">
        <v>333</v>
      </c>
      <c r="X9" s="32" t="s">
        <v>333</v>
      </c>
      <c r="Y9" s="32" t="s">
        <v>333</v>
      </c>
      <c r="Z9" s="32" t="s">
        <v>333</v>
      </c>
      <c r="AA9" s="32" t="s">
        <v>333</v>
      </c>
      <c r="AB9" s="32" t="s">
        <v>333</v>
      </c>
      <c r="AC9" s="32"/>
      <c r="AD9" s="32" t="s">
        <v>333</v>
      </c>
      <c r="AE9" s="32" t="s">
        <v>333</v>
      </c>
      <c r="AF9" s="32" t="s">
        <v>333</v>
      </c>
      <c r="AG9" s="32" t="s">
        <v>344</v>
      </c>
      <c r="AH9" s="32" t="s">
        <v>344</v>
      </c>
      <c r="AI9" s="32" t="s">
        <v>333</v>
      </c>
      <c r="AJ9" s="32"/>
      <c r="AK9" s="32" t="s">
        <v>1596</v>
      </c>
      <c r="AL9" s="32" t="s">
        <v>348</v>
      </c>
      <c r="AM9" s="32" t="s">
        <v>1596</v>
      </c>
      <c r="AN9" s="32" t="s">
        <v>349</v>
      </c>
      <c r="AO9" s="32"/>
      <c r="AP9" s="32" t="s">
        <v>1591</v>
      </c>
      <c r="AQ9" s="32" t="s">
        <v>1688</v>
      </c>
      <c r="AR9" s="16" t="s">
        <v>757</v>
      </c>
      <c r="AS9" s="21">
        <v>2.0</v>
      </c>
    </row>
    <row r="10">
      <c r="A10" s="20" t="s">
        <v>1692</v>
      </c>
      <c r="B10" s="20" t="s">
        <v>1536</v>
      </c>
      <c r="C10" s="20" t="s">
        <v>1537</v>
      </c>
      <c r="D10" s="53" t="s">
        <v>1538</v>
      </c>
      <c r="E10" s="20" t="s">
        <v>49</v>
      </c>
      <c r="F10" s="80" t="s">
        <v>1694</v>
      </c>
      <c r="G10" s="57">
        <v>1.987389114E10</v>
      </c>
      <c r="H10" s="20" t="s">
        <v>389</v>
      </c>
      <c r="I10" s="20" t="s">
        <v>390</v>
      </c>
      <c r="J10" s="20" t="s">
        <v>390</v>
      </c>
      <c r="K10" s="20" t="s">
        <v>55</v>
      </c>
      <c r="L10" s="20" t="s">
        <v>56</v>
      </c>
      <c r="M10" s="20" t="s">
        <v>57</v>
      </c>
      <c r="N10" s="20" t="s">
        <v>333</v>
      </c>
      <c r="O10" s="20" t="s">
        <v>1571</v>
      </c>
      <c r="P10" s="20" t="s">
        <v>1695</v>
      </c>
      <c r="Q10" s="20" t="s">
        <v>59</v>
      </c>
      <c r="R10" s="20" t="s">
        <v>333</v>
      </c>
      <c r="S10" s="20" t="s">
        <v>333</v>
      </c>
      <c r="T10" s="20"/>
      <c r="U10" s="20"/>
      <c r="V10" s="20" t="s">
        <v>344</v>
      </c>
      <c r="W10" s="20" t="s">
        <v>333</v>
      </c>
      <c r="X10" s="20" t="s">
        <v>333</v>
      </c>
      <c r="Y10" s="20" t="s">
        <v>333</v>
      </c>
      <c r="Z10" s="20" t="s">
        <v>333</v>
      </c>
      <c r="AA10" s="20" t="s">
        <v>333</v>
      </c>
      <c r="AB10" s="20" t="s">
        <v>333</v>
      </c>
      <c r="AC10" s="20"/>
      <c r="AD10" s="20" t="s">
        <v>333</v>
      </c>
      <c r="AE10" s="20" t="s">
        <v>333</v>
      </c>
      <c r="AF10" s="20" t="s">
        <v>333</v>
      </c>
      <c r="AG10" s="20" t="s">
        <v>344</v>
      </c>
      <c r="AH10" s="20" t="s">
        <v>344</v>
      </c>
      <c r="AI10" s="20" t="s">
        <v>333</v>
      </c>
      <c r="AJ10" s="20"/>
      <c r="AK10" s="20" t="s">
        <v>347</v>
      </c>
      <c r="AL10" s="20" t="s">
        <v>1559</v>
      </c>
      <c r="AM10" s="20" t="s">
        <v>347</v>
      </c>
      <c r="AN10" s="20" t="s">
        <v>349</v>
      </c>
      <c r="AO10" s="20"/>
      <c r="AP10" s="20" t="s">
        <v>1571</v>
      </c>
      <c r="AQ10" s="20" t="s">
        <v>1695</v>
      </c>
      <c r="AR10" s="24" t="s">
        <v>757</v>
      </c>
      <c r="AS10" s="20"/>
    </row>
    <row r="11">
      <c r="A11" s="32" t="s">
        <v>1700</v>
      </c>
      <c r="B11" s="32" t="s">
        <v>1701</v>
      </c>
      <c r="C11" s="32" t="s">
        <v>1702</v>
      </c>
      <c r="D11" s="48" t="s">
        <v>1703</v>
      </c>
      <c r="E11" s="32" t="s">
        <v>49</v>
      </c>
      <c r="F11" s="32" t="s">
        <v>1704</v>
      </c>
      <c r="G11" s="32" t="s">
        <v>1705</v>
      </c>
      <c r="H11" s="32" t="s">
        <v>389</v>
      </c>
      <c r="I11" s="32" t="s">
        <v>390</v>
      </c>
      <c r="J11" s="32" t="s">
        <v>390</v>
      </c>
      <c r="K11" s="32" t="s">
        <v>55</v>
      </c>
      <c r="L11" s="32" t="s">
        <v>56</v>
      </c>
      <c r="M11" s="32" t="s">
        <v>57</v>
      </c>
      <c r="N11" s="32" t="s">
        <v>333</v>
      </c>
      <c r="O11" s="32" t="s">
        <v>1238</v>
      </c>
      <c r="P11" s="32" t="s">
        <v>1239</v>
      </c>
      <c r="Q11" s="32" t="s">
        <v>59</v>
      </c>
      <c r="R11" s="32" t="s">
        <v>333</v>
      </c>
      <c r="S11" s="32" t="s">
        <v>333</v>
      </c>
      <c r="T11" s="32"/>
      <c r="U11" s="32"/>
      <c r="V11" s="32" t="s">
        <v>344</v>
      </c>
      <c r="W11" s="32" t="s">
        <v>333</v>
      </c>
      <c r="X11" s="32" t="s">
        <v>333</v>
      </c>
      <c r="Y11" s="32" t="s">
        <v>333</v>
      </c>
      <c r="Z11" s="32" t="s">
        <v>333</v>
      </c>
      <c r="AA11" s="32" t="s">
        <v>333</v>
      </c>
      <c r="AB11" s="32" t="s">
        <v>333</v>
      </c>
      <c r="AC11" s="32"/>
      <c r="AD11" s="32" t="s">
        <v>333</v>
      </c>
      <c r="AE11" s="32" t="s">
        <v>333</v>
      </c>
      <c r="AF11" s="32" t="s">
        <v>333</v>
      </c>
      <c r="AG11" s="32" t="s">
        <v>344</v>
      </c>
      <c r="AH11" s="32" t="s">
        <v>344</v>
      </c>
      <c r="AI11" s="32" t="s">
        <v>333</v>
      </c>
      <c r="AJ11" s="32"/>
      <c r="AK11" s="32" t="s">
        <v>1244</v>
      </c>
      <c r="AL11" s="32" t="s">
        <v>1245</v>
      </c>
      <c r="AM11" s="32" t="s">
        <v>1244</v>
      </c>
      <c r="AN11" s="32" t="s">
        <v>349</v>
      </c>
      <c r="AO11" s="32"/>
      <c r="AP11" s="32" t="s">
        <v>1238</v>
      </c>
      <c r="AQ11" s="32" t="s">
        <v>1239</v>
      </c>
      <c r="AR11" s="16" t="s">
        <v>757</v>
      </c>
      <c r="AS11" s="21">
        <v>2.0</v>
      </c>
    </row>
    <row r="12">
      <c r="A12" s="32" t="s">
        <v>1706</v>
      </c>
      <c r="B12" s="32" t="s">
        <v>1403</v>
      </c>
      <c r="C12" s="32" t="s">
        <v>1404</v>
      </c>
      <c r="D12" s="48" t="s">
        <v>1405</v>
      </c>
      <c r="E12" s="32" t="s">
        <v>49</v>
      </c>
      <c r="F12" s="32" t="s">
        <v>1707</v>
      </c>
      <c r="G12" s="32" t="s">
        <v>1708</v>
      </c>
      <c r="H12" s="32" t="s">
        <v>1409</v>
      </c>
      <c r="I12" s="32" t="s">
        <v>1411</v>
      </c>
      <c r="J12" s="32" t="s">
        <v>1411</v>
      </c>
      <c r="K12" s="32" t="s">
        <v>55</v>
      </c>
      <c r="L12" s="32" t="s">
        <v>56</v>
      </c>
      <c r="M12" s="32" t="s">
        <v>57</v>
      </c>
      <c r="N12" s="32" t="s">
        <v>333</v>
      </c>
      <c r="O12" s="32" t="s">
        <v>1709</v>
      </c>
      <c r="P12" s="32" t="s">
        <v>1710</v>
      </c>
      <c r="Q12" s="32" t="s">
        <v>59</v>
      </c>
      <c r="R12" s="32" t="s">
        <v>333</v>
      </c>
      <c r="S12" s="32" t="s">
        <v>333</v>
      </c>
      <c r="T12" s="32"/>
      <c r="U12" s="32"/>
      <c r="V12" s="32" t="s">
        <v>344</v>
      </c>
      <c r="W12" s="32" t="s">
        <v>333</v>
      </c>
      <c r="X12" s="32" t="s">
        <v>333</v>
      </c>
      <c r="Y12" s="32" t="s">
        <v>333</v>
      </c>
      <c r="Z12" s="32" t="s">
        <v>333</v>
      </c>
      <c r="AA12" s="32" t="s">
        <v>333</v>
      </c>
      <c r="AB12" s="32" t="s">
        <v>333</v>
      </c>
      <c r="AC12" s="32"/>
      <c r="AD12" s="32" t="s">
        <v>333</v>
      </c>
      <c r="AE12" s="32" t="s">
        <v>333</v>
      </c>
      <c r="AF12" s="32" t="s">
        <v>333</v>
      </c>
      <c r="AG12" s="32" t="s">
        <v>344</v>
      </c>
      <c r="AH12" s="32" t="s">
        <v>344</v>
      </c>
      <c r="AI12" s="32" t="s">
        <v>333</v>
      </c>
      <c r="AJ12" s="32"/>
      <c r="AK12" s="32" t="s">
        <v>1274</v>
      </c>
      <c r="AL12" s="32" t="s">
        <v>1245</v>
      </c>
      <c r="AM12" s="32" t="s">
        <v>1274</v>
      </c>
      <c r="AN12" s="32" t="s">
        <v>349</v>
      </c>
      <c r="AO12" s="32"/>
      <c r="AP12" s="32" t="s">
        <v>1709</v>
      </c>
      <c r="AQ12" s="32" t="s">
        <v>1710</v>
      </c>
      <c r="AR12" s="16" t="s">
        <v>757</v>
      </c>
      <c r="AS12" s="21">
        <v>2.0</v>
      </c>
    </row>
    <row r="13">
      <c r="A13" s="20" t="s">
        <v>1713</v>
      </c>
      <c r="B13" s="20" t="s">
        <v>1073</v>
      </c>
      <c r="C13" s="20" t="s">
        <v>1075</v>
      </c>
      <c r="D13" s="53" t="s">
        <v>1714</v>
      </c>
      <c r="E13" s="20" t="s">
        <v>49</v>
      </c>
      <c r="F13" s="80" t="s">
        <v>1715</v>
      </c>
      <c r="G13" s="55">
        <f>+919711081019</f>
        <v>919711081019</v>
      </c>
      <c r="H13" s="20" t="s">
        <v>389</v>
      </c>
      <c r="I13" s="20" t="s">
        <v>390</v>
      </c>
      <c r="J13" s="20" t="s">
        <v>390</v>
      </c>
      <c r="K13" s="20" t="s">
        <v>55</v>
      </c>
      <c r="L13" s="20" t="s">
        <v>56</v>
      </c>
      <c r="M13" s="20" t="s">
        <v>57</v>
      </c>
      <c r="N13" s="20" t="s">
        <v>333</v>
      </c>
      <c r="O13" s="20" t="s">
        <v>1576</v>
      </c>
      <c r="P13" s="20" t="s">
        <v>1591</v>
      </c>
      <c r="Q13" s="20" t="s">
        <v>59</v>
      </c>
      <c r="R13" s="20" t="s">
        <v>333</v>
      </c>
      <c r="S13" s="20" t="s">
        <v>333</v>
      </c>
      <c r="T13" s="20"/>
      <c r="U13" s="20"/>
      <c r="V13" s="20" t="s">
        <v>344</v>
      </c>
      <c r="W13" s="20" t="s">
        <v>333</v>
      </c>
      <c r="X13" s="20" t="s">
        <v>333</v>
      </c>
      <c r="Y13" s="20" t="s">
        <v>333</v>
      </c>
      <c r="Z13" s="20" t="s">
        <v>333</v>
      </c>
      <c r="AA13" s="20" t="s">
        <v>333</v>
      </c>
      <c r="AB13" s="20" t="s">
        <v>333</v>
      </c>
      <c r="AC13" s="20"/>
      <c r="AD13" s="20" t="s">
        <v>333</v>
      </c>
      <c r="AE13" s="20" t="s">
        <v>333</v>
      </c>
      <c r="AF13" s="20" t="s">
        <v>333</v>
      </c>
      <c r="AG13" s="20" t="s">
        <v>344</v>
      </c>
      <c r="AH13" s="20" t="s">
        <v>344</v>
      </c>
      <c r="AI13" s="20" t="s">
        <v>333</v>
      </c>
      <c r="AJ13" s="20"/>
      <c r="AK13" s="20" t="s">
        <v>1717</v>
      </c>
      <c r="AL13" s="20" t="s">
        <v>1269</v>
      </c>
      <c r="AM13" s="20" t="s">
        <v>1717</v>
      </c>
      <c r="AN13" s="20" t="s">
        <v>349</v>
      </c>
      <c r="AO13" s="20"/>
      <c r="AP13" s="20" t="s">
        <v>1576</v>
      </c>
      <c r="AQ13" s="20" t="s">
        <v>1591</v>
      </c>
      <c r="AR13" s="24" t="s">
        <v>757</v>
      </c>
      <c r="AS13" s="20"/>
    </row>
    <row r="14">
      <c r="A14" s="20" t="s">
        <v>1718</v>
      </c>
      <c r="B14" s="20" t="s">
        <v>1195</v>
      </c>
      <c r="C14" s="20" t="s">
        <v>1196</v>
      </c>
      <c r="D14" s="53" t="s">
        <v>1420</v>
      </c>
      <c r="E14" s="20" t="s">
        <v>49</v>
      </c>
      <c r="F14" s="29" t="s">
        <v>69</v>
      </c>
      <c r="G14" s="55">
        <f>+919810949421</f>
        <v>919810949421</v>
      </c>
      <c r="H14" s="20" t="s">
        <v>389</v>
      </c>
      <c r="I14" s="20" t="s">
        <v>390</v>
      </c>
      <c r="J14" s="20" t="s">
        <v>390</v>
      </c>
      <c r="K14" s="20" t="s">
        <v>55</v>
      </c>
      <c r="L14" s="20" t="s">
        <v>56</v>
      </c>
      <c r="M14" s="20" t="s">
        <v>57</v>
      </c>
      <c r="N14" s="20" t="s">
        <v>333</v>
      </c>
      <c r="O14" s="20" t="s">
        <v>1238</v>
      </c>
      <c r="P14" s="20" t="s">
        <v>1720</v>
      </c>
      <c r="Q14" s="20" t="s">
        <v>59</v>
      </c>
      <c r="R14" s="20" t="s">
        <v>333</v>
      </c>
      <c r="S14" s="20" t="s">
        <v>333</v>
      </c>
      <c r="T14" s="20"/>
      <c r="U14" s="20"/>
      <c r="V14" s="20" t="s">
        <v>344</v>
      </c>
      <c r="W14" s="20" t="s">
        <v>333</v>
      </c>
      <c r="X14" s="20" t="s">
        <v>333</v>
      </c>
      <c r="Y14" s="20" t="s">
        <v>333</v>
      </c>
      <c r="Z14" s="20" t="s">
        <v>333</v>
      </c>
      <c r="AA14" s="20" t="s">
        <v>333</v>
      </c>
      <c r="AB14" s="20" t="s">
        <v>333</v>
      </c>
      <c r="AC14" s="20"/>
      <c r="AD14" s="20" t="s">
        <v>333</v>
      </c>
      <c r="AE14" s="20" t="s">
        <v>333</v>
      </c>
      <c r="AF14" s="20" t="s">
        <v>333</v>
      </c>
      <c r="AG14" s="20" t="s">
        <v>344</v>
      </c>
      <c r="AH14" s="20" t="s">
        <v>344</v>
      </c>
      <c r="AI14" s="20" t="s">
        <v>333</v>
      </c>
      <c r="AJ14" s="20"/>
      <c r="AK14" s="20" t="s">
        <v>347</v>
      </c>
      <c r="AL14" s="20" t="s">
        <v>1261</v>
      </c>
      <c r="AM14" s="20" t="s">
        <v>347</v>
      </c>
      <c r="AN14" s="20" t="s">
        <v>349</v>
      </c>
      <c r="AO14" s="20"/>
      <c r="AP14" s="20" t="s">
        <v>1238</v>
      </c>
      <c r="AQ14" s="20" t="s">
        <v>1720</v>
      </c>
      <c r="AR14" s="24" t="s">
        <v>757</v>
      </c>
      <c r="AS14" s="20"/>
    </row>
    <row r="15">
      <c r="A15" s="32" t="s">
        <v>1274</v>
      </c>
      <c r="B15" s="32" t="s">
        <v>1721</v>
      </c>
      <c r="C15" s="32" t="s">
        <v>1722</v>
      </c>
      <c r="D15" s="48" t="s">
        <v>1723</v>
      </c>
      <c r="E15" s="32" t="s">
        <v>49</v>
      </c>
      <c r="F15" s="32" t="s">
        <v>1724</v>
      </c>
      <c r="G15" s="83">
        <f>+919711837638</f>
        <v>919711837638</v>
      </c>
      <c r="H15" s="32" t="s">
        <v>389</v>
      </c>
      <c r="I15" s="32" t="s">
        <v>390</v>
      </c>
      <c r="J15" s="32" t="s">
        <v>390</v>
      </c>
      <c r="K15" s="32" t="s">
        <v>55</v>
      </c>
      <c r="L15" s="32" t="s">
        <v>56</v>
      </c>
      <c r="M15" s="32" t="s">
        <v>57</v>
      </c>
      <c r="N15" s="32" t="s">
        <v>333</v>
      </c>
      <c r="O15" s="32" t="s">
        <v>1695</v>
      </c>
      <c r="P15" s="32"/>
      <c r="Q15" s="32" t="s">
        <v>59</v>
      </c>
      <c r="R15" s="32" t="s">
        <v>333</v>
      </c>
      <c r="S15" s="32" t="s">
        <v>333</v>
      </c>
      <c r="T15" s="32"/>
      <c r="U15" s="32"/>
      <c r="V15" s="32" t="s">
        <v>344</v>
      </c>
      <c r="W15" s="32" t="s">
        <v>333</v>
      </c>
      <c r="X15" s="32" t="s">
        <v>333</v>
      </c>
      <c r="Y15" s="32" t="s">
        <v>333</v>
      </c>
      <c r="Z15" s="32" t="s">
        <v>333</v>
      </c>
      <c r="AA15" s="32" t="s">
        <v>333</v>
      </c>
      <c r="AB15" s="32" t="s">
        <v>333</v>
      </c>
      <c r="AC15" s="32"/>
      <c r="AD15" s="32" t="s">
        <v>333</v>
      </c>
      <c r="AE15" s="32" t="s">
        <v>333</v>
      </c>
      <c r="AF15" s="32" t="s">
        <v>333</v>
      </c>
      <c r="AG15" s="32" t="s">
        <v>344</v>
      </c>
      <c r="AH15" s="32" t="s">
        <v>344</v>
      </c>
      <c r="AI15" s="32" t="s">
        <v>333</v>
      </c>
      <c r="AJ15" s="32"/>
      <c r="AK15" s="32" t="s">
        <v>1244</v>
      </c>
      <c r="AL15" s="32" t="s">
        <v>348</v>
      </c>
      <c r="AM15" s="32" t="s">
        <v>1244</v>
      </c>
      <c r="AN15" s="32" t="s">
        <v>349</v>
      </c>
      <c r="AO15" s="32"/>
      <c r="AP15" s="32" t="s">
        <v>1695</v>
      </c>
      <c r="AQ15" s="32" t="s">
        <v>349</v>
      </c>
      <c r="AR15" s="16" t="s">
        <v>757</v>
      </c>
      <c r="AS15" s="21">
        <v>2.0</v>
      </c>
    </row>
    <row r="16">
      <c r="A16" s="20" t="s">
        <v>1727</v>
      </c>
      <c r="B16" s="20" t="s">
        <v>1728</v>
      </c>
      <c r="C16" s="20" t="s">
        <v>1729</v>
      </c>
      <c r="D16" s="53" t="s">
        <v>1730</v>
      </c>
      <c r="E16" s="20" t="s">
        <v>49</v>
      </c>
      <c r="F16" s="80" t="s">
        <v>1731</v>
      </c>
      <c r="G16" s="55">
        <f>+919212755127</f>
        <v>919212755127</v>
      </c>
      <c r="H16" s="20" t="s">
        <v>389</v>
      </c>
      <c r="I16" s="20" t="s">
        <v>390</v>
      </c>
      <c r="J16" s="20" t="s">
        <v>390</v>
      </c>
      <c r="K16" s="20" t="s">
        <v>55</v>
      </c>
      <c r="L16" s="20" t="s">
        <v>56</v>
      </c>
      <c r="M16" s="20" t="s">
        <v>57</v>
      </c>
      <c r="N16" s="20" t="s">
        <v>333</v>
      </c>
      <c r="O16" s="20" t="s">
        <v>1581</v>
      </c>
      <c r="P16" s="20" t="s">
        <v>1736</v>
      </c>
      <c r="Q16" s="20" t="s">
        <v>59</v>
      </c>
      <c r="R16" s="20" t="s">
        <v>333</v>
      </c>
      <c r="S16" s="20" t="s">
        <v>333</v>
      </c>
      <c r="T16" s="20"/>
      <c r="U16" s="20"/>
      <c r="V16" s="20" t="s">
        <v>344</v>
      </c>
      <c r="W16" s="20" t="s">
        <v>333</v>
      </c>
      <c r="X16" s="20" t="s">
        <v>333</v>
      </c>
      <c r="Y16" s="20" t="s">
        <v>333</v>
      </c>
      <c r="Z16" s="20" t="s">
        <v>333</v>
      </c>
      <c r="AA16" s="20" t="s">
        <v>333</v>
      </c>
      <c r="AB16" s="20" t="s">
        <v>333</v>
      </c>
      <c r="AC16" s="20"/>
      <c r="AD16" s="20" t="s">
        <v>333</v>
      </c>
      <c r="AE16" s="20" t="s">
        <v>333</v>
      </c>
      <c r="AF16" s="20" t="s">
        <v>333</v>
      </c>
      <c r="AG16" s="20" t="s">
        <v>344</v>
      </c>
      <c r="AH16" s="20" t="s">
        <v>344</v>
      </c>
      <c r="AI16" s="20" t="s">
        <v>333</v>
      </c>
      <c r="AJ16" s="20"/>
      <c r="AK16" s="20" t="s">
        <v>1244</v>
      </c>
      <c r="AL16" s="20" t="s">
        <v>1556</v>
      </c>
      <c r="AM16" s="20" t="s">
        <v>1244</v>
      </c>
      <c r="AN16" s="20" t="s">
        <v>349</v>
      </c>
      <c r="AO16" s="20"/>
      <c r="AP16" s="20" t="s">
        <v>1581</v>
      </c>
      <c r="AQ16" s="20" t="s">
        <v>1736</v>
      </c>
      <c r="AR16" s="24" t="s">
        <v>757</v>
      </c>
      <c r="AS16" s="20"/>
    </row>
    <row r="17">
      <c r="A17" s="20" t="s">
        <v>1738</v>
      </c>
      <c r="B17" s="20" t="s">
        <v>1471</v>
      </c>
      <c r="C17" s="20" t="s">
        <v>1472</v>
      </c>
      <c r="D17" s="53" t="s">
        <v>1474</v>
      </c>
      <c r="E17" s="20" t="s">
        <v>49</v>
      </c>
      <c r="F17" s="80" t="s">
        <v>1740</v>
      </c>
      <c r="G17" s="55">
        <f>+919211764786</f>
        <v>919211764786</v>
      </c>
      <c r="H17" s="20" t="s">
        <v>1477</v>
      </c>
      <c r="I17" s="20" t="s">
        <v>931</v>
      </c>
      <c r="J17" s="20" t="s">
        <v>931</v>
      </c>
      <c r="K17" s="20" t="s">
        <v>55</v>
      </c>
      <c r="L17" s="20" t="s">
        <v>56</v>
      </c>
      <c r="M17" s="20" t="s">
        <v>57</v>
      </c>
      <c r="N17" s="20" t="s">
        <v>333</v>
      </c>
      <c r="O17" s="20" t="s">
        <v>1745</v>
      </c>
      <c r="P17" s="20" t="s">
        <v>1596</v>
      </c>
      <c r="Q17" s="20" t="s">
        <v>59</v>
      </c>
      <c r="R17" s="20" t="s">
        <v>333</v>
      </c>
      <c r="S17" s="20" t="s">
        <v>333</v>
      </c>
      <c r="T17" s="20"/>
      <c r="U17" s="20"/>
      <c r="V17" s="20" t="s">
        <v>344</v>
      </c>
      <c r="W17" s="20" t="s">
        <v>333</v>
      </c>
      <c r="X17" s="20" t="s">
        <v>333</v>
      </c>
      <c r="Y17" s="20" t="s">
        <v>333</v>
      </c>
      <c r="Z17" s="20" t="s">
        <v>333</v>
      </c>
      <c r="AA17" s="20" t="s">
        <v>333</v>
      </c>
      <c r="AB17" s="20" t="s">
        <v>333</v>
      </c>
      <c r="AC17" s="20"/>
      <c r="AD17" s="20" t="s">
        <v>333</v>
      </c>
      <c r="AE17" s="20" t="s">
        <v>333</v>
      </c>
      <c r="AF17" s="20" t="s">
        <v>333</v>
      </c>
      <c r="AG17" s="20" t="s">
        <v>344</v>
      </c>
      <c r="AH17" s="20" t="s">
        <v>344</v>
      </c>
      <c r="AI17" s="20" t="s">
        <v>333</v>
      </c>
      <c r="AJ17" s="20"/>
      <c r="AK17" s="20" t="s">
        <v>347</v>
      </c>
      <c r="AL17" s="20" t="s">
        <v>1695</v>
      </c>
      <c r="AM17" s="20" t="s">
        <v>347</v>
      </c>
      <c r="AN17" s="20" t="s">
        <v>349</v>
      </c>
      <c r="AO17" s="20"/>
      <c r="AP17" s="20" t="s">
        <v>1745</v>
      </c>
      <c r="AQ17" s="20" t="s">
        <v>1596</v>
      </c>
      <c r="AR17" s="24" t="s">
        <v>757</v>
      </c>
      <c r="AS17" s="20"/>
    </row>
    <row r="18">
      <c r="A18" s="20" t="s">
        <v>1747</v>
      </c>
      <c r="B18" s="20" t="s">
        <v>1546</v>
      </c>
      <c r="C18" s="20" t="s">
        <v>1547</v>
      </c>
      <c r="D18" s="84" t="s">
        <v>1546</v>
      </c>
      <c r="E18" s="20" t="s">
        <v>49</v>
      </c>
      <c r="F18" s="29" t="s">
        <v>69</v>
      </c>
      <c r="G18" s="55">
        <f>+919780589298</f>
        <v>919780589298</v>
      </c>
      <c r="H18" s="20" t="s">
        <v>389</v>
      </c>
      <c r="I18" s="20" t="s">
        <v>390</v>
      </c>
      <c r="J18" s="20" t="s">
        <v>390</v>
      </c>
      <c r="K18" s="20" t="s">
        <v>55</v>
      </c>
      <c r="L18" s="20" t="s">
        <v>56</v>
      </c>
      <c r="M18" s="20" t="s">
        <v>57</v>
      </c>
      <c r="N18" s="20" t="s">
        <v>333</v>
      </c>
      <c r="O18" s="20" t="s">
        <v>1238</v>
      </c>
      <c r="P18" s="20" t="s">
        <v>1586</v>
      </c>
      <c r="Q18" s="20" t="s">
        <v>59</v>
      </c>
      <c r="R18" s="20" t="s">
        <v>333</v>
      </c>
      <c r="S18" s="20" t="s">
        <v>333</v>
      </c>
      <c r="T18" s="20"/>
      <c r="U18" s="20"/>
      <c r="V18" s="20" t="s">
        <v>344</v>
      </c>
      <c r="W18" s="20" t="s">
        <v>333</v>
      </c>
      <c r="X18" s="20" t="s">
        <v>333</v>
      </c>
      <c r="Y18" s="20" t="s">
        <v>333</v>
      </c>
      <c r="Z18" s="20" t="s">
        <v>333</v>
      </c>
      <c r="AA18" s="20" t="s">
        <v>333</v>
      </c>
      <c r="AB18" s="20" t="s">
        <v>333</v>
      </c>
      <c r="AC18" s="20"/>
      <c r="AD18" s="20" t="s">
        <v>333</v>
      </c>
      <c r="AE18" s="20" t="s">
        <v>333</v>
      </c>
      <c r="AF18" s="20" t="s">
        <v>333</v>
      </c>
      <c r="AG18" s="20" t="s">
        <v>344</v>
      </c>
      <c r="AH18" s="20" t="s">
        <v>344</v>
      </c>
      <c r="AI18" s="20" t="s">
        <v>333</v>
      </c>
      <c r="AJ18" s="20"/>
      <c r="AK18" s="20" t="s">
        <v>1587</v>
      </c>
      <c r="AL18" s="20" t="s">
        <v>348</v>
      </c>
      <c r="AM18" s="20" t="s">
        <v>1587</v>
      </c>
      <c r="AN18" s="20" t="s">
        <v>349</v>
      </c>
      <c r="AO18" s="20"/>
      <c r="AP18" s="20" t="s">
        <v>1238</v>
      </c>
      <c r="AQ18" s="20" t="s">
        <v>1586</v>
      </c>
      <c r="AR18" s="24" t="s">
        <v>757</v>
      </c>
      <c r="AS18" s="20"/>
    </row>
    <row r="19">
      <c r="A19" s="20" t="s">
        <v>1753</v>
      </c>
      <c r="B19" s="20" t="s">
        <v>1754</v>
      </c>
      <c r="C19" s="20" t="s">
        <v>1755</v>
      </c>
      <c r="D19" s="53" t="s">
        <v>1756</v>
      </c>
      <c r="E19" s="20" t="s">
        <v>49</v>
      </c>
      <c r="F19" s="29" t="s">
        <v>69</v>
      </c>
      <c r="G19" s="55">
        <f>+919212655671</f>
        <v>919212655671</v>
      </c>
      <c r="H19" s="20" t="s">
        <v>389</v>
      </c>
      <c r="I19" s="20" t="s">
        <v>390</v>
      </c>
      <c r="J19" s="20" t="s">
        <v>390</v>
      </c>
      <c r="K19" s="20" t="s">
        <v>55</v>
      </c>
      <c r="L19" s="20" t="s">
        <v>56</v>
      </c>
      <c r="M19" s="20" t="s">
        <v>57</v>
      </c>
      <c r="N19" s="20" t="s">
        <v>333</v>
      </c>
      <c r="O19" s="20" t="s">
        <v>1695</v>
      </c>
      <c r="P19" s="20"/>
      <c r="Q19" s="20" t="s">
        <v>59</v>
      </c>
      <c r="R19" s="20" t="s">
        <v>333</v>
      </c>
      <c r="S19" s="20" t="s">
        <v>333</v>
      </c>
      <c r="T19" s="20"/>
      <c r="U19" s="20"/>
      <c r="V19" s="20" t="s">
        <v>344</v>
      </c>
      <c r="W19" s="20" t="s">
        <v>333</v>
      </c>
      <c r="X19" s="20" t="s">
        <v>333</v>
      </c>
      <c r="Y19" s="20" t="s">
        <v>333</v>
      </c>
      <c r="Z19" s="20" t="s">
        <v>333</v>
      </c>
      <c r="AA19" s="20" t="s">
        <v>333</v>
      </c>
      <c r="AB19" s="20" t="s">
        <v>333</v>
      </c>
      <c r="AC19" s="20"/>
      <c r="AD19" s="20" t="s">
        <v>333</v>
      </c>
      <c r="AE19" s="20" t="s">
        <v>333</v>
      </c>
      <c r="AF19" s="20" t="s">
        <v>333</v>
      </c>
      <c r="AG19" s="20" t="s">
        <v>344</v>
      </c>
      <c r="AH19" s="20" t="s">
        <v>344</v>
      </c>
      <c r="AI19" s="20" t="s">
        <v>333</v>
      </c>
      <c r="AJ19" s="20"/>
      <c r="AK19" s="20" t="s">
        <v>1717</v>
      </c>
      <c r="AL19" s="20" t="s">
        <v>1559</v>
      </c>
      <c r="AM19" s="20" t="s">
        <v>1717</v>
      </c>
      <c r="AN19" s="20" t="s">
        <v>349</v>
      </c>
      <c r="AO19" s="20"/>
      <c r="AP19" s="20" t="s">
        <v>1695</v>
      </c>
      <c r="AQ19" s="20" t="s">
        <v>349</v>
      </c>
      <c r="AR19" s="24" t="s">
        <v>757</v>
      </c>
      <c r="AS19" s="20"/>
    </row>
    <row r="20">
      <c r="A20" s="20" t="s">
        <v>1760</v>
      </c>
      <c r="B20" s="20" t="s">
        <v>1137</v>
      </c>
      <c r="C20" s="20" t="s">
        <v>1138</v>
      </c>
      <c r="D20" s="53" t="s">
        <v>1761</v>
      </c>
      <c r="E20" s="20" t="s">
        <v>49</v>
      </c>
      <c r="F20" s="80" t="s">
        <v>1762</v>
      </c>
      <c r="G20" s="63">
        <v>9.17838557511E11</v>
      </c>
      <c r="H20" s="20" t="s">
        <v>389</v>
      </c>
      <c r="I20" s="20" t="s">
        <v>390</v>
      </c>
      <c r="J20" s="20" t="s">
        <v>390</v>
      </c>
      <c r="K20" s="20" t="s">
        <v>55</v>
      </c>
      <c r="L20" s="20" t="s">
        <v>56</v>
      </c>
      <c r="M20" s="20" t="s">
        <v>57</v>
      </c>
      <c r="N20" s="20" t="s">
        <v>333</v>
      </c>
      <c r="O20" s="20" t="s">
        <v>1682</v>
      </c>
      <c r="P20" s="20" t="s">
        <v>1559</v>
      </c>
      <c r="Q20" s="20" t="s">
        <v>59</v>
      </c>
      <c r="R20" s="20" t="s">
        <v>333</v>
      </c>
      <c r="S20" s="20" t="s">
        <v>333</v>
      </c>
      <c r="T20" s="20"/>
      <c r="U20" s="20"/>
      <c r="V20" s="20" t="s">
        <v>344</v>
      </c>
      <c r="W20" s="20" t="s">
        <v>333</v>
      </c>
      <c r="X20" s="20" t="s">
        <v>333</v>
      </c>
      <c r="Y20" s="20" t="s">
        <v>333</v>
      </c>
      <c r="Z20" s="20" t="s">
        <v>333</v>
      </c>
      <c r="AA20" s="20" t="s">
        <v>333</v>
      </c>
      <c r="AB20" s="20" t="s">
        <v>333</v>
      </c>
      <c r="AC20" s="20"/>
      <c r="AD20" s="20" t="s">
        <v>333</v>
      </c>
      <c r="AE20" s="20" t="s">
        <v>333</v>
      </c>
      <c r="AF20" s="20" t="s">
        <v>333</v>
      </c>
      <c r="AG20" s="20" t="s">
        <v>344</v>
      </c>
      <c r="AH20" s="20" t="s">
        <v>344</v>
      </c>
      <c r="AI20" s="20" t="s">
        <v>333</v>
      </c>
      <c r="AJ20" s="20"/>
      <c r="AK20" s="20" t="s">
        <v>1663</v>
      </c>
      <c r="AL20" s="20" t="s">
        <v>1245</v>
      </c>
      <c r="AM20" s="20" t="s">
        <v>1663</v>
      </c>
      <c r="AN20" s="20" t="s">
        <v>349</v>
      </c>
      <c r="AO20" s="20"/>
      <c r="AP20" s="20" t="s">
        <v>1682</v>
      </c>
      <c r="AQ20" s="20" t="s">
        <v>1559</v>
      </c>
      <c r="AR20" s="24" t="s">
        <v>757</v>
      </c>
      <c r="AS20" s="20"/>
    </row>
    <row r="21">
      <c r="A21" s="20" t="s">
        <v>1768</v>
      </c>
      <c r="B21" s="20" t="s">
        <v>383</v>
      </c>
      <c r="C21" s="20" t="s">
        <v>384</v>
      </c>
      <c r="D21" s="53" t="s">
        <v>386</v>
      </c>
      <c r="E21" s="20" t="s">
        <v>49</v>
      </c>
      <c r="F21" s="80" t="s">
        <v>1770</v>
      </c>
      <c r="G21" s="20" t="s">
        <v>1773</v>
      </c>
      <c r="H21" s="20" t="s">
        <v>389</v>
      </c>
      <c r="I21" s="20" t="s">
        <v>390</v>
      </c>
      <c r="J21" s="20" t="s">
        <v>390</v>
      </c>
      <c r="K21" s="20" t="s">
        <v>55</v>
      </c>
      <c r="L21" s="20" t="s">
        <v>56</v>
      </c>
      <c r="M21" s="20" t="s">
        <v>57</v>
      </c>
      <c r="N21" s="20" t="s">
        <v>333</v>
      </c>
      <c r="O21" s="20" t="s">
        <v>1238</v>
      </c>
      <c r="P21" s="20" t="s">
        <v>1238</v>
      </c>
      <c r="Q21" s="20" t="s">
        <v>59</v>
      </c>
      <c r="R21" s="20" t="s">
        <v>333</v>
      </c>
      <c r="S21" s="20" t="s">
        <v>333</v>
      </c>
      <c r="T21" s="20" t="s">
        <v>275</v>
      </c>
      <c r="U21" s="20"/>
      <c r="V21" s="20" t="s">
        <v>344</v>
      </c>
      <c r="W21" s="20" t="s">
        <v>333</v>
      </c>
      <c r="X21" s="20" t="s">
        <v>333</v>
      </c>
      <c r="Y21" s="20" t="s">
        <v>333</v>
      </c>
      <c r="Z21" s="20" t="s">
        <v>333</v>
      </c>
      <c r="AA21" s="20" t="s">
        <v>333</v>
      </c>
      <c r="AB21" s="20" t="s">
        <v>333</v>
      </c>
      <c r="AC21" s="20"/>
      <c r="AD21" s="20" t="s">
        <v>333</v>
      </c>
      <c r="AE21" s="20" t="s">
        <v>333</v>
      </c>
      <c r="AF21" s="20" t="s">
        <v>333</v>
      </c>
      <c r="AG21" s="20" t="s">
        <v>344</v>
      </c>
      <c r="AH21" s="20" t="s">
        <v>344</v>
      </c>
      <c r="AI21" s="20" t="s">
        <v>333</v>
      </c>
      <c r="AJ21" s="20"/>
      <c r="AK21" s="20" t="s">
        <v>347</v>
      </c>
      <c r="AL21" s="20" t="s">
        <v>1245</v>
      </c>
      <c r="AM21" s="20" t="s">
        <v>347</v>
      </c>
      <c r="AN21" s="20" t="s">
        <v>349</v>
      </c>
      <c r="AO21" s="20"/>
      <c r="AP21" s="20" t="s">
        <v>1238</v>
      </c>
      <c r="AQ21" s="20" t="s">
        <v>1238</v>
      </c>
      <c r="AR21" s="24" t="s">
        <v>757</v>
      </c>
      <c r="AS21" s="20"/>
    </row>
    <row r="22">
      <c r="A22" s="20" t="s">
        <v>1777</v>
      </c>
      <c r="B22" s="20" t="s">
        <v>1421</v>
      </c>
      <c r="C22" s="20" t="s">
        <v>1422</v>
      </c>
      <c r="D22" s="53" t="s">
        <v>1423</v>
      </c>
      <c r="E22" s="20" t="s">
        <v>49</v>
      </c>
      <c r="F22" s="80" t="s">
        <v>1563</v>
      </c>
      <c r="G22" s="55">
        <f>+919873102075</f>
        <v>919873102075</v>
      </c>
      <c r="H22" s="20" t="s">
        <v>389</v>
      </c>
      <c r="I22" s="20" t="s">
        <v>390</v>
      </c>
      <c r="J22" s="20" t="s">
        <v>390</v>
      </c>
      <c r="K22" s="20" t="s">
        <v>55</v>
      </c>
      <c r="L22" s="20" t="s">
        <v>56</v>
      </c>
      <c r="M22" s="20" t="s">
        <v>57</v>
      </c>
      <c r="N22" s="20" t="s">
        <v>333</v>
      </c>
      <c r="O22" s="20" t="s">
        <v>1682</v>
      </c>
      <c r="P22" s="20"/>
      <c r="Q22" s="20" t="s">
        <v>59</v>
      </c>
      <c r="R22" s="20" t="s">
        <v>333</v>
      </c>
      <c r="S22" s="20" t="s">
        <v>333</v>
      </c>
      <c r="T22" s="20"/>
      <c r="U22" s="20"/>
      <c r="V22" s="20" t="s">
        <v>344</v>
      </c>
      <c r="W22" s="20" t="s">
        <v>333</v>
      </c>
      <c r="X22" s="20" t="s">
        <v>333</v>
      </c>
      <c r="Y22" s="20" t="s">
        <v>333</v>
      </c>
      <c r="Z22" s="20" t="s">
        <v>333</v>
      </c>
      <c r="AA22" s="20" t="s">
        <v>333</v>
      </c>
      <c r="AB22" s="20" t="s">
        <v>333</v>
      </c>
      <c r="AC22" s="20"/>
      <c r="AD22" s="20" t="s">
        <v>333</v>
      </c>
      <c r="AE22" s="20" t="s">
        <v>333</v>
      </c>
      <c r="AF22" s="20" t="s">
        <v>333</v>
      </c>
      <c r="AG22" s="20" t="s">
        <v>344</v>
      </c>
      <c r="AH22" s="20" t="s">
        <v>344</v>
      </c>
      <c r="AI22" s="20" t="s">
        <v>333</v>
      </c>
      <c r="AJ22" s="20"/>
      <c r="AK22" s="20" t="s">
        <v>1663</v>
      </c>
      <c r="AL22" s="20" t="s">
        <v>1245</v>
      </c>
      <c r="AM22" s="20" t="s">
        <v>1663</v>
      </c>
      <c r="AN22" s="20" t="s">
        <v>349</v>
      </c>
      <c r="AO22" s="20"/>
      <c r="AP22" s="20" t="s">
        <v>1682</v>
      </c>
      <c r="AQ22" s="20" t="s">
        <v>349</v>
      </c>
      <c r="AR22" s="24" t="s">
        <v>757</v>
      </c>
      <c r="AS22" s="20"/>
    </row>
    <row r="23">
      <c r="A23" s="20" t="s">
        <v>1782</v>
      </c>
      <c r="B23" s="20" t="s">
        <v>1454</v>
      </c>
      <c r="C23" s="20" t="s">
        <v>1455</v>
      </c>
      <c r="D23" s="53" t="s">
        <v>1456</v>
      </c>
      <c r="E23" s="20" t="s">
        <v>49</v>
      </c>
      <c r="F23" s="80" t="s">
        <v>1783</v>
      </c>
      <c r="G23" s="55">
        <f>+919870436004</f>
        <v>919870436004</v>
      </c>
      <c r="H23" s="20" t="s">
        <v>1409</v>
      </c>
      <c r="I23" s="20" t="s">
        <v>1411</v>
      </c>
      <c r="J23" s="20" t="s">
        <v>1411</v>
      </c>
      <c r="K23" s="20" t="s">
        <v>55</v>
      </c>
      <c r="L23" s="20" t="s">
        <v>56</v>
      </c>
      <c r="M23" s="20" t="s">
        <v>57</v>
      </c>
      <c r="N23" s="20" t="s">
        <v>333</v>
      </c>
      <c r="O23" s="20" t="s">
        <v>1238</v>
      </c>
      <c r="P23" s="20" t="s">
        <v>1559</v>
      </c>
      <c r="Q23" s="20" t="s">
        <v>59</v>
      </c>
      <c r="R23" s="20" t="s">
        <v>333</v>
      </c>
      <c r="S23" s="20" t="s">
        <v>333</v>
      </c>
      <c r="T23" s="20"/>
      <c r="U23" s="20"/>
      <c r="V23" s="20" t="s">
        <v>344</v>
      </c>
      <c r="W23" s="20" t="s">
        <v>333</v>
      </c>
      <c r="X23" s="20" t="s">
        <v>333</v>
      </c>
      <c r="Y23" s="20" t="s">
        <v>333</v>
      </c>
      <c r="Z23" s="20" t="s">
        <v>333</v>
      </c>
      <c r="AA23" s="20" t="s">
        <v>333</v>
      </c>
      <c r="AB23" s="20" t="s">
        <v>333</v>
      </c>
      <c r="AC23" s="20"/>
      <c r="AD23" s="20" t="s">
        <v>333</v>
      </c>
      <c r="AE23" s="20" t="s">
        <v>333</v>
      </c>
      <c r="AF23" s="20" t="s">
        <v>333</v>
      </c>
      <c r="AG23" s="20" t="s">
        <v>344</v>
      </c>
      <c r="AH23" s="20" t="s">
        <v>344</v>
      </c>
      <c r="AI23" s="20" t="s">
        <v>333</v>
      </c>
      <c r="AJ23" s="20"/>
      <c r="AK23" s="20" t="s">
        <v>1260</v>
      </c>
      <c r="AL23" s="20" t="s">
        <v>1792</v>
      </c>
      <c r="AM23" s="20" t="s">
        <v>1260</v>
      </c>
      <c r="AN23" s="20" t="s">
        <v>349</v>
      </c>
      <c r="AO23" s="20"/>
      <c r="AP23" s="20" t="s">
        <v>1238</v>
      </c>
      <c r="AQ23" s="20" t="s">
        <v>1559</v>
      </c>
      <c r="AR23" s="24" t="s">
        <v>757</v>
      </c>
      <c r="AS23" s="20"/>
    </row>
    <row r="24">
      <c r="A24" s="20" t="s">
        <v>1794</v>
      </c>
      <c r="B24" s="20" t="s">
        <v>1478</v>
      </c>
      <c r="C24" s="20" t="s">
        <v>1479</v>
      </c>
      <c r="D24" s="53" t="s">
        <v>1480</v>
      </c>
      <c r="E24" s="20" t="s">
        <v>49</v>
      </c>
      <c r="F24" s="29" t="s">
        <v>69</v>
      </c>
      <c r="G24" s="55">
        <f>+918800858426</f>
        <v>918800858426</v>
      </c>
      <c r="H24" s="20" t="s">
        <v>1409</v>
      </c>
      <c r="I24" s="20" t="s">
        <v>1411</v>
      </c>
      <c r="J24" s="20" t="s">
        <v>1411</v>
      </c>
      <c r="K24" s="20" t="s">
        <v>55</v>
      </c>
      <c r="L24" s="20" t="s">
        <v>56</v>
      </c>
      <c r="M24" s="20" t="s">
        <v>57</v>
      </c>
      <c r="N24" s="20" t="s">
        <v>333</v>
      </c>
      <c r="O24" s="20" t="s">
        <v>1795</v>
      </c>
      <c r="P24" s="20" t="s">
        <v>1238</v>
      </c>
      <c r="Q24" s="20" t="s">
        <v>59</v>
      </c>
      <c r="R24" s="20" t="s">
        <v>333</v>
      </c>
      <c r="S24" s="20" t="s">
        <v>333</v>
      </c>
      <c r="T24" s="20"/>
      <c r="U24" s="20"/>
      <c r="V24" s="20" t="s">
        <v>344</v>
      </c>
      <c r="W24" s="20" t="s">
        <v>333</v>
      </c>
      <c r="X24" s="20" t="s">
        <v>333</v>
      </c>
      <c r="Y24" s="20" t="s">
        <v>333</v>
      </c>
      <c r="Z24" s="20" t="s">
        <v>333</v>
      </c>
      <c r="AA24" s="20" t="s">
        <v>333</v>
      </c>
      <c r="AB24" s="20" t="s">
        <v>333</v>
      </c>
      <c r="AC24" s="20"/>
      <c r="AD24" s="20" t="s">
        <v>333</v>
      </c>
      <c r="AE24" s="20" t="s">
        <v>333</v>
      </c>
      <c r="AF24" s="20" t="s">
        <v>333</v>
      </c>
      <c r="AG24" s="20" t="s">
        <v>344</v>
      </c>
      <c r="AH24" s="20" t="s">
        <v>344</v>
      </c>
      <c r="AI24" s="20" t="s">
        <v>333</v>
      </c>
      <c r="AJ24" s="20"/>
      <c r="AK24" s="20" t="s">
        <v>1595</v>
      </c>
      <c r="AL24" s="20" t="s">
        <v>1800</v>
      </c>
      <c r="AM24" s="20" t="s">
        <v>1595</v>
      </c>
      <c r="AN24" s="20" t="s">
        <v>349</v>
      </c>
      <c r="AO24" s="20"/>
      <c r="AP24" s="20" t="s">
        <v>1795</v>
      </c>
      <c r="AQ24" s="20" t="s">
        <v>1238</v>
      </c>
      <c r="AR24" s="24" t="s">
        <v>757</v>
      </c>
      <c r="AS24" s="20"/>
    </row>
    <row r="25">
      <c r="A25" s="20" t="s">
        <v>1595</v>
      </c>
      <c r="B25" s="20" t="s">
        <v>1522</v>
      </c>
      <c r="C25" s="20" t="s">
        <v>1524</v>
      </c>
      <c r="D25" s="53" t="s">
        <v>1525</v>
      </c>
      <c r="E25" s="20" t="s">
        <v>49</v>
      </c>
      <c r="F25" s="80" t="s">
        <v>1802</v>
      </c>
      <c r="G25" s="55">
        <f>+919696960065</f>
        <v>919696960065</v>
      </c>
      <c r="H25" s="20" t="s">
        <v>1530</v>
      </c>
      <c r="I25" s="20" t="s">
        <v>1531</v>
      </c>
      <c r="J25" s="20" t="s">
        <v>1531</v>
      </c>
      <c r="K25" s="20" t="s">
        <v>55</v>
      </c>
      <c r="L25" s="20" t="s">
        <v>56</v>
      </c>
      <c r="M25" s="20" t="s">
        <v>57</v>
      </c>
      <c r="N25" s="20" t="s">
        <v>333</v>
      </c>
      <c r="O25" s="20" t="s">
        <v>1261</v>
      </c>
      <c r="P25" s="20" t="s">
        <v>1661</v>
      </c>
      <c r="Q25" s="20" t="s">
        <v>59</v>
      </c>
      <c r="R25" s="20" t="s">
        <v>333</v>
      </c>
      <c r="S25" s="20" t="s">
        <v>333</v>
      </c>
      <c r="T25" s="20"/>
      <c r="U25" s="20"/>
      <c r="V25" s="20" t="s">
        <v>344</v>
      </c>
      <c r="W25" s="20" t="s">
        <v>333</v>
      </c>
      <c r="X25" s="20" t="s">
        <v>333</v>
      </c>
      <c r="Y25" s="20" t="s">
        <v>333</v>
      </c>
      <c r="Z25" s="20" t="s">
        <v>333</v>
      </c>
      <c r="AA25" s="20" t="s">
        <v>333</v>
      </c>
      <c r="AB25" s="20" t="s">
        <v>333</v>
      </c>
      <c r="AC25" s="20"/>
      <c r="AD25" s="20" t="s">
        <v>333</v>
      </c>
      <c r="AE25" s="20" t="s">
        <v>333</v>
      </c>
      <c r="AF25" s="20" t="s">
        <v>333</v>
      </c>
      <c r="AG25" s="20" t="s">
        <v>344</v>
      </c>
      <c r="AH25" s="20" t="s">
        <v>344</v>
      </c>
      <c r="AI25" s="20" t="s">
        <v>333</v>
      </c>
      <c r="AJ25" s="20"/>
      <c r="AK25" s="20" t="s">
        <v>1274</v>
      </c>
      <c r="AL25" s="20" t="s">
        <v>1245</v>
      </c>
      <c r="AM25" s="20" t="s">
        <v>1274</v>
      </c>
      <c r="AN25" s="20" t="s">
        <v>349</v>
      </c>
      <c r="AO25" s="20"/>
      <c r="AP25" s="20" t="s">
        <v>1261</v>
      </c>
      <c r="AQ25" s="20" t="s">
        <v>1661</v>
      </c>
      <c r="AR25" s="24" t="s">
        <v>757</v>
      </c>
      <c r="AS25" s="20"/>
    </row>
    <row r="26">
      <c r="A26" s="32" t="s">
        <v>1808</v>
      </c>
      <c r="B26" s="32" t="s">
        <v>1809</v>
      </c>
      <c r="C26" s="32" t="s">
        <v>1810</v>
      </c>
      <c r="D26" s="48" t="s">
        <v>1811</v>
      </c>
      <c r="E26" s="32" t="s">
        <v>49</v>
      </c>
      <c r="F26" s="32" t="s">
        <v>1812</v>
      </c>
      <c r="G26" s="83">
        <f>+918800785131</f>
        <v>918800785131</v>
      </c>
      <c r="H26" s="32" t="s">
        <v>389</v>
      </c>
      <c r="I26" s="32" t="s">
        <v>390</v>
      </c>
      <c r="J26" s="32" t="s">
        <v>390</v>
      </c>
      <c r="K26" s="32" t="s">
        <v>55</v>
      </c>
      <c r="L26" s="32" t="s">
        <v>56</v>
      </c>
      <c r="M26" s="32" t="s">
        <v>57</v>
      </c>
      <c r="N26" s="32" t="s">
        <v>333</v>
      </c>
      <c r="O26" s="32" t="s">
        <v>1682</v>
      </c>
      <c r="P26" s="32" t="s">
        <v>1556</v>
      </c>
      <c r="Q26" s="32" t="s">
        <v>59</v>
      </c>
      <c r="R26" s="32" t="s">
        <v>333</v>
      </c>
      <c r="S26" s="32" t="s">
        <v>333</v>
      </c>
      <c r="T26" s="32"/>
      <c r="U26" s="32"/>
      <c r="V26" s="32" t="s">
        <v>344</v>
      </c>
      <c r="W26" s="32" t="s">
        <v>333</v>
      </c>
      <c r="X26" s="32" t="s">
        <v>333</v>
      </c>
      <c r="Y26" s="32" t="s">
        <v>333</v>
      </c>
      <c r="Z26" s="32" t="s">
        <v>333</v>
      </c>
      <c r="AA26" s="32" t="s">
        <v>333</v>
      </c>
      <c r="AB26" s="32" t="s">
        <v>333</v>
      </c>
      <c r="AC26" s="32"/>
      <c r="AD26" s="32" t="s">
        <v>333</v>
      </c>
      <c r="AE26" s="32" t="s">
        <v>333</v>
      </c>
      <c r="AF26" s="32" t="s">
        <v>333</v>
      </c>
      <c r="AG26" s="32" t="s">
        <v>344</v>
      </c>
      <c r="AH26" s="32" t="s">
        <v>344</v>
      </c>
      <c r="AI26" s="32" t="s">
        <v>333</v>
      </c>
      <c r="AJ26" s="32"/>
      <c r="AK26" s="32" t="s">
        <v>1717</v>
      </c>
      <c r="AL26" s="32" t="s">
        <v>1269</v>
      </c>
      <c r="AM26" s="32" t="s">
        <v>1717</v>
      </c>
      <c r="AN26" s="32" t="s">
        <v>349</v>
      </c>
      <c r="AO26" s="32"/>
      <c r="AP26" s="32" t="s">
        <v>1682</v>
      </c>
      <c r="AQ26" s="32" t="s">
        <v>1556</v>
      </c>
      <c r="AR26" s="16" t="s">
        <v>757</v>
      </c>
      <c r="AS26" s="21">
        <v>2.0</v>
      </c>
    </row>
    <row r="27">
      <c r="A27" s="32" t="s">
        <v>1817</v>
      </c>
      <c r="B27" s="32" t="s">
        <v>1818</v>
      </c>
      <c r="C27" s="32" t="s">
        <v>1819</v>
      </c>
      <c r="D27" s="48" t="s">
        <v>1820</v>
      </c>
      <c r="E27" s="32" t="s">
        <v>49</v>
      </c>
      <c r="F27" s="32" t="s">
        <v>1821</v>
      </c>
      <c r="G27" s="83">
        <f>+918595042147</f>
        <v>918595042147</v>
      </c>
      <c r="H27" s="32" t="s">
        <v>1823</v>
      </c>
      <c r="I27" s="32" t="s">
        <v>1824</v>
      </c>
      <c r="J27" s="32" t="s">
        <v>1824</v>
      </c>
      <c r="K27" s="32" t="s">
        <v>55</v>
      </c>
      <c r="L27" s="32" t="s">
        <v>56</v>
      </c>
      <c r="M27" s="32" t="s">
        <v>57</v>
      </c>
      <c r="N27" s="32" t="s">
        <v>333</v>
      </c>
      <c r="O27" s="32" t="s">
        <v>1556</v>
      </c>
      <c r="P27" s="32" t="s">
        <v>1559</v>
      </c>
      <c r="Q27" s="32" t="s">
        <v>59</v>
      </c>
      <c r="R27" s="32" t="s">
        <v>333</v>
      </c>
      <c r="S27" s="32" t="s">
        <v>333</v>
      </c>
      <c r="T27" s="32"/>
      <c r="U27" s="32"/>
      <c r="V27" s="32" t="s">
        <v>344</v>
      </c>
      <c r="W27" s="32" t="s">
        <v>333</v>
      </c>
      <c r="X27" s="32" t="s">
        <v>333</v>
      </c>
      <c r="Y27" s="32" t="s">
        <v>333</v>
      </c>
      <c r="Z27" s="32" t="s">
        <v>333</v>
      </c>
      <c r="AA27" s="32" t="s">
        <v>333</v>
      </c>
      <c r="AB27" s="32" t="s">
        <v>333</v>
      </c>
      <c r="AC27" s="32"/>
      <c r="AD27" s="32" t="s">
        <v>333</v>
      </c>
      <c r="AE27" s="32" t="s">
        <v>333</v>
      </c>
      <c r="AF27" s="32" t="s">
        <v>333</v>
      </c>
      <c r="AG27" s="32" t="s">
        <v>344</v>
      </c>
      <c r="AH27" s="32" t="s">
        <v>344</v>
      </c>
      <c r="AI27" s="32" t="s">
        <v>333</v>
      </c>
      <c r="AJ27" s="32"/>
      <c r="AK27" s="32" t="s">
        <v>1595</v>
      </c>
      <c r="AL27" s="32" t="s">
        <v>1596</v>
      </c>
      <c r="AM27" s="32" t="s">
        <v>1595</v>
      </c>
      <c r="AN27" s="32" t="s">
        <v>349</v>
      </c>
      <c r="AO27" s="32"/>
      <c r="AP27" s="32" t="s">
        <v>1556</v>
      </c>
      <c r="AQ27" s="32" t="s">
        <v>1559</v>
      </c>
      <c r="AR27" s="16" t="s">
        <v>757</v>
      </c>
      <c r="AS27" s="21">
        <v>2.0</v>
      </c>
    </row>
    <row r="28">
      <c r="A28" s="20" t="s">
        <v>1830</v>
      </c>
      <c r="B28" s="20" t="s">
        <v>1461</v>
      </c>
      <c r="C28" s="20" t="s">
        <v>1462</v>
      </c>
      <c r="D28" s="53" t="s">
        <v>1463</v>
      </c>
      <c r="E28" s="20" t="s">
        <v>49</v>
      </c>
      <c r="F28" s="29" t="s">
        <v>69</v>
      </c>
      <c r="G28" s="55">
        <f>+919582024014</f>
        <v>919582024014</v>
      </c>
      <c r="H28" s="20" t="s">
        <v>1466</v>
      </c>
      <c r="I28" s="20" t="s">
        <v>390</v>
      </c>
      <c r="J28" s="20" t="s">
        <v>390</v>
      </c>
      <c r="K28" s="20" t="s">
        <v>55</v>
      </c>
      <c r="L28" s="20" t="s">
        <v>56</v>
      </c>
      <c r="M28" s="20" t="s">
        <v>57</v>
      </c>
      <c r="N28" s="20" t="s">
        <v>333</v>
      </c>
      <c r="O28" s="20" t="s">
        <v>1736</v>
      </c>
      <c r="P28" s="20"/>
      <c r="Q28" s="20" t="s">
        <v>59</v>
      </c>
      <c r="R28" s="20" t="s">
        <v>333</v>
      </c>
      <c r="S28" s="20" t="s">
        <v>333</v>
      </c>
      <c r="T28" s="20"/>
      <c r="U28" s="20"/>
      <c r="V28" s="20" t="s">
        <v>344</v>
      </c>
      <c r="W28" s="20" t="s">
        <v>333</v>
      </c>
      <c r="X28" s="20" t="s">
        <v>333</v>
      </c>
      <c r="Y28" s="20" t="s">
        <v>333</v>
      </c>
      <c r="Z28" s="20" t="s">
        <v>333</v>
      </c>
      <c r="AA28" s="20" t="s">
        <v>333</v>
      </c>
      <c r="AB28" s="20" t="s">
        <v>333</v>
      </c>
      <c r="AC28" s="20"/>
      <c r="AD28" s="20" t="s">
        <v>333</v>
      </c>
      <c r="AE28" s="20" t="s">
        <v>333</v>
      </c>
      <c r="AF28" s="20" t="s">
        <v>333</v>
      </c>
      <c r="AG28" s="20" t="s">
        <v>344</v>
      </c>
      <c r="AH28" s="20" t="s">
        <v>344</v>
      </c>
      <c r="AI28" s="20" t="s">
        <v>333</v>
      </c>
      <c r="AJ28" s="20"/>
      <c r="AK28" s="20" t="s">
        <v>1663</v>
      </c>
      <c r="AL28" s="20" t="s">
        <v>1261</v>
      </c>
      <c r="AM28" s="20" t="s">
        <v>1663</v>
      </c>
      <c r="AN28" s="20" t="s">
        <v>349</v>
      </c>
      <c r="AO28" s="20"/>
      <c r="AP28" s="20" t="s">
        <v>1736</v>
      </c>
      <c r="AQ28" s="20" t="s">
        <v>349</v>
      </c>
      <c r="AR28" s="24" t="s">
        <v>757</v>
      </c>
      <c r="AS28" s="20"/>
    </row>
    <row r="29">
      <c r="A29" s="20" t="s">
        <v>1835</v>
      </c>
      <c r="B29" s="20" t="s">
        <v>1413</v>
      </c>
      <c r="C29" s="20" t="s">
        <v>1414</v>
      </c>
      <c r="D29" s="53" t="s">
        <v>1415</v>
      </c>
      <c r="E29" s="20" t="s">
        <v>49</v>
      </c>
      <c r="F29" s="80" t="s">
        <v>1836</v>
      </c>
      <c r="G29" s="55">
        <f>+917428444949</f>
        <v>917428444949</v>
      </c>
      <c r="H29" s="20" t="s">
        <v>389</v>
      </c>
      <c r="I29" s="20" t="s">
        <v>390</v>
      </c>
      <c r="J29" s="20" t="s">
        <v>390</v>
      </c>
      <c r="K29" s="20" t="s">
        <v>55</v>
      </c>
      <c r="L29" s="20" t="s">
        <v>56</v>
      </c>
      <c r="M29" s="20" t="s">
        <v>57</v>
      </c>
      <c r="N29" s="20" t="s">
        <v>333</v>
      </c>
      <c r="O29" s="20" t="s">
        <v>1682</v>
      </c>
      <c r="P29" s="20"/>
      <c r="Q29" s="20" t="s">
        <v>59</v>
      </c>
      <c r="R29" s="20" t="s">
        <v>333</v>
      </c>
      <c r="S29" s="20" t="s">
        <v>333</v>
      </c>
      <c r="T29" s="20"/>
      <c r="U29" s="20"/>
      <c r="V29" s="20" t="s">
        <v>344</v>
      </c>
      <c r="W29" s="20" t="s">
        <v>333</v>
      </c>
      <c r="X29" s="20" t="s">
        <v>333</v>
      </c>
      <c r="Y29" s="20" t="s">
        <v>333</v>
      </c>
      <c r="Z29" s="20" t="s">
        <v>333</v>
      </c>
      <c r="AA29" s="20" t="s">
        <v>333</v>
      </c>
      <c r="AB29" s="20" t="s">
        <v>333</v>
      </c>
      <c r="AC29" s="20"/>
      <c r="AD29" s="20" t="s">
        <v>333</v>
      </c>
      <c r="AE29" s="20" t="s">
        <v>333</v>
      </c>
      <c r="AF29" s="20" t="s">
        <v>333</v>
      </c>
      <c r="AG29" s="20" t="s">
        <v>344</v>
      </c>
      <c r="AH29" s="20" t="s">
        <v>344</v>
      </c>
      <c r="AI29" s="20" t="s">
        <v>333</v>
      </c>
      <c r="AJ29" s="20"/>
      <c r="AK29" s="20" t="s">
        <v>347</v>
      </c>
      <c r="AL29" s="20" t="s">
        <v>1556</v>
      </c>
      <c r="AM29" s="20" t="s">
        <v>347</v>
      </c>
      <c r="AN29" s="20" t="s">
        <v>349</v>
      </c>
      <c r="AO29" s="20"/>
      <c r="AP29" s="20" t="s">
        <v>1682</v>
      </c>
      <c r="AQ29" s="20" t="s">
        <v>349</v>
      </c>
      <c r="AR29" s="24" t="s">
        <v>757</v>
      </c>
      <c r="AS29" s="20"/>
    </row>
    <row r="30">
      <c r="A30" s="32" t="s">
        <v>1260</v>
      </c>
      <c r="B30" s="32" t="s">
        <v>1400</v>
      </c>
      <c r="C30" s="32" t="s">
        <v>1401</v>
      </c>
      <c r="D30" s="48" t="s">
        <v>1402</v>
      </c>
      <c r="E30" s="32" t="s">
        <v>49</v>
      </c>
      <c r="F30" s="32" t="s">
        <v>1845</v>
      </c>
      <c r="G30" s="86">
        <v>9.19250228275E11</v>
      </c>
      <c r="H30" s="32" t="s">
        <v>389</v>
      </c>
      <c r="I30" s="32" t="s">
        <v>390</v>
      </c>
      <c r="J30" s="32" t="s">
        <v>390</v>
      </c>
      <c r="K30" s="32" t="s">
        <v>55</v>
      </c>
      <c r="L30" s="32" t="s">
        <v>56</v>
      </c>
      <c r="M30" s="32" t="s">
        <v>57</v>
      </c>
      <c r="N30" s="32" t="s">
        <v>333</v>
      </c>
      <c r="O30" s="32" t="s">
        <v>1846</v>
      </c>
      <c r="P30" s="32" t="s">
        <v>1847</v>
      </c>
      <c r="Q30" s="32" t="s">
        <v>59</v>
      </c>
      <c r="R30" s="32" t="s">
        <v>333</v>
      </c>
      <c r="S30" s="32" t="s">
        <v>333</v>
      </c>
      <c r="T30" s="32"/>
      <c r="U30" s="32"/>
      <c r="V30" s="32" t="s">
        <v>344</v>
      </c>
      <c r="W30" s="32" t="s">
        <v>333</v>
      </c>
      <c r="X30" s="32" t="s">
        <v>333</v>
      </c>
      <c r="Y30" s="32" t="s">
        <v>333</v>
      </c>
      <c r="Z30" s="32" t="s">
        <v>333</v>
      </c>
      <c r="AA30" s="32" t="s">
        <v>333</v>
      </c>
      <c r="AB30" s="32" t="s">
        <v>333</v>
      </c>
      <c r="AC30" s="32"/>
      <c r="AD30" s="32" t="s">
        <v>333</v>
      </c>
      <c r="AE30" s="32" t="s">
        <v>333</v>
      </c>
      <c r="AF30" s="32" t="s">
        <v>333</v>
      </c>
      <c r="AG30" s="32" t="s">
        <v>344</v>
      </c>
      <c r="AH30" s="32" t="s">
        <v>344</v>
      </c>
      <c r="AI30" s="32" t="s">
        <v>333</v>
      </c>
      <c r="AJ30" s="32"/>
      <c r="AK30" s="32" t="s">
        <v>1581</v>
      </c>
      <c r="AL30" s="32" t="s">
        <v>1596</v>
      </c>
      <c r="AM30" s="32" t="s">
        <v>1581</v>
      </c>
      <c r="AN30" s="32" t="s">
        <v>349</v>
      </c>
      <c r="AO30" s="32"/>
      <c r="AP30" s="32" t="s">
        <v>1846</v>
      </c>
      <c r="AQ30" s="32" t="s">
        <v>1847</v>
      </c>
      <c r="AR30" s="16" t="s">
        <v>757</v>
      </c>
      <c r="AS30" s="21">
        <v>2.0</v>
      </c>
    </row>
    <row r="31">
      <c r="A31" s="20" t="s">
        <v>1852</v>
      </c>
      <c r="B31" s="20" t="s">
        <v>1390</v>
      </c>
      <c r="C31" s="20" t="s">
        <v>1391</v>
      </c>
      <c r="D31" s="53" t="s">
        <v>1392</v>
      </c>
      <c r="E31" s="20" t="s">
        <v>49</v>
      </c>
      <c r="F31" s="80" t="s">
        <v>1854</v>
      </c>
      <c r="G31" s="55">
        <f>+919981168309</f>
        <v>919981168309</v>
      </c>
      <c r="H31" s="20" t="s">
        <v>1394</v>
      </c>
      <c r="I31" s="20" t="s">
        <v>1396</v>
      </c>
      <c r="J31" s="20" t="s">
        <v>1396</v>
      </c>
      <c r="K31" s="20" t="s">
        <v>55</v>
      </c>
      <c r="L31" s="20" t="s">
        <v>56</v>
      </c>
      <c r="M31" s="20" t="s">
        <v>57</v>
      </c>
      <c r="N31" s="20" t="s">
        <v>333</v>
      </c>
      <c r="O31" s="20" t="s">
        <v>1238</v>
      </c>
      <c r="P31" s="20" t="s">
        <v>1239</v>
      </c>
      <c r="Q31" s="20" t="s">
        <v>59</v>
      </c>
      <c r="R31" s="20" t="s">
        <v>333</v>
      </c>
      <c r="S31" s="20" t="s">
        <v>333</v>
      </c>
      <c r="T31" s="20"/>
      <c r="U31" s="20"/>
      <c r="V31" s="20" t="s">
        <v>344</v>
      </c>
      <c r="W31" s="20" t="s">
        <v>333</v>
      </c>
      <c r="X31" s="20" t="s">
        <v>333</v>
      </c>
      <c r="Y31" s="20" t="s">
        <v>333</v>
      </c>
      <c r="Z31" s="20" t="s">
        <v>333</v>
      </c>
      <c r="AA31" s="20" t="s">
        <v>333</v>
      </c>
      <c r="AB31" s="20" t="s">
        <v>333</v>
      </c>
      <c r="AC31" s="20"/>
      <c r="AD31" s="20" t="s">
        <v>333</v>
      </c>
      <c r="AE31" s="20" t="s">
        <v>333</v>
      </c>
      <c r="AF31" s="20" t="s">
        <v>333</v>
      </c>
      <c r="AG31" s="20" t="s">
        <v>344</v>
      </c>
      <c r="AH31" s="20" t="s">
        <v>344</v>
      </c>
      <c r="AI31" s="20" t="s">
        <v>333</v>
      </c>
      <c r="AJ31" s="20"/>
      <c r="AK31" s="20" t="s">
        <v>1274</v>
      </c>
      <c r="AL31" s="20" t="s">
        <v>1556</v>
      </c>
      <c r="AM31" s="20" t="s">
        <v>1274</v>
      </c>
      <c r="AN31" s="20" t="s">
        <v>349</v>
      </c>
      <c r="AO31" s="20"/>
      <c r="AP31" s="20" t="s">
        <v>1238</v>
      </c>
      <c r="AQ31" s="20" t="s">
        <v>1239</v>
      </c>
      <c r="AR31" s="24" t="s">
        <v>757</v>
      </c>
      <c r="AS31" s="20"/>
    </row>
    <row r="32">
      <c r="A32" s="20" t="s">
        <v>1857</v>
      </c>
      <c r="B32" s="20" t="s">
        <v>46</v>
      </c>
      <c r="C32" s="20" t="s">
        <v>47</v>
      </c>
      <c r="D32" s="29" t="s">
        <v>1859</v>
      </c>
      <c r="E32" s="20" t="s">
        <v>49</v>
      </c>
      <c r="F32" s="29" t="s">
        <v>69</v>
      </c>
      <c r="G32" s="29" t="s">
        <v>69</v>
      </c>
      <c r="H32" s="20" t="s">
        <v>53</v>
      </c>
      <c r="I32" s="20" t="s">
        <v>54</v>
      </c>
      <c r="J32" s="20" t="s">
        <v>54</v>
      </c>
      <c r="K32" s="20" t="s">
        <v>55</v>
      </c>
      <c r="L32" s="20" t="s">
        <v>56</v>
      </c>
      <c r="M32" s="20" t="s">
        <v>57</v>
      </c>
      <c r="N32" s="20" t="s">
        <v>333</v>
      </c>
      <c r="O32" s="20" t="s">
        <v>1556</v>
      </c>
      <c r="P32" s="20" t="s">
        <v>1559</v>
      </c>
      <c r="Q32" s="20" t="s">
        <v>59</v>
      </c>
      <c r="R32" s="20" t="s">
        <v>333</v>
      </c>
      <c r="S32" s="20" t="s">
        <v>333</v>
      </c>
      <c r="T32" s="20"/>
      <c r="U32" s="20"/>
      <c r="V32" s="20" t="s">
        <v>344</v>
      </c>
      <c r="W32" s="20" t="s">
        <v>333</v>
      </c>
      <c r="X32" s="20" t="s">
        <v>333</v>
      </c>
      <c r="Y32" s="20" t="s">
        <v>333</v>
      </c>
      <c r="Z32" s="20" t="s">
        <v>333</v>
      </c>
      <c r="AA32" s="20" t="s">
        <v>333</v>
      </c>
      <c r="AB32" s="20" t="s">
        <v>333</v>
      </c>
      <c r="AC32" s="20"/>
      <c r="AD32" s="20" t="s">
        <v>333</v>
      </c>
      <c r="AE32" s="20" t="s">
        <v>333</v>
      </c>
      <c r="AF32" s="20" t="s">
        <v>333</v>
      </c>
      <c r="AG32" s="20" t="s">
        <v>344</v>
      </c>
      <c r="AH32" s="20" t="s">
        <v>344</v>
      </c>
      <c r="AI32" s="20" t="s">
        <v>333</v>
      </c>
      <c r="AJ32" s="20"/>
      <c r="AK32" s="20" t="s">
        <v>348</v>
      </c>
      <c r="AL32" s="20" t="s">
        <v>348</v>
      </c>
      <c r="AM32" s="20" t="s">
        <v>348</v>
      </c>
      <c r="AN32" s="20" t="s">
        <v>349</v>
      </c>
      <c r="AO32" s="20"/>
      <c r="AP32" s="20" t="s">
        <v>1556</v>
      </c>
      <c r="AQ32" s="20" t="s">
        <v>1559</v>
      </c>
      <c r="AR32" s="20"/>
      <c r="AS32" s="20"/>
    </row>
    <row r="33">
      <c r="A33" s="20" t="s">
        <v>1864</v>
      </c>
      <c r="B33" s="20" t="s">
        <v>77</v>
      </c>
      <c r="C33" s="20" t="s">
        <v>78</v>
      </c>
      <c r="D33" s="20" t="s">
        <v>79</v>
      </c>
      <c r="E33" s="20" t="s">
        <v>49</v>
      </c>
      <c r="F33" s="80" t="s">
        <v>1865</v>
      </c>
      <c r="G33" s="29" t="s">
        <v>69</v>
      </c>
      <c r="H33" s="20" t="s">
        <v>75</v>
      </c>
      <c r="I33" s="20" t="s">
        <v>76</v>
      </c>
      <c r="J33" s="20" t="s">
        <v>76</v>
      </c>
      <c r="K33" s="20" t="s">
        <v>55</v>
      </c>
      <c r="L33" s="20" t="s">
        <v>56</v>
      </c>
      <c r="M33" s="20" t="s">
        <v>57</v>
      </c>
      <c r="N33" s="20" t="s">
        <v>333</v>
      </c>
      <c r="O33" s="20" t="s">
        <v>348</v>
      </c>
      <c r="P33" s="20" t="s">
        <v>1867</v>
      </c>
      <c r="Q33" s="20" t="s">
        <v>59</v>
      </c>
      <c r="R33" s="20" t="s">
        <v>333</v>
      </c>
      <c r="S33" s="20" t="s">
        <v>333</v>
      </c>
      <c r="T33" s="20" t="s">
        <v>275</v>
      </c>
      <c r="U33" s="20" t="s">
        <v>1787</v>
      </c>
      <c r="V33" s="20" t="s">
        <v>344</v>
      </c>
      <c r="W33" s="20" t="s">
        <v>333</v>
      </c>
      <c r="X33" s="20" t="s">
        <v>333</v>
      </c>
      <c r="Y33" s="20" t="s">
        <v>333</v>
      </c>
      <c r="Z33" s="20" t="s">
        <v>333</v>
      </c>
      <c r="AA33" s="20" t="s">
        <v>333</v>
      </c>
      <c r="AB33" s="20" t="s">
        <v>333</v>
      </c>
      <c r="AC33" s="20"/>
      <c r="AD33" s="20" t="s">
        <v>333</v>
      </c>
      <c r="AE33" s="20" t="s">
        <v>333</v>
      </c>
      <c r="AF33" s="20" t="s">
        <v>333</v>
      </c>
      <c r="AG33" s="20" t="s">
        <v>344</v>
      </c>
      <c r="AH33" s="20" t="s">
        <v>344</v>
      </c>
      <c r="AI33" s="20" t="s">
        <v>333</v>
      </c>
      <c r="AJ33" s="20"/>
      <c r="AK33" s="20" t="s">
        <v>1260</v>
      </c>
      <c r="AL33" s="20" t="s">
        <v>1586</v>
      </c>
      <c r="AM33" s="20" t="s">
        <v>1260</v>
      </c>
      <c r="AN33" s="20" t="s">
        <v>349</v>
      </c>
      <c r="AO33" s="20"/>
      <c r="AP33" s="20" t="s">
        <v>348</v>
      </c>
      <c r="AQ33" s="20" t="s">
        <v>1867</v>
      </c>
      <c r="AR33" s="20"/>
      <c r="AS33" s="20"/>
    </row>
    <row r="34">
      <c r="A34" s="20" t="s">
        <v>1873</v>
      </c>
      <c r="B34" s="20" t="s">
        <v>96</v>
      </c>
      <c r="C34" s="20" t="s">
        <v>97</v>
      </c>
      <c r="D34" s="20" t="s">
        <v>98</v>
      </c>
      <c r="E34" s="20" t="s">
        <v>49</v>
      </c>
      <c r="F34" s="29" t="s">
        <v>69</v>
      </c>
      <c r="G34" s="29" t="s">
        <v>69</v>
      </c>
      <c r="H34" s="20" t="s">
        <v>102</v>
      </c>
      <c r="I34" s="20" t="s">
        <v>103</v>
      </c>
      <c r="J34" s="20" t="s">
        <v>103</v>
      </c>
      <c r="K34" s="20" t="s">
        <v>55</v>
      </c>
      <c r="L34" s="20" t="s">
        <v>56</v>
      </c>
      <c r="M34" s="20" t="s">
        <v>57</v>
      </c>
      <c r="N34" s="20" t="s">
        <v>333</v>
      </c>
      <c r="O34" s="20" t="s">
        <v>1874</v>
      </c>
      <c r="P34" s="20" t="s">
        <v>1874</v>
      </c>
      <c r="Q34" s="20" t="s">
        <v>59</v>
      </c>
      <c r="R34" s="20" t="s">
        <v>333</v>
      </c>
      <c r="S34" s="20" t="s">
        <v>333</v>
      </c>
      <c r="T34" s="20" t="s">
        <v>1878</v>
      </c>
      <c r="U34" s="20"/>
      <c r="V34" s="20" t="s">
        <v>344</v>
      </c>
      <c r="W34" s="20" t="s">
        <v>333</v>
      </c>
      <c r="X34" s="20" t="s">
        <v>333</v>
      </c>
      <c r="Y34" s="20" t="s">
        <v>333</v>
      </c>
      <c r="Z34" s="20" t="s">
        <v>333</v>
      </c>
      <c r="AA34" s="20" t="s">
        <v>333</v>
      </c>
      <c r="AB34" s="20" t="s">
        <v>333</v>
      </c>
      <c r="AC34" s="20"/>
      <c r="AD34" s="20" t="s">
        <v>333</v>
      </c>
      <c r="AE34" s="20" t="s">
        <v>333</v>
      </c>
      <c r="AF34" s="20" t="s">
        <v>333</v>
      </c>
      <c r="AG34" s="20" t="s">
        <v>344</v>
      </c>
      <c r="AH34" s="20" t="s">
        <v>344</v>
      </c>
      <c r="AI34" s="20" t="s">
        <v>333</v>
      </c>
      <c r="AJ34" s="20"/>
      <c r="AK34" s="20" t="s">
        <v>1260</v>
      </c>
      <c r="AL34" s="20" t="s">
        <v>1245</v>
      </c>
      <c r="AM34" s="20" t="s">
        <v>1260</v>
      </c>
      <c r="AN34" s="20" t="s">
        <v>349</v>
      </c>
      <c r="AO34" s="20"/>
      <c r="AP34" s="20" t="s">
        <v>1874</v>
      </c>
      <c r="AQ34" s="20" t="s">
        <v>1874</v>
      </c>
      <c r="AR34" s="20"/>
      <c r="AS34" s="20"/>
    </row>
    <row r="35">
      <c r="A35" s="20" t="s">
        <v>1587</v>
      </c>
      <c r="B35" s="20" t="s">
        <v>119</v>
      </c>
      <c r="C35" s="20" t="s">
        <v>120</v>
      </c>
      <c r="D35" s="20" t="s">
        <v>121</v>
      </c>
      <c r="E35" s="20" t="s">
        <v>49</v>
      </c>
      <c r="F35" s="80" t="s">
        <v>1881</v>
      </c>
      <c r="G35" s="82" t="s">
        <v>1885</v>
      </c>
      <c r="H35" s="20" t="s">
        <v>123</v>
      </c>
      <c r="I35" s="20" t="s">
        <v>124</v>
      </c>
      <c r="J35" s="20" t="s">
        <v>74</v>
      </c>
      <c r="K35" s="20" t="s">
        <v>55</v>
      </c>
      <c r="L35" s="20" t="s">
        <v>56</v>
      </c>
      <c r="M35" s="20" t="s">
        <v>57</v>
      </c>
      <c r="N35" s="20" t="s">
        <v>333</v>
      </c>
      <c r="O35" s="20" t="s">
        <v>1720</v>
      </c>
      <c r="P35" s="20" t="s">
        <v>1688</v>
      </c>
      <c r="Q35" s="20" t="s">
        <v>59</v>
      </c>
      <c r="R35" s="20" t="s">
        <v>333</v>
      </c>
      <c r="S35" s="20" t="s">
        <v>333</v>
      </c>
      <c r="T35" s="20" t="s">
        <v>127</v>
      </c>
      <c r="U35" s="20"/>
      <c r="V35" s="20" t="s">
        <v>344</v>
      </c>
      <c r="W35" s="20" t="s">
        <v>333</v>
      </c>
      <c r="X35" s="20" t="s">
        <v>333</v>
      </c>
      <c r="Y35" s="20" t="s">
        <v>333</v>
      </c>
      <c r="Z35" s="20" t="s">
        <v>333</v>
      </c>
      <c r="AA35" s="20" t="s">
        <v>333</v>
      </c>
      <c r="AB35" s="20" t="s">
        <v>333</v>
      </c>
      <c r="AC35" s="20"/>
      <c r="AD35" s="20" t="s">
        <v>333</v>
      </c>
      <c r="AE35" s="20" t="s">
        <v>333</v>
      </c>
      <c r="AF35" s="20" t="s">
        <v>333</v>
      </c>
      <c r="AG35" s="20" t="s">
        <v>344</v>
      </c>
      <c r="AH35" s="20" t="s">
        <v>344</v>
      </c>
      <c r="AI35" s="20" t="s">
        <v>333</v>
      </c>
      <c r="AJ35" s="20"/>
      <c r="AK35" s="20" t="s">
        <v>1663</v>
      </c>
      <c r="AL35" s="20" t="s">
        <v>1245</v>
      </c>
      <c r="AM35" s="20" t="s">
        <v>1663</v>
      </c>
      <c r="AN35" s="20" t="s">
        <v>349</v>
      </c>
      <c r="AO35" s="20"/>
      <c r="AP35" s="20" t="s">
        <v>1720</v>
      </c>
      <c r="AQ35" s="20" t="s">
        <v>1688</v>
      </c>
      <c r="AR35" s="20"/>
      <c r="AS35" s="20"/>
    </row>
    <row r="36">
      <c r="A36" s="20" t="s">
        <v>1890</v>
      </c>
      <c r="B36" s="20" t="s">
        <v>154</v>
      </c>
      <c r="C36" s="20" t="s">
        <v>156</v>
      </c>
      <c r="D36" s="29" t="s">
        <v>157</v>
      </c>
      <c r="E36" s="20" t="s">
        <v>49</v>
      </c>
      <c r="F36" s="29" t="s">
        <v>69</v>
      </c>
      <c r="G36" s="29" t="s">
        <v>69</v>
      </c>
      <c r="H36" s="20" t="s">
        <v>160</v>
      </c>
      <c r="I36" s="20" t="s">
        <v>161</v>
      </c>
      <c r="J36" s="20" t="s">
        <v>161</v>
      </c>
      <c r="K36" s="20" t="s">
        <v>55</v>
      </c>
      <c r="L36" s="20" t="s">
        <v>56</v>
      </c>
      <c r="M36" s="20" t="s">
        <v>57</v>
      </c>
      <c r="N36" s="20" t="s">
        <v>333</v>
      </c>
      <c r="O36" s="20" t="s">
        <v>1596</v>
      </c>
      <c r="P36" s="20" t="s">
        <v>1688</v>
      </c>
      <c r="Q36" s="20" t="s">
        <v>59</v>
      </c>
      <c r="R36" s="20" t="s">
        <v>333</v>
      </c>
      <c r="S36" s="20" t="s">
        <v>333</v>
      </c>
      <c r="T36" s="20"/>
      <c r="U36" s="20"/>
      <c r="V36" s="20" t="s">
        <v>344</v>
      </c>
      <c r="W36" s="20" t="s">
        <v>333</v>
      </c>
      <c r="X36" s="20" t="s">
        <v>333</v>
      </c>
      <c r="Y36" s="20" t="s">
        <v>333</v>
      </c>
      <c r="Z36" s="20" t="s">
        <v>333</v>
      </c>
      <c r="AA36" s="20" t="s">
        <v>333</v>
      </c>
      <c r="AB36" s="20" t="s">
        <v>333</v>
      </c>
      <c r="AC36" s="20"/>
      <c r="AD36" s="20" t="s">
        <v>333</v>
      </c>
      <c r="AE36" s="20" t="s">
        <v>333</v>
      </c>
      <c r="AF36" s="20" t="s">
        <v>333</v>
      </c>
      <c r="AG36" s="20" t="s">
        <v>344</v>
      </c>
      <c r="AH36" s="20" t="s">
        <v>344</v>
      </c>
      <c r="AI36" s="20" t="s">
        <v>333</v>
      </c>
      <c r="AJ36" s="20"/>
      <c r="AK36" s="20" t="s">
        <v>347</v>
      </c>
      <c r="AL36" s="20" t="s">
        <v>1682</v>
      </c>
      <c r="AM36" s="20" t="s">
        <v>347</v>
      </c>
      <c r="AN36" s="20" t="s">
        <v>349</v>
      </c>
      <c r="AO36" s="20"/>
      <c r="AP36" s="20" t="s">
        <v>1596</v>
      </c>
      <c r="AQ36" s="20" t="s">
        <v>1688</v>
      </c>
      <c r="AR36" s="20"/>
      <c r="AS36" s="20"/>
    </row>
    <row r="37">
      <c r="A37" s="20" t="s">
        <v>1896</v>
      </c>
      <c r="B37" s="20" t="s">
        <v>166</v>
      </c>
      <c r="C37" s="20" t="s">
        <v>168</v>
      </c>
      <c r="D37" s="20" t="s">
        <v>170</v>
      </c>
      <c r="E37" s="20" t="s">
        <v>49</v>
      </c>
      <c r="F37" s="80" t="s">
        <v>1899</v>
      </c>
      <c r="G37" s="20" t="s">
        <v>1900</v>
      </c>
      <c r="H37" s="20" t="s">
        <v>123</v>
      </c>
      <c r="I37" s="20" t="s">
        <v>124</v>
      </c>
      <c r="J37" s="20" t="s">
        <v>74</v>
      </c>
      <c r="K37" s="20" t="s">
        <v>55</v>
      </c>
      <c r="L37" s="20" t="s">
        <v>56</v>
      </c>
      <c r="M37" s="20" t="s">
        <v>57</v>
      </c>
      <c r="N37" s="20" t="s">
        <v>333</v>
      </c>
      <c r="O37" s="20" t="s">
        <v>1902</v>
      </c>
      <c r="P37" s="20" t="s">
        <v>1245</v>
      </c>
      <c r="Q37" s="20" t="s">
        <v>59</v>
      </c>
      <c r="R37" s="20" t="s">
        <v>333</v>
      </c>
      <c r="S37" s="20" t="s">
        <v>333</v>
      </c>
      <c r="T37" s="20" t="s">
        <v>1903</v>
      </c>
      <c r="U37" s="20"/>
      <c r="V37" s="20" t="s">
        <v>344</v>
      </c>
      <c r="W37" s="20" t="s">
        <v>333</v>
      </c>
      <c r="X37" s="20" t="s">
        <v>333</v>
      </c>
      <c r="Y37" s="20" t="s">
        <v>333</v>
      </c>
      <c r="Z37" s="20" t="s">
        <v>333</v>
      </c>
      <c r="AA37" s="20" t="s">
        <v>333</v>
      </c>
      <c r="AB37" s="20" t="s">
        <v>333</v>
      </c>
      <c r="AC37" s="20"/>
      <c r="AD37" s="20" t="s">
        <v>333</v>
      </c>
      <c r="AE37" s="20" t="s">
        <v>333</v>
      </c>
      <c r="AF37" s="20" t="s">
        <v>333</v>
      </c>
      <c r="AG37" s="20" t="s">
        <v>344</v>
      </c>
      <c r="AH37" s="20" t="s">
        <v>344</v>
      </c>
      <c r="AI37" s="20" t="s">
        <v>333</v>
      </c>
      <c r="AJ37" s="20"/>
      <c r="AK37" s="20" t="s">
        <v>1587</v>
      </c>
      <c r="AL37" s="20" t="s">
        <v>348</v>
      </c>
      <c r="AM37" s="20" t="s">
        <v>1587</v>
      </c>
      <c r="AN37" s="20" t="s">
        <v>349</v>
      </c>
      <c r="AO37" s="20"/>
      <c r="AP37" s="20" t="s">
        <v>1902</v>
      </c>
      <c r="AQ37" s="20" t="s">
        <v>1245</v>
      </c>
      <c r="AR37" s="20"/>
      <c r="AS37" s="20"/>
    </row>
    <row r="38">
      <c r="A38" s="20" t="s">
        <v>1904</v>
      </c>
      <c r="B38" s="20" t="s">
        <v>183</v>
      </c>
      <c r="C38" s="20" t="s">
        <v>184</v>
      </c>
      <c r="D38" s="20" t="s">
        <v>186</v>
      </c>
      <c r="E38" s="20" t="s">
        <v>49</v>
      </c>
      <c r="F38" s="80" t="s">
        <v>1906</v>
      </c>
      <c r="G38" s="20" t="s">
        <v>189</v>
      </c>
      <c r="H38" s="20" t="s">
        <v>123</v>
      </c>
      <c r="I38" s="20" t="s">
        <v>124</v>
      </c>
      <c r="J38" s="20" t="s">
        <v>74</v>
      </c>
      <c r="K38" s="20" t="s">
        <v>55</v>
      </c>
      <c r="L38" s="20" t="s">
        <v>56</v>
      </c>
      <c r="M38" s="20" t="s">
        <v>57</v>
      </c>
      <c r="N38" s="20" t="s">
        <v>333</v>
      </c>
      <c r="O38" s="20" t="s">
        <v>1682</v>
      </c>
      <c r="P38" s="20" t="s">
        <v>1239</v>
      </c>
      <c r="Q38" s="20" t="s">
        <v>59</v>
      </c>
      <c r="R38" s="20" t="s">
        <v>333</v>
      </c>
      <c r="S38" s="20" t="s">
        <v>333</v>
      </c>
      <c r="T38" s="20" t="s">
        <v>275</v>
      </c>
      <c r="U38" s="20"/>
      <c r="V38" s="20" t="s">
        <v>344</v>
      </c>
      <c r="W38" s="20" t="s">
        <v>333</v>
      </c>
      <c r="X38" s="20" t="s">
        <v>333</v>
      </c>
      <c r="Y38" s="20" t="s">
        <v>333</v>
      </c>
      <c r="Z38" s="20" t="s">
        <v>333</v>
      </c>
      <c r="AA38" s="20" t="s">
        <v>333</v>
      </c>
      <c r="AB38" s="20" t="s">
        <v>333</v>
      </c>
      <c r="AC38" s="20"/>
      <c r="AD38" s="20" t="s">
        <v>333</v>
      </c>
      <c r="AE38" s="20" t="s">
        <v>333</v>
      </c>
      <c r="AF38" s="20" t="s">
        <v>333</v>
      </c>
      <c r="AG38" s="20" t="s">
        <v>344</v>
      </c>
      <c r="AH38" s="20" t="s">
        <v>344</v>
      </c>
      <c r="AI38" s="20" t="s">
        <v>333</v>
      </c>
      <c r="AJ38" s="20"/>
      <c r="AK38" s="20" t="s">
        <v>347</v>
      </c>
      <c r="AL38" s="20" t="s">
        <v>348</v>
      </c>
      <c r="AM38" s="20" t="s">
        <v>347</v>
      </c>
      <c r="AN38" s="20" t="s">
        <v>349</v>
      </c>
      <c r="AO38" s="20"/>
      <c r="AP38" s="20" t="s">
        <v>1682</v>
      </c>
      <c r="AQ38" s="20" t="s">
        <v>1239</v>
      </c>
      <c r="AR38" s="20"/>
      <c r="AS38" s="20"/>
    </row>
    <row r="39">
      <c r="A39" s="20" t="s">
        <v>1908</v>
      </c>
      <c r="B39" s="20" t="s">
        <v>192</v>
      </c>
      <c r="C39" s="20" t="s">
        <v>194</v>
      </c>
      <c r="D39" s="20" t="s">
        <v>196</v>
      </c>
      <c r="E39" s="20" t="s">
        <v>49</v>
      </c>
      <c r="F39" s="29" t="s">
        <v>69</v>
      </c>
      <c r="G39" s="20" t="s">
        <v>201</v>
      </c>
      <c r="H39" s="20" t="s">
        <v>203</v>
      </c>
      <c r="I39" s="20" t="s">
        <v>204</v>
      </c>
      <c r="J39" s="20" t="s">
        <v>74</v>
      </c>
      <c r="K39" s="20" t="s">
        <v>55</v>
      </c>
      <c r="L39" s="20" t="s">
        <v>56</v>
      </c>
      <c r="M39" s="20" t="s">
        <v>57</v>
      </c>
      <c r="N39" s="20" t="s">
        <v>333</v>
      </c>
      <c r="O39" s="20" t="s">
        <v>1586</v>
      </c>
      <c r="P39" s="20" t="s">
        <v>348</v>
      </c>
      <c r="Q39" s="20" t="s">
        <v>59</v>
      </c>
      <c r="R39" s="20" t="s">
        <v>333</v>
      </c>
      <c r="S39" s="20" t="s">
        <v>333</v>
      </c>
      <c r="T39" s="20" t="s">
        <v>1910</v>
      </c>
      <c r="U39" s="20"/>
      <c r="V39" s="20" t="s">
        <v>344</v>
      </c>
      <c r="W39" s="20" t="s">
        <v>333</v>
      </c>
      <c r="X39" s="20" t="s">
        <v>333</v>
      </c>
      <c r="Y39" s="20" t="s">
        <v>333</v>
      </c>
      <c r="Z39" s="20" t="s">
        <v>333</v>
      </c>
      <c r="AA39" s="20" t="s">
        <v>333</v>
      </c>
      <c r="AB39" s="20" t="s">
        <v>333</v>
      </c>
      <c r="AC39" s="20"/>
      <c r="AD39" s="20" t="s">
        <v>333</v>
      </c>
      <c r="AE39" s="20" t="s">
        <v>333</v>
      </c>
      <c r="AF39" s="20" t="s">
        <v>333</v>
      </c>
      <c r="AG39" s="20" t="s">
        <v>344</v>
      </c>
      <c r="AH39" s="20" t="s">
        <v>344</v>
      </c>
      <c r="AI39" s="20" t="s">
        <v>333</v>
      </c>
      <c r="AJ39" s="20"/>
      <c r="AK39" s="20" t="s">
        <v>347</v>
      </c>
      <c r="AL39" s="20" t="s">
        <v>1245</v>
      </c>
      <c r="AM39" s="20" t="s">
        <v>347</v>
      </c>
      <c r="AN39" s="20" t="s">
        <v>349</v>
      </c>
      <c r="AO39" s="20" t="s">
        <v>1911</v>
      </c>
      <c r="AP39" s="20" t="s">
        <v>1586</v>
      </c>
      <c r="AQ39" s="20" t="s">
        <v>348</v>
      </c>
      <c r="AR39" s="20"/>
      <c r="AS39" s="20"/>
    </row>
    <row r="40">
      <c r="A40" s="20" t="s">
        <v>1915</v>
      </c>
      <c r="B40" s="20" t="s">
        <v>216</v>
      </c>
      <c r="C40" s="20" t="s">
        <v>217</v>
      </c>
      <c r="D40" s="29" t="s">
        <v>1917</v>
      </c>
      <c r="E40" s="20" t="s">
        <v>49</v>
      </c>
      <c r="F40" s="51" t="s">
        <v>1918</v>
      </c>
      <c r="G40" s="29" t="s">
        <v>69</v>
      </c>
      <c r="H40" s="20" t="s">
        <v>123</v>
      </c>
      <c r="I40" s="20" t="s">
        <v>124</v>
      </c>
      <c r="J40" s="20" t="s">
        <v>74</v>
      </c>
      <c r="K40" s="20" t="s">
        <v>55</v>
      </c>
      <c r="L40" s="20" t="s">
        <v>56</v>
      </c>
      <c r="M40" s="20" t="s">
        <v>57</v>
      </c>
      <c r="N40" s="20" t="s">
        <v>333</v>
      </c>
      <c r="O40" s="20" t="s">
        <v>1720</v>
      </c>
      <c r="P40" s="20" t="s">
        <v>1920</v>
      </c>
      <c r="Q40" s="20" t="s">
        <v>59</v>
      </c>
      <c r="R40" s="20" t="s">
        <v>333</v>
      </c>
      <c r="S40" s="20" t="s">
        <v>333</v>
      </c>
      <c r="T40" s="20"/>
      <c r="U40" s="20"/>
      <c r="V40" s="20" t="s">
        <v>344</v>
      </c>
      <c r="W40" s="20" t="s">
        <v>333</v>
      </c>
      <c r="X40" s="20" t="s">
        <v>333</v>
      </c>
      <c r="Y40" s="20" t="s">
        <v>333</v>
      </c>
      <c r="Z40" s="20" t="s">
        <v>333</v>
      </c>
      <c r="AA40" s="20" t="s">
        <v>333</v>
      </c>
      <c r="AB40" s="20" t="s">
        <v>333</v>
      </c>
      <c r="AC40" s="20"/>
      <c r="AD40" s="20" t="s">
        <v>333</v>
      </c>
      <c r="AE40" s="20" t="s">
        <v>333</v>
      </c>
      <c r="AF40" s="20" t="s">
        <v>333</v>
      </c>
      <c r="AG40" s="20" t="s">
        <v>344</v>
      </c>
      <c r="AH40" s="20" t="s">
        <v>344</v>
      </c>
      <c r="AI40" s="20" t="s">
        <v>333</v>
      </c>
      <c r="AJ40" s="20"/>
      <c r="AK40" s="20" t="s">
        <v>1244</v>
      </c>
      <c r="AL40" s="20" t="s">
        <v>1261</v>
      </c>
      <c r="AM40" s="20" t="s">
        <v>1244</v>
      </c>
      <c r="AN40" s="20" t="s">
        <v>349</v>
      </c>
      <c r="AO40" s="20"/>
      <c r="AP40" s="20" t="s">
        <v>1720</v>
      </c>
      <c r="AQ40" s="20" t="s">
        <v>1920</v>
      </c>
      <c r="AR40" s="20"/>
      <c r="AS40" s="20"/>
    </row>
    <row r="41">
      <c r="A41" s="32" t="s">
        <v>1925</v>
      </c>
      <c r="B41" s="32" t="s">
        <v>234</v>
      </c>
      <c r="C41" s="32" t="s">
        <v>235</v>
      </c>
      <c r="D41" s="87" t="s">
        <v>1926</v>
      </c>
      <c r="E41" s="32" t="s">
        <v>49</v>
      </c>
      <c r="F41" s="32" t="s">
        <v>237</v>
      </c>
      <c r="G41" s="32" t="s">
        <v>338</v>
      </c>
      <c r="H41" s="32" t="s">
        <v>245</v>
      </c>
      <c r="I41" s="32" t="s">
        <v>246</v>
      </c>
      <c r="J41" s="32" t="s">
        <v>246</v>
      </c>
      <c r="K41" s="32" t="s">
        <v>55</v>
      </c>
      <c r="L41" s="32" t="s">
        <v>56</v>
      </c>
      <c r="M41" s="32" t="s">
        <v>57</v>
      </c>
      <c r="N41" s="32" t="s">
        <v>333</v>
      </c>
      <c r="O41" s="32" t="s">
        <v>1717</v>
      </c>
      <c r="P41" s="32" t="s">
        <v>1736</v>
      </c>
      <c r="Q41" s="32" t="s">
        <v>59</v>
      </c>
      <c r="R41" s="32" t="s">
        <v>333</v>
      </c>
      <c r="S41" s="32" t="s">
        <v>333</v>
      </c>
      <c r="T41" s="32"/>
      <c r="U41" s="32"/>
      <c r="V41" s="32" t="s">
        <v>344</v>
      </c>
      <c r="W41" s="32" t="s">
        <v>333</v>
      </c>
      <c r="X41" s="32" t="s">
        <v>333</v>
      </c>
      <c r="Y41" s="32" t="s">
        <v>333</v>
      </c>
      <c r="Z41" s="32" t="s">
        <v>333</v>
      </c>
      <c r="AA41" s="32" t="s">
        <v>333</v>
      </c>
      <c r="AB41" s="32" t="s">
        <v>333</v>
      </c>
      <c r="AC41" s="32"/>
      <c r="AD41" s="32" t="s">
        <v>333</v>
      </c>
      <c r="AE41" s="32" t="s">
        <v>333</v>
      </c>
      <c r="AF41" s="32" t="s">
        <v>333</v>
      </c>
      <c r="AG41" s="32" t="s">
        <v>344</v>
      </c>
      <c r="AH41" s="32" t="s">
        <v>344</v>
      </c>
      <c r="AI41" s="32" t="s">
        <v>333</v>
      </c>
      <c r="AJ41" s="32"/>
      <c r="AK41" s="32" t="s">
        <v>1587</v>
      </c>
      <c r="AL41" s="32" t="s">
        <v>1269</v>
      </c>
      <c r="AM41" s="32" t="s">
        <v>1587</v>
      </c>
      <c r="AN41" s="32" t="s">
        <v>349</v>
      </c>
      <c r="AO41" s="32"/>
      <c r="AP41" s="32" t="s">
        <v>1717</v>
      </c>
      <c r="AQ41" s="32" t="s">
        <v>1736</v>
      </c>
      <c r="AR41" s="21" t="s">
        <v>1931</v>
      </c>
      <c r="AS41" s="21">
        <v>2.0</v>
      </c>
    </row>
    <row r="42">
      <c r="A42" s="20" t="s">
        <v>1933</v>
      </c>
      <c r="B42" s="20" t="s">
        <v>151</v>
      </c>
      <c r="C42" s="20" t="s">
        <v>152</v>
      </c>
      <c r="D42" s="20" t="s">
        <v>153</v>
      </c>
      <c r="E42" s="20" t="s">
        <v>49</v>
      </c>
      <c r="F42" s="80" t="s">
        <v>1934</v>
      </c>
      <c r="G42" s="81" t="s">
        <v>163</v>
      </c>
      <c r="H42" s="20" t="s">
        <v>123</v>
      </c>
      <c r="I42" s="20" t="s">
        <v>124</v>
      </c>
      <c r="J42" s="20" t="s">
        <v>74</v>
      </c>
      <c r="K42" s="20" t="s">
        <v>55</v>
      </c>
      <c r="L42" s="20" t="s">
        <v>56</v>
      </c>
      <c r="M42" s="20" t="s">
        <v>57</v>
      </c>
      <c r="N42" s="20" t="s">
        <v>333</v>
      </c>
      <c r="O42" s="20" t="s">
        <v>1596</v>
      </c>
      <c r="P42" s="20" t="s">
        <v>1238</v>
      </c>
      <c r="Q42" s="20" t="s">
        <v>59</v>
      </c>
      <c r="R42" s="20" t="s">
        <v>333</v>
      </c>
      <c r="S42" s="20" t="s">
        <v>333</v>
      </c>
      <c r="T42" s="20" t="s">
        <v>275</v>
      </c>
      <c r="U42" s="20"/>
      <c r="V42" s="20" t="s">
        <v>344</v>
      </c>
      <c r="W42" s="20" t="s">
        <v>333</v>
      </c>
      <c r="X42" s="20" t="s">
        <v>333</v>
      </c>
      <c r="Y42" s="20" t="s">
        <v>333</v>
      </c>
      <c r="Z42" s="20" t="s">
        <v>333</v>
      </c>
      <c r="AA42" s="20" t="s">
        <v>333</v>
      </c>
      <c r="AB42" s="20" t="s">
        <v>333</v>
      </c>
      <c r="AC42" s="20"/>
      <c r="AD42" s="20" t="s">
        <v>333</v>
      </c>
      <c r="AE42" s="20" t="s">
        <v>333</v>
      </c>
      <c r="AF42" s="20" t="s">
        <v>333</v>
      </c>
      <c r="AG42" s="20" t="s">
        <v>344</v>
      </c>
      <c r="AH42" s="20" t="s">
        <v>344</v>
      </c>
      <c r="AI42" s="20" t="s">
        <v>333</v>
      </c>
      <c r="AJ42" s="20"/>
      <c r="AK42" s="20" t="s">
        <v>347</v>
      </c>
      <c r="AL42" s="20" t="s">
        <v>1245</v>
      </c>
      <c r="AM42" s="20" t="s">
        <v>347</v>
      </c>
      <c r="AN42" s="20" t="s">
        <v>349</v>
      </c>
      <c r="AO42" s="20" t="s">
        <v>179</v>
      </c>
      <c r="AP42" s="20" t="s">
        <v>1596</v>
      </c>
      <c r="AQ42" s="20" t="s">
        <v>1238</v>
      </c>
      <c r="AR42" s="20"/>
      <c r="AS42" s="20"/>
    </row>
    <row r="43">
      <c r="A43" s="20" t="s">
        <v>1940</v>
      </c>
      <c r="B43" s="20" t="s">
        <v>280</v>
      </c>
      <c r="C43" s="20" t="s">
        <v>282</v>
      </c>
      <c r="D43" s="20" t="s">
        <v>283</v>
      </c>
      <c r="E43" s="20" t="s">
        <v>49</v>
      </c>
      <c r="F43" s="29" t="s">
        <v>69</v>
      </c>
      <c r="G43" s="29" t="s">
        <v>69</v>
      </c>
      <c r="H43" s="20" t="s">
        <v>285</v>
      </c>
      <c r="I43" s="20" t="s">
        <v>286</v>
      </c>
      <c r="J43" s="20" t="s">
        <v>74</v>
      </c>
      <c r="K43" s="20" t="s">
        <v>55</v>
      </c>
      <c r="L43" s="20" t="s">
        <v>56</v>
      </c>
      <c r="M43" s="20" t="s">
        <v>57</v>
      </c>
      <c r="N43" s="20" t="s">
        <v>333</v>
      </c>
      <c r="O43" s="20" t="s">
        <v>1586</v>
      </c>
      <c r="P43" s="20" t="s">
        <v>1941</v>
      </c>
      <c r="Q43" s="20" t="s">
        <v>59</v>
      </c>
      <c r="R43" s="20" t="s">
        <v>333</v>
      </c>
      <c r="S43" s="20" t="s">
        <v>333</v>
      </c>
      <c r="T43" s="20" t="s">
        <v>275</v>
      </c>
      <c r="U43" s="20" t="s">
        <v>1942</v>
      </c>
      <c r="V43" s="20" t="s">
        <v>344</v>
      </c>
      <c r="W43" s="20" t="s">
        <v>333</v>
      </c>
      <c r="X43" s="20" t="s">
        <v>333</v>
      </c>
      <c r="Y43" s="20" t="s">
        <v>333</v>
      </c>
      <c r="Z43" s="20" t="s">
        <v>333</v>
      </c>
      <c r="AA43" s="20" t="s">
        <v>333</v>
      </c>
      <c r="AB43" s="20" t="s">
        <v>333</v>
      </c>
      <c r="AC43" s="20"/>
      <c r="AD43" s="20" t="s">
        <v>333</v>
      </c>
      <c r="AE43" s="20" t="s">
        <v>333</v>
      </c>
      <c r="AF43" s="20" t="s">
        <v>333</v>
      </c>
      <c r="AG43" s="20" t="s">
        <v>344</v>
      </c>
      <c r="AH43" s="20" t="s">
        <v>344</v>
      </c>
      <c r="AI43" s="20" t="s">
        <v>333</v>
      </c>
      <c r="AJ43" s="20"/>
      <c r="AK43" s="20" t="s">
        <v>1244</v>
      </c>
      <c r="AL43" s="20" t="s">
        <v>1245</v>
      </c>
      <c r="AM43" s="20" t="s">
        <v>1244</v>
      </c>
      <c r="AN43" s="20" t="s">
        <v>349</v>
      </c>
      <c r="AO43" s="20" t="s">
        <v>933</v>
      </c>
      <c r="AP43" s="20" t="s">
        <v>1586</v>
      </c>
      <c r="AQ43" s="20" t="s">
        <v>1941</v>
      </c>
      <c r="AR43" s="20"/>
      <c r="AS43" s="20"/>
    </row>
    <row r="44">
      <c r="A44" s="20" t="s">
        <v>1947</v>
      </c>
      <c r="B44" s="20" t="s">
        <v>307</v>
      </c>
      <c r="C44" s="20" t="s">
        <v>308</v>
      </c>
      <c r="D44" s="20" t="s">
        <v>311</v>
      </c>
      <c r="E44" s="20" t="s">
        <v>49</v>
      </c>
      <c r="F44" s="20" t="s">
        <v>1948</v>
      </c>
      <c r="G44" s="29" t="s">
        <v>69</v>
      </c>
      <c r="H44" s="20" t="s">
        <v>314</v>
      </c>
      <c r="I44" s="20" t="s">
        <v>315</v>
      </c>
      <c r="J44" s="20" t="s">
        <v>74</v>
      </c>
      <c r="K44" s="20" t="s">
        <v>55</v>
      </c>
      <c r="L44" s="20" t="s">
        <v>56</v>
      </c>
      <c r="M44" s="20" t="s">
        <v>57</v>
      </c>
      <c r="N44" s="20" t="s">
        <v>333</v>
      </c>
      <c r="O44" s="20" t="s">
        <v>1920</v>
      </c>
      <c r="P44" s="20" t="s">
        <v>1586</v>
      </c>
      <c r="Q44" s="20" t="s">
        <v>59</v>
      </c>
      <c r="R44" s="20" t="s">
        <v>333</v>
      </c>
      <c r="S44" s="20" t="s">
        <v>333</v>
      </c>
      <c r="T44" s="20" t="s">
        <v>275</v>
      </c>
      <c r="U44" s="20" t="s">
        <v>1950</v>
      </c>
      <c r="V44" s="20" t="s">
        <v>344</v>
      </c>
      <c r="W44" s="20" t="s">
        <v>333</v>
      </c>
      <c r="X44" s="20" t="s">
        <v>333</v>
      </c>
      <c r="Y44" s="20" t="s">
        <v>333</v>
      </c>
      <c r="Z44" s="20" t="s">
        <v>333</v>
      </c>
      <c r="AA44" s="20" t="s">
        <v>333</v>
      </c>
      <c r="AB44" s="20" t="s">
        <v>333</v>
      </c>
      <c r="AC44" s="20"/>
      <c r="AD44" s="20" t="s">
        <v>333</v>
      </c>
      <c r="AE44" s="20" t="s">
        <v>333</v>
      </c>
      <c r="AF44" s="20" t="s">
        <v>333</v>
      </c>
      <c r="AG44" s="20" t="s">
        <v>344</v>
      </c>
      <c r="AH44" s="20" t="s">
        <v>344</v>
      </c>
      <c r="AI44" s="20" t="s">
        <v>333</v>
      </c>
      <c r="AJ44" s="20"/>
      <c r="AK44" s="20" t="s">
        <v>1244</v>
      </c>
      <c r="AL44" s="20" t="s">
        <v>1245</v>
      </c>
      <c r="AM44" s="20" t="s">
        <v>1244</v>
      </c>
      <c r="AN44" s="20" t="s">
        <v>349</v>
      </c>
      <c r="AO44" s="20" t="s">
        <v>950</v>
      </c>
      <c r="AP44" s="20" t="s">
        <v>1920</v>
      </c>
      <c r="AQ44" s="20" t="s">
        <v>1586</v>
      </c>
      <c r="AR44" s="29" t="s">
        <v>1951</v>
      </c>
      <c r="AS44" s="20"/>
    </row>
    <row r="45">
      <c r="A45" s="20" t="s">
        <v>1952</v>
      </c>
      <c r="B45" s="20" t="s">
        <v>276</v>
      </c>
      <c r="C45" s="20" t="s">
        <v>277</v>
      </c>
      <c r="D45" s="20" t="s">
        <v>278</v>
      </c>
      <c r="E45" s="20" t="s">
        <v>49</v>
      </c>
      <c r="F45" s="80" t="s">
        <v>1953</v>
      </c>
      <c r="G45" s="29" t="s">
        <v>69</v>
      </c>
      <c r="H45" s="20" t="s">
        <v>75</v>
      </c>
      <c r="I45" s="20" t="s">
        <v>76</v>
      </c>
      <c r="J45" s="20" t="s">
        <v>76</v>
      </c>
      <c r="K45" s="20" t="s">
        <v>55</v>
      </c>
      <c r="L45" s="20" t="s">
        <v>56</v>
      </c>
      <c r="M45" s="20" t="s">
        <v>57</v>
      </c>
      <c r="N45" s="20" t="s">
        <v>333</v>
      </c>
      <c r="O45" s="20" t="s">
        <v>1720</v>
      </c>
      <c r="P45" s="20" t="s">
        <v>1955</v>
      </c>
      <c r="Q45" s="20" t="s">
        <v>59</v>
      </c>
      <c r="R45" s="20" t="s">
        <v>333</v>
      </c>
      <c r="S45" s="20" t="s">
        <v>333</v>
      </c>
      <c r="T45" s="20" t="s">
        <v>1956</v>
      </c>
      <c r="U45" s="20" t="s">
        <v>1956</v>
      </c>
      <c r="V45" s="20" t="s">
        <v>344</v>
      </c>
      <c r="W45" s="20" t="s">
        <v>333</v>
      </c>
      <c r="X45" s="20" t="s">
        <v>333</v>
      </c>
      <c r="Y45" s="20" t="s">
        <v>333</v>
      </c>
      <c r="Z45" s="20" t="s">
        <v>333</v>
      </c>
      <c r="AA45" s="20" t="s">
        <v>333</v>
      </c>
      <c r="AB45" s="20" t="s">
        <v>333</v>
      </c>
      <c r="AC45" s="20"/>
      <c r="AD45" s="20" t="s">
        <v>333</v>
      </c>
      <c r="AE45" s="20" t="s">
        <v>333</v>
      </c>
      <c r="AF45" s="20" t="s">
        <v>333</v>
      </c>
      <c r="AG45" s="20" t="s">
        <v>344</v>
      </c>
      <c r="AH45" s="20" t="s">
        <v>344</v>
      </c>
      <c r="AI45" s="20" t="s">
        <v>333</v>
      </c>
      <c r="AJ45" s="20"/>
      <c r="AK45" s="20" t="s">
        <v>1587</v>
      </c>
      <c r="AL45" s="20" t="s">
        <v>348</v>
      </c>
      <c r="AM45" s="20" t="s">
        <v>1587</v>
      </c>
      <c r="AN45" s="20" t="s">
        <v>349</v>
      </c>
      <c r="AO45" s="20"/>
      <c r="AP45" s="20" t="s">
        <v>1720</v>
      </c>
      <c r="AQ45" s="20" t="s">
        <v>1955</v>
      </c>
      <c r="AR45" s="20"/>
      <c r="AS45" s="20"/>
    </row>
    <row r="46">
      <c r="A46" s="20" t="s">
        <v>1957</v>
      </c>
      <c r="B46" s="20" t="s">
        <v>358</v>
      </c>
      <c r="C46" s="20" t="s">
        <v>359</v>
      </c>
      <c r="D46" s="29" t="s">
        <v>1960</v>
      </c>
      <c r="E46" s="20" t="s">
        <v>49</v>
      </c>
      <c r="F46" s="80" t="s">
        <v>1962</v>
      </c>
      <c r="G46" s="81" t="s">
        <v>1964</v>
      </c>
      <c r="H46" s="20" t="s">
        <v>361</v>
      </c>
      <c r="I46" s="20" t="s">
        <v>362</v>
      </c>
      <c r="J46" s="20" t="s">
        <v>74</v>
      </c>
      <c r="K46" s="20" t="s">
        <v>55</v>
      </c>
      <c r="L46" s="20" t="s">
        <v>56</v>
      </c>
      <c r="M46" s="20" t="s">
        <v>57</v>
      </c>
      <c r="N46" s="20" t="s">
        <v>333</v>
      </c>
      <c r="O46" s="20" t="s">
        <v>1581</v>
      </c>
      <c r="P46" s="20"/>
      <c r="Q46" s="20" t="s">
        <v>59</v>
      </c>
      <c r="R46" s="20" t="s">
        <v>333</v>
      </c>
      <c r="S46" s="20" t="s">
        <v>333</v>
      </c>
      <c r="T46" s="20"/>
      <c r="U46" s="20"/>
      <c r="V46" s="20" t="s">
        <v>344</v>
      </c>
      <c r="W46" s="20" t="s">
        <v>333</v>
      </c>
      <c r="X46" s="20" t="s">
        <v>333</v>
      </c>
      <c r="Y46" s="20" t="s">
        <v>333</v>
      </c>
      <c r="Z46" s="20" t="s">
        <v>333</v>
      </c>
      <c r="AA46" s="20" t="s">
        <v>333</v>
      </c>
      <c r="AB46" s="20" t="s">
        <v>333</v>
      </c>
      <c r="AC46" s="20"/>
      <c r="AD46" s="20" t="s">
        <v>333</v>
      </c>
      <c r="AE46" s="20" t="s">
        <v>333</v>
      </c>
      <c r="AF46" s="20" t="s">
        <v>333</v>
      </c>
      <c r="AG46" s="20" t="s">
        <v>344</v>
      </c>
      <c r="AH46" s="20" t="s">
        <v>344</v>
      </c>
      <c r="AI46" s="20" t="s">
        <v>333</v>
      </c>
      <c r="AJ46" s="20"/>
      <c r="AK46" s="20" t="s">
        <v>347</v>
      </c>
      <c r="AL46" s="20" t="s">
        <v>1261</v>
      </c>
      <c r="AM46" s="20" t="s">
        <v>347</v>
      </c>
      <c r="AN46" s="20" t="s">
        <v>349</v>
      </c>
      <c r="AO46" s="20"/>
      <c r="AP46" s="20" t="s">
        <v>1581</v>
      </c>
      <c r="AQ46" s="20" t="s">
        <v>349</v>
      </c>
      <c r="AR46" s="20"/>
      <c r="AS46" s="20"/>
    </row>
    <row r="47">
      <c r="A47" s="20" t="s">
        <v>1970</v>
      </c>
      <c r="B47" s="20" t="s">
        <v>371</v>
      </c>
      <c r="C47" s="20" t="s">
        <v>372</v>
      </c>
      <c r="D47" s="20" t="s">
        <v>373</v>
      </c>
      <c r="E47" s="20" t="s">
        <v>49</v>
      </c>
      <c r="F47" s="80" t="s">
        <v>1973</v>
      </c>
      <c r="G47" s="29" t="s">
        <v>69</v>
      </c>
      <c r="H47" s="20" t="s">
        <v>123</v>
      </c>
      <c r="I47" s="20" t="s">
        <v>124</v>
      </c>
      <c r="J47" s="20" t="s">
        <v>74</v>
      </c>
      <c r="K47" s="20" t="s">
        <v>55</v>
      </c>
      <c r="L47" s="20" t="s">
        <v>56</v>
      </c>
      <c r="M47" s="20" t="s">
        <v>57</v>
      </c>
      <c r="N47" s="20" t="s">
        <v>333</v>
      </c>
      <c r="O47" s="20" t="s">
        <v>1720</v>
      </c>
      <c r="P47" s="20" t="s">
        <v>1581</v>
      </c>
      <c r="Q47" s="20" t="s">
        <v>59</v>
      </c>
      <c r="R47" s="20" t="s">
        <v>333</v>
      </c>
      <c r="S47" s="20" t="s">
        <v>333</v>
      </c>
      <c r="T47" s="20" t="s">
        <v>1974</v>
      </c>
      <c r="U47" s="20" t="s">
        <v>1975</v>
      </c>
      <c r="V47" s="20" t="s">
        <v>344</v>
      </c>
      <c r="W47" s="20" t="s">
        <v>333</v>
      </c>
      <c r="X47" s="20" t="s">
        <v>333</v>
      </c>
      <c r="Y47" s="20" t="s">
        <v>333</v>
      </c>
      <c r="Z47" s="20" t="s">
        <v>333</v>
      </c>
      <c r="AA47" s="20" t="s">
        <v>333</v>
      </c>
      <c r="AB47" s="20" t="s">
        <v>333</v>
      </c>
      <c r="AC47" s="20"/>
      <c r="AD47" s="20" t="s">
        <v>333</v>
      </c>
      <c r="AE47" s="20" t="s">
        <v>333</v>
      </c>
      <c r="AF47" s="20" t="s">
        <v>333</v>
      </c>
      <c r="AG47" s="20" t="s">
        <v>344</v>
      </c>
      <c r="AH47" s="20" t="s">
        <v>344</v>
      </c>
      <c r="AI47" s="20" t="s">
        <v>333</v>
      </c>
      <c r="AJ47" s="20"/>
      <c r="AK47" s="20" t="s">
        <v>1595</v>
      </c>
      <c r="AL47" s="20" t="s">
        <v>1581</v>
      </c>
      <c r="AM47" s="20" t="s">
        <v>1595</v>
      </c>
      <c r="AN47" s="20" t="s">
        <v>349</v>
      </c>
      <c r="AO47" s="20" t="s">
        <v>1980</v>
      </c>
      <c r="AP47" s="20" t="s">
        <v>1720</v>
      </c>
      <c r="AQ47" s="20" t="s">
        <v>1581</v>
      </c>
      <c r="AR47" s="20"/>
      <c r="AS47" s="20"/>
    </row>
    <row r="48">
      <c r="A48" s="20" t="s">
        <v>1981</v>
      </c>
      <c r="B48" s="20" t="s">
        <v>411</v>
      </c>
      <c r="C48" s="20" t="s">
        <v>412</v>
      </c>
      <c r="D48" s="29" t="s">
        <v>413</v>
      </c>
      <c r="E48" s="20" t="s">
        <v>49</v>
      </c>
      <c r="F48" s="80" t="s">
        <v>1983</v>
      </c>
      <c r="G48" s="20" t="s">
        <v>1986</v>
      </c>
      <c r="H48" s="20" t="s">
        <v>415</v>
      </c>
      <c r="I48" s="20" t="s">
        <v>416</v>
      </c>
      <c r="J48" s="20" t="s">
        <v>74</v>
      </c>
      <c r="K48" s="20" t="s">
        <v>55</v>
      </c>
      <c r="L48" s="20" t="s">
        <v>56</v>
      </c>
      <c r="M48" s="20" t="s">
        <v>57</v>
      </c>
      <c r="N48" s="20" t="s">
        <v>333</v>
      </c>
      <c r="O48" s="20" t="s">
        <v>1920</v>
      </c>
      <c r="P48" s="20" t="s">
        <v>1920</v>
      </c>
      <c r="Q48" s="20" t="s">
        <v>59</v>
      </c>
      <c r="R48" s="20" t="s">
        <v>333</v>
      </c>
      <c r="S48" s="20" t="s">
        <v>333</v>
      </c>
      <c r="T48" s="20"/>
      <c r="U48" s="20"/>
      <c r="V48" s="20" t="s">
        <v>344</v>
      </c>
      <c r="W48" s="20" t="s">
        <v>333</v>
      </c>
      <c r="X48" s="20" t="s">
        <v>333</v>
      </c>
      <c r="Y48" s="20" t="s">
        <v>333</v>
      </c>
      <c r="Z48" s="20" t="s">
        <v>333</v>
      </c>
      <c r="AA48" s="20" t="s">
        <v>333</v>
      </c>
      <c r="AB48" s="20" t="s">
        <v>333</v>
      </c>
      <c r="AC48" s="20"/>
      <c r="AD48" s="20" t="s">
        <v>333</v>
      </c>
      <c r="AE48" s="20" t="s">
        <v>333</v>
      </c>
      <c r="AF48" s="20" t="s">
        <v>333</v>
      </c>
      <c r="AG48" s="20" t="s">
        <v>344</v>
      </c>
      <c r="AH48" s="20" t="s">
        <v>344</v>
      </c>
      <c r="AI48" s="20" t="s">
        <v>333</v>
      </c>
      <c r="AJ48" s="20"/>
      <c r="AK48" s="20" t="s">
        <v>1260</v>
      </c>
      <c r="AL48" s="20" t="s">
        <v>1245</v>
      </c>
      <c r="AM48" s="20" t="s">
        <v>1260</v>
      </c>
      <c r="AN48" s="20" t="s">
        <v>349</v>
      </c>
      <c r="AO48" s="20"/>
      <c r="AP48" s="20" t="s">
        <v>1920</v>
      </c>
      <c r="AQ48" s="20" t="s">
        <v>1920</v>
      </c>
      <c r="AR48" s="20"/>
      <c r="AS48" s="20"/>
    </row>
    <row r="49">
      <c r="A49" s="20" t="s">
        <v>1989</v>
      </c>
      <c r="B49" s="20" t="s">
        <v>444</v>
      </c>
      <c r="C49" s="20" t="s">
        <v>445</v>
      </c>
      <c r="D49" s="20" t="s">
        <v>446</v>
      </c>
      <c r="E49" s="20" t="s">
        <v>49</v>
      </c>
      <c r="F49" s="80" t="s">
        <v>1993</v>
      </c>
      <c r="G49" s="82" t="s">
        <v>448</v>
      </c>
      <c r="H49" s="20" t="s">
        <v>449</v>
      </c>
      <c r="I49" s="20" t="s">
        <v>450</v>
      </c>
      <c r="J49" s="20" t="s">
        <v>74</v>
      </c>
      <c r="K49" s="20" t="s">
        <v>55</v>
      </c>
      <c r="L49" s="20" t="s">
        <v>56</v>
      </c>
      <c r="M49" s="20" t="s">
        <v>57</v>
      </c>
      <c r="N49" s="20" t="s">
        <v>333</v>
      </c>
      <c r="O49" s="20" t="s">
        <v>1586</v>
      </c>
      <c r="P49" s="20" t="s">
        <v>348</v>
      </c>
      <c r="Q49" s="20" t="s">
        <v>59</v>
      </c>
      <c r="R49" s="20" t="s">
        <v>333</v>
      </c>
      <c r="S49" s="20" t="s">
        <v>333</v>
      </c>
      <c r="T49" s="20" t="s">
        <v>1995</v>
      </c>
      <c r="U49" s="20"/>
      <c r="V49" s="20" t="s">
        <v>344</v>
      </c>
      <c r="W49" s="20" t="s">
        <v>333</v>
      </c>
      <c r="X49" s="20" t="s">
        <v>333</v>
      </c>
      <c r="Y49" s="20" t="s">
        <v>333</v>
      </c>
      <c r="Z49" s="20" t="s">
        <v>333</v>
      </c>
      <c r="AA49" s="20" t="s">
        <v>333</v>
      </c>
      <c r="AB49" s="20" t="s">
        <v>333</v>
      </c>
      <c r="AC49" s="20"/>
      <c r="AD49" s="20" t="s">
        <v>333</v>
      </c>
      <c r="AE49" s="20" t="s">
        <v>333</v>
      </c>
      <c r="AF49" s="20" t="s">
        <v>333</v>
      </c>
      <c r="AG49" s="20" t="s">
        <v>344</v>
      </c>
      <c r="AH49" s="20" t="s">
        <v>344</v>
      </c>
      <c r="AI49" s="20" t="s">
        <v>333</v>
      </c>
      <c r="AJ49" s="20"/>
      <c r="AK49" s="20" t="s">
        <v>347</v>
      </c>
      <c r="AL49" s="20" t="s">
        <v>348</v>
      </c>
      <c r="AM49" s="20" t="s">
        <v>347</v>
      </c>
      <c r="AN49" s="20" t="s">
        <v>349</v>
      </c>
      <c r="AO49" s="20"/>
      <c r="AP49" s="20" t="s">
        <v>1586</v>
      </c>
      <c r="AQ49" s="20" t="s">
        <v>348</v>
      </c>
      <c r="AR49" s="20"/>
      <c r="AS49" s="20"/>
    </row>
    <row r="50">
      <c r="A50" s="20" t="s">
        <v>1996</v>
      </c>
      <c r="B50" s="20" t="s">
        <v>64</v>
      </c>
      <c r="C50" s="20" t="s">
        <v>66</v>
      </c>
      <c r="D50" s="20" t="s">
        <v>67</v>
      </c>
      <c r="E50" s="20" t="s">
        <v>49</v>
      </c>
      <c r="F50" s="29" t="s">
        <v>69</v>
      </c>
      <c r="G50" s="29" t="s">
        <v>69</v>
      </c>
      <c r="H50" s="20" t="s">
        <v>72</v>
      </c>
      <c r="I50" s="20" t="s">
        <v>73</v>
      </c>
      <c r="J50" s="20" t="s">
        <v>74</v>
      </c>
      <c r="K50" s="20" t="s">
        <v>55</v>
      </c>
      <c r="L50" s="20" t="s">
        <v>56</v>
      </c>
      <c r="M50" s="20" t="s">
        <v>57</v>
      </c>
      <c r="N50" s="20" t="s">
        <v>333</v>
      </c>
      <c r="O50" s="20" t="s">
        <v>1998</v>
      </c>
      <c r="P50" s="20" t="s">
        <v>1998</v>
      </c>
      <c r="Q50" s="20" t="s">
        <v>59</v>
      </c>
      <c r="R50" s="20" t="s">
        <v>333</v>
      </c>
      <c r="S50" s="20" t="s">
        <v>333</v>
      </c>
      <c r="T50" s="20"/>
      <c r="U50" s="20"/>
      <c r="V50" s="20" t="s">
        <v>344</v>
      </c>
      <c r="W50" s="20" t="s">
        <v>333</v>
      </c>
      <c r="X50" s="20" t="s">
        <v>333</v>
      </c>
      <c r="Y50" s="20" t="s">
        <v>333</v>
      </c>
      <c r="Z50" s="20" t="s">
        <v>333</v>
      </c>
      <c r="AA50" s="20" t="s">
        <v>333</v>
      </c>
      <c r="AB50" s="20" t="s">
        <v>333</v>
      </c>
      <c r="AC50" s="20"/>
      <c r="AD50" s="20" t="s">
        <v>333</v>
      </c>
      <c r="AE50" s="20" t="s">
        <v>333</v>
      </c>
      <c r="AF50" s="20" t="s">
        <v>333</v>
      </c>
      <c r="AG50" s="20" t="s">
        <v>344</v>
      </c>
      <c r="AH50" s="20" t="s">
        <v>344</v>
      </c>
      <c r="AI50" s="20" t="s">
        <v>333</v>
      </c>
      <c r="AJ50" s="20"/>
      <c r="AK50" s="20" t="s">
        <v>347</v>
      </c>
      <c r="AL50" s="20" t="s">
        <v>1586</v>
      </c>
      <c r="AM50" s="20" t="s">
        <v>347</v>
      </c>
      <c r="AN50" s="20" t="s">
        <v>349</v>
      </c>
      <c r="AO50" s="20"/>
      <c r="AP50" s="20" t="s">
        <v>1998</v>
      </c>
      <c r="AQ50" s="20" t="s">
        <v>1998</v>
      </c>
      <c r="AR50" s="20"/>
      <c r="AS50" s="20"/>
    </row>
    <row r="51">
      <c r="A51" s="20" t="s">
        <v>2001</v>
      </c>
      <c r="B51" s="20" t="s">
        <v>456</v>
      </c>
      <c r="C51" s="20" t="s">
        <v>457</v>
      </c>
      <c r="D51" s="20" t="s">
        <v>458</v>
      </c>
      <c r="E51" s="20" t="s">
        <v>49</v>
      </c>
      <c r="F51" s="80" t="s">
        <v>2002</v>
      </c>
      <c r="G51" s="82">
        <v>8.448571725E9</v>
      </c>
      <c r="H51" s="20" t="s">
        <v>123</v>
      </c>
      <c r="I51" s="20" t="s">
        <v>124</v>
      </c>
      <c r="J51" s="20" t="s">
        <v>74</v>
      </c>
      <c r="K51" s="20" t="s">
        <v>55</v>
      </c>
      <c r="L51" s="20" t="s">
        <v>56</v>
      </c>
      <c r="M51" s="20" t="s">
        <v>57</v>
      </c>
      <c r="N51" s="20" t="s">
        <v>333</v>
      </c>
      <c r="O51" s="20" t="s">
        <v>1559</v>
      </c>
      <c r="P51" s="20" t="s">
        <v>1559</v>
      </c>
      <c r="Q51" s="20" t="s">
        <v>59</v>
      </c>
      <c r="R51" s="20" t="s">
        <v>333</v>
      </c>
      <c r="S51" s="20" t="s">
        <v>344</v>
      </c>
      <c r="T51" s="20" t="s">
        <v>1052</v>
      </c>
      <c r="U51" s="20" t="s">
        <v>1453</v>
      </c>
      <c r="V51" s="20" t="s">
        <v>344</v>
      </c>
      <c r="W51" s="20" t="s">
        <v>333</v>
      </c>
      <c r="X51" s="20" t="s">
        <v>333</v>
      </c>
      <c r="Y51" s="20" t="s">
        <v>333</v>
      </c>
      <c r="Z51" s="20" t="s">
        <v>333</v>
      </c>
      <c r="AA51" s="20" t="s">
        <v>333</v>
      </c>
      <c r="AB51" s="20" t="s">
        <v>333</v>
      </c>
      <c r="AC51" s="20"/>
      <c r="AD51" s="20" t="s">
        <v>333</v>
      </c>
      <c r="AE51" s="20" t="s">
        <v>333</v>
      </c>
      <c r="AF51" s="20" t="s">
        <v>333</v>
      </c>
      <c r="AG51" s="20" t="s">
        <v>344</v>
      </c>
      <c r="AH51" s="20" t="s">
        <v>344</v>
      </c>
      <c r="AI51" s="20" t="s">
        <v>333</v>
      </c>
      <c r="AJ51" s="20"/>
      <c r="AK51" s="20" t="s">
        <v>347</v>
      </c>
      <c r="AL51" s="20" t="s">
        <v>1556</v>
      </c>
      <c r="AM51" s="20" t="s">
        <v>347</v>
      </c>
      <c r="AN51" s="20" t="s">
        <v>349</v>
      </c>
      <c r="AO51" s="20"/>
      <c r="AP51" s="20" t="s">
        <v>1559</v>
      </c>
      <c r="AQ51" s="20" t="s">
        <v>1559</v>
      </c>
      <c r="AR51" s="20"/>
      <c r="AS51" s="20"/>
    </row>
    <row r="52">
      <c r="A52" s="20" t="s">
        <v>2004</v>
      </c>
      <c r="B52" s="20" t="s">
        <v>467</v>
      </c>
      <c r="C52" s="20" t="s">
        <v>468</v>
      </c>
      <c r="D52" s="20" t="s">
        <v>469</v>
      </c>
      <c r="E52" s="20" t="s">
        <v>49</v>
      </c>
      <c r="F52" s="29" t="s">
        <v>69</v>
      </c>
      <c r="G52" s="29" t="s">
        <v>69</v>
      </c>
      <c r="H52" s="20" t="s">
        <v>472</v>
      </c>
      <c r="I52" s="20" t="s">
        <v>473</v>
      </c>
      <c r="J52" s="20" t="s">
        <v>74</v>
      </c>
      <c r="K52" s="20" t="s">
        <v>55</v>
      </c>
      <c r="L52" s="20" t="s">
        <v>56</v>
      </c>
      <c r="M52" s="20" t="s">
        <v>57</v>
      </c>
      <c r="N52" s="20" t="s">
        <v>333</v>
      </c>
      <c r="O52" s="20" t="s">
        <v>2005</v>
      </c>
      <c r="P52" s="20" t="s">
        <v>2006</v>
      </c>
      <c r="Q52" s="20" t="s">
        <v>59</v>
      </c>
      <c r="R52" s="20" t="s">
        <v>333</v>
      </c>
      <c r="S52" s="20" t="s">
        <v>333</v>
      </c>
      <c r="T52" s="20" t="s">
        <v>275</v>
      </c>
      <c r="U52" s="20"/>
      <c r="V52" s="20" t="s">
        <v>344</v>
      </c>
      <c r="W52" s="20" t="s">
        <v>333</v>
      </c>
      <c r="X52" s="20" t="s">
        <v>333</v>
      </c>
      <c r="Y52" s="20" t="s">
        <v>333</v>
      </c>
      <c r="Z52" s="20" t="s">
        <v>333</v>
      </c>
      <c r="AA52" s="20" t="s">
        <v>333</v>
      </c>
      <c r="AB52" s="20" t="s">
        <v>333</v>
      </c>
      <c r="AC52" s="20"/>
      <c r="AD52" s="20" t="s">
        <v>333</v>
      </c>
      <c r="AE52" s="20" t="s">
        <v>333</v>
      </c>
      <c r="AF52" s="20" t="s">
        <v>333</v>
      </c>
      <c r="AG52" s="20" t="s">
        <v>344</v>
      </c>
      <c r="AH52" s="20" t="s">
        <v>344</v>
      </c>
      <c r="AI52" s="20" t="s">
        <v>333</v>
      </c>
      <c r="AJ52" s="20"/>
      <c r="AK52" s="20" t="s">
        <v>1940</v>
      </c>
      <c r="AL52" s="20" t="s">
        <v>1682</v>
      </c>
      <c r="AM52" s="20" t="s">
        <v>1940</v>
      </c>
      <c r="AN52" s="20" t="s">
        <v>349</v>
      </c>
      <c r="AO52" s="20" t="s">
        <v>2010</v>
      </c>
      <c r="AP52" s="20" t="s">
        <v>2005</v>
      </c>
      <c r="AQ52" s="20" t="s">
        <v>2006</v>
      </c>
      <c r="AR52" s="20"/>
      <c r="AS52" s="20"/>
    </row>
    <row r="53">
      <c r="A53" s="20" t="s">
        <v>2011</v>
      </c>
      <c r="B53" s="20" t="s">
        <v>475</v>
      </c>
      <c r="C53" s="20" t="s">
        <v>476</v>
      </c>
      <c r="D53" s="20" t="s">
        <v>477</v>
      </c>
      <c r="E53" s="20" t="s">
        <v>49</v>
      </c>
      <c r="F53" s="29" t="s">
        <v>69</v>
      </c>
      <c r="G53" s="29" t="s">
        <v>69</v>
      </c>
      <c r="H53" s="20" t="s">
        <v>123</v>
      </c>
      <c r="I53" s="20" t="s">
        <v>124</v>
      </c>
      <c r="J53" s="20" t="s">
        <v>74</v>
      </c>
      <c r="K53" s="20" t="s">
        <v>55</v>
      </c>
      <c r="L53" s="20" t="s">
        <v>56</v>
      </c>
      <c r="M53" s="20" t="s">
        <v>57</v>
      </c>
      <c r="N53" s="20" t="s">
        <v>333</v>
      </c>
      <c r="O53" s="20" t="s">
        <v>1256</v>
      </c>
      <c r="P53" s="20" t="s">
        <v>1591</v>
      </c>
      <c r="Q53" s="20" t="s">
        <v>59</v>
      </c>
      <c r="R53" s="20" t="s">
        <v>333</v>
      </c>
      <c r="S53" s="20" t="s">
        <v>333</v>
      </c>
      <c r="T53" s="20" t="s">
        <v>485</v>
      </c>
      <c r="U53" s="20" t="s">
        <v>2012</v>
      </c>
      <c r="V53" s="20" t="s">
        <v>344</v>
      </c>
      <c r="W53" s="20" t="s">
        <v>333</v>
      </c>
      <c r="X53" s="20" t="s">
        <v>333</v>
      </c>
      <c r="Y53" s="20" t="s">
        <v>333</v>
      </c>
      <c r="Z53" s="20" t="s">
        <v>333</v>
      </c>
      <c r="AA53" s="20" t="s">
        <v>333</v>
      </c>
      <c r="AB53" s="20" t="s">
        <v>333</v>
      </c>
      <c r="AC53" s="20"/>
      <c r="AD53" s="20" t="s">
        <v>333</v>
      </c>
      <c r="AE53" s="20" t="s">
        <v>333</v>
      </c>
      <c r="AF53" s="20" t="s">
        <v>333</v>
      </c>
      <c r="AG53" s="20" t="s">
        <v>344</v>
      </c>
      <c r="AH53" s="20" t="s">
        <v>344</v>
      </c>
      <c r="AI53" s="20" t="s">
        <v>333</v>
      </c>
      <c r="AJ53" s="20"/>
      <c r="AK53" s="20" t="s">
        <v>1581</v>
      </c>
      <c r="AL53" s="20" t="s">
        <v>1245</v>
      </c>
      <c r="AM53" s="20" t="s">
        <v>1581</v>
      </c>
      <c r="AN53" s="20" t="s">
        <v>349</v>
      </c>
      <c r="AO53" s="20"/>
      <c r="AP53" s="20" t="s">
        <v>1256</v>
      </c>
      <c r="AQ53" s="20" t="s">
        <v>1591</v>
      </c>
      <c r="AR53" s="20"/>
      <c r="AS53" s="20"/>
    </row>
    <row r="54">
      <c r="A54" s="20" t="s">
        <v>2016</v>
      </c>
      <c r="B54" s="20" t="s">
        <v>488</v>
      </c>
      <c r="C54" s="20" t="s">
        <v>489</v>
      </c>
      <c r="D54" s="20" t="s">
        <v>490</v>
      </c>
      <c r="E54" s="20" t="s">
        <v>49</v>
      </c>
      <c r="F54" s="80" t="s">
        <v>2017</v>
      </c>
      <c r="G54" s="80" t="s">
        <v>2017</v>
      </c>
      <c r="H54" s="20" t="s">
        <v>123</v>
      </c>
      <c r="I54" s="20" t="s">
        <v>124</v>
      </c>
      <c r="J54" s="20" t="s">
        <v>74</v>
      </c>
      <c r="K54" s="20" t="s">
        <v>55</v>
      </c>
      <c r="L54" s="20" t="s">
        <v>56</v>
      </c>
      <c r="M54" s="20" t="s">
        <v>57</v>
      </c>
      <c r="N54" s="20" t="s">
        <v>333</v>
      </c>
      <c r="O54" s="20" t="s">
        <v>1586</v>
      </c>
      <c r="P54" s="20" t="s">
        <v>1941</v>
      </c>
      <c r="Q54" s="20" t="s">
        <v>59</v>
      </c>
      <c r="R54" s="20" t="s">
        <v>333</v>
      </c>
      <c r="S54" s="20" t="s">
        <v>333</v>
      </c>
      <c r="T54" s="20" t="s">
        <v>492</v>
      </c>
      <c r="U54" s="20"/>
      <c r="V54" s="20" t="s">
        <v>344</v>
      </c>
      <c r="W54" s="20" t="s">
        <v>333</v>
      </c>
      <c r="X54" s="20" t="s">
        <v>333</v>
      </c>
      <c r="Y54" s="20" t="s">
        <v>333</v>
      </c>
      <c r="Z54" s="20" t="s">
        <v>333</v>
      </c>
      <c r="AA54" s="20" t="s">
        <v>333</v>
      </c>
      <c r="AB54" s="20" t="s">
        <v>333</v>
      </c>
      <c r="AC54" s="20"/>
      <c r="AD54" s="20" t="s">
        <v>333</v>
      </c>
      <c r="AE54" s="20" t="s">
        <v>333</v>
      </c>
      <c r="AF54" s="20" t="s">
        <v>333</v>
      </c>
      <c r="AG54" s="20" t="s">
        <v>344</v>
      </c>
      <c r="AH54" s="20" t="s">
        <v>344</v>
      </c>
      <c r="AI54" s="20" t="s">
        <v>333</v>
      </c>
      <c r="AJ54" s="20"/>
      <c r="AK54" s="20" t="s">
        <v>1244</v>
      </c>
      <c r="AL54" s="20" t="s">
        <v>2019</v>
      </c>
      <c r="AM54" s="20" t="s">
        <v>1244</v>
      </c>
      <c r="AN54" s="20" t="s">
        <v>349</v>
      </c>
      <c r="AO54" s="20"/>
      <c r="AP54" s="20" t="s">
        <v>1586</v>
      </c>
      <c r="AQ54" s="20" t="s">
        <v>1941</v>
      </c>
      <c r="AR54" s="20"/>
      <c r="AS54" s="20"/>
    </row>
    <row r="55">
      <c r="A55" s="20" t="s">
        <v>2021</v>
      </c>
      <c r="B55" s="20" t="s">
        <v>248</v>
      </c>
      <c r="C55" s="20" t="s">
        <v>249</v>
      </c>
      <c r="D55" s="29" t="s">
        <v>502</v>
      </c>
      <c r="E55" s="20" t="s">
        <v>49</v>
      </c>
      <c r="F55" s="80" t="s">
        <v>2022</v>
      </c>
      <c r="G55" s="20" t="s">
        <v>503</v>
      </c>
      <c r="H55" s="20" t="s">
        <v>253</v>
      </c>
      <c r="I55" s="20" t="s">
        <v>254</v>
      </c>
      <c r="J55" s="20" t="s">
        <v>254</v>
      </c>
      <c r="K55" s="20" t="s">
        <v>55</v>
      </c>
      <c r="L55" s="20" t="s">
        <v>56</v>
      </c>
      <c r="M55" s="20" t="s">
        <v>57</v>
      </c>
      <c r="N55" s="20" t="s">
        <v>333</v>
      </c>
      <c r="O55" s="20" t="s">
        <v>1559</v>
      </c>
      <c r="P55" s="20"/>
      <c r="Q55" s="20" t="s">
        <v>59</v>
      </c>
      <c r="R55" s="20" t="s">
        <v>333</v>
      </c>
      <c r="S55" s="20" t="s">
        <v>333</v>
      </c>
      <c r="T55" s="20"/>
      <c r="U55" s="20"/>
      <c r="V55" s="20" t="s">
        <v>344</v>
      </c>
      <c r="W55" s="20" t="s">
        <v>333</v>
      </c>
      <c r="X55" s="20" t="s">
        <v>333</v>
      </c>
      <c r="Y55" s="20" t="s">
        <v>333</v>
      </c>
      <c r="Z55" s="20" t="s">
        <v>333</v>
      </c>
      <c r="AA55" s="20" t="s">
        <v>333</v>
      </c>
      <c r="AB55" s="20" t="s">
        <v>333</v>
      </c>
      <c r="AC55" s="20"/>
      <c r="AD55" s="20" t="s">
        <v>333</v>
      </c>
      <c r="AE55" s="20" t="s">
        <v>333</v>
      </c>
      <c r="AF55" s="20" t="s">
        <v>333</v>
      </c>
      <c r="AG55" s="20" t="s">
        <v>344</v>
      </c>
      <c r="AH55" s="20" t="s">
        <v>344</v>
      </c>
      <c r="AI55" s="20" t="s">
        <v>333</v>
      </c>
      <c r="AJ55" s="20"/>
      <c r="AK55" s="20" t="s">
        <v>1244</v>
      </c>
      <c r="AL55" s="20" t="s">
        <v>1245</v>
      </c>
      <c r="AM55" s="20" t="s">
        <v>1244</v>
      </c>
      <c r="AN55" s="20" t="s">
        <v>349</v>
      </c>
      <c r="AO55" s="20"/>
      <c r="AP55" s="20" t="s">
        <v>1559</v>
      </c>
      <c r="AQ55" s="20" t="s">
        <v>349</v>
      </c>
      <c r="AR55" s="20"/>
      <c r="AS55" s="20"/>
    </row>
    <row r="56">
      <c r="A56" s="32" t="s">
        <v>2024</v>
      </c>
      <c r="B56" s="32" t="s">
        <v>505</v>
      </c>
      <c r="C56" s="32" t="s">
        <v>506</v>
      </c>
      <c r="D56" s="48" t="s">
        <v>2025</v>
      </c>
      <c r="E56" s="32" t="s">
        <v>49</v>
      </c>
      <c r="F56" s="32" t="s">
        <v>510</v>
      </c>
      <c r="G56" s="32" t="s">
        <v>2026</v>
      </c>
      <c r="H56" s="32" t="s">
        <v>513</v>
      </c>
      <c r="I56" s="32" t="s">
        <v>514</v>
      </c>
      <c r="J56" s="32" t="s">
        <v>74</v>
      </c>
      <c r="K56" s="32" t="s">
        <v>55</v>
      </c>
      <c r="L56" s="32" t="s">
        <v>56</v>
      </c>
      <c r="M56" s="32" t="s">
        <v>57</v>
      </c>
      <c r="N56" s="32" t="s">
        <v>333</v>
      </c>
      <c r="O56" s="32" t="s">
        <v>1253</v>
      </c>
      <c r="P56" s="32" t="s">
        <v>1682</v>
      </c>
      <c r="Q56" s="32" t="s">
        <v>59</v>
      </c>
      <c r="R56" s="32" t="s">
        <v>333</v>
      </c>
      <c r="S56" s="32" t="s">
        <v>333</v>
      </c>
      <c r="T56" s="32"/>
      <c r="U56" s="32"/>
      <c r="V56" s="32" t="s">
        <v>344</v>
      </c>
      <c r="W56" s="32" t="s">
        <v>333</v>
      </c>
      <c r="X56" s="32" t="s">
        <v>333</v>
      </c>
      <c r="Y56" s="32" t="s">
        <v>333</v>
      </c>
      <c r="Z56" s="32" t="s">
        <v>333</v>
      </c>
      <c r="AA56" s="32" t="s">
        <v>333</v>
      </c>
      <c r="AB56" s="32" t="s">
        <v>333</v>
      </c>
      <c r="AC56" s="32"/>
      <c r="AD56" s="32" t="s">
        <v>333</v>
      </c>
      <c r="AE56" s="32" t="s">
        <v>333</v>
      </c>
      <c r="AF56" s="32" t="s">
        <v>333</v>
      </c>
      <c r="AG56" s="32" t="s">
        <v>344</v>
      </c>
      <c r="AH56" s="32" t="s">
        <v>344</v>
      </c>
      <c r="AI56" s="32" t="s">
        <v>333</v>
      </c>
      <c r="AJ56" s="32"/>
      <c r="AK56" s="32" t="s">
        <v>1717</v>
      </c>
      <c r="AL56" s="32" t="s">
        <v>1245</v>
      </c>
      <c r="AM56" s="32" t="s">
        <v>1717</v>
      </c>
      <c r="AN56" s="32" t="s">
        <v>349</v>
      </c>
      <c r="AO56" s="32"/>
      <c r="AP56" s="32" t="s">
        <v>1253</v>
      </c>
      <c r="AQ56" s="32" t="s">
        <v>1682</v>
      </c>
      <c r="AR56" s="21" t="s">
        <v>1931</v>
      </c>
      <c r="AS56" s="21">
        <v>2.0</v>
      </c>
    </row>
    <row r="57">
      <c r="A57" s="20" t="s">
        <v>2027</v>
      </c>
      <c r="B57" s="20" t="s">
        <v>527</v>
      </c>
      <c r="C57" s="20" t="s">
        <v>528</v>
      </c>
      <c r="D57" s="29" t="s">
        <v>2029</v>
      </c>
      <c r="E57" s="20" t="s">
        <v>49</v>
      </c>
      <c r="F57" s="29" t="s">
        <v>69</v>
      </c>
      <c r="G57" s="29" t="s">
        <v>69</v>
      </c>
      <c r="H57" s="20" t="s">
        <v>303</v>
      </c>
      <c r="I57" s="20" t="s">
        <v>303</v>
      </c>
      <c r="J57" s="20" t="s">
        <v>74</v>
      </c>
      <c r="K57" s="20" t="s">
        <v>55</v>
      </c>
      <c r="L57" s="20" t="s">
        <v>56</v>
      </c>
      <c r="M57" s="20" t="s">
        <v>57</v>
      </c>
      <c r="N57" s="20" t="s">
        <v>333</v>
      </c>
      <c r="O57" s="20" t="s">
        <v>1736</v>
      </c>
      <c r="P57" s="20" t="s">
        <v>1695</v>
      </c>
      <c r="Q57" s="20" t="s">
        <v>59</v>
      </c>
      <c r="R57" s="20" t="s">
        <v>333</v>
      </c>
      <c r="S57" s="20" t="s">
        <v>333</v>
      </c>
      <c r="T57" s="20"/>
      <c r="U57" s="20"/>
      <c r="V57" s="20" t="s">
        <v>344</v>
      </c>
      <c r="W57" s="20" t="s">
        <v>333</v>
      </c>
      <c r="X57" s="20" t="s">
        <v>333</v>
      </c>
      <c r="Y57" s="20" t="s">
        <v>333</v>
      </c>
      <c r="Z57" s="20" t="s">
        <v>333</v>
      </c>
      <c r="AA57" s="20" t="s">
        <v>333</v>
      </c>
      <c r="AB57" s="20" t="s">
        <v>333</v>
      </c>
      <c r="AC57" s="20"/>
      <c r="AD57" s="20" t="s">
        <v>333</v>
      </c>
      <c r="AE57" s="20" t="s">
        <v>333</v>
      </c>
      <c r="AF57" s="20" t="s">
        <v>333</v>
      </c>
      <c r="AG57" s="20" t="s">
        <v>344</v>
      </c>
      <c r="AH57" s="20" t="s">
        <v>344</v>
      </c>
      <c r="AI57" s="20" t="s">
        <v>333</v>
      </c>
      <c r="AJ57" s="20"/>
      <c r="AK57" s="20" t="s">
        <v>1595</v>
      </c>
      <c r="AL57" s="20" t="s">
        <v>1596</v>
      </c>
      <c r="AM57" s="20" t="s">
        <v>1595</v>
      </c>
      <c r="AN57" s="20" t="s">
        <v>349</v>
      </c>
      <c r="AO57" s="20"/>
      <c r="AP57" s="20" t="s">
        <v>1736</v>
      </c>
      <c r="AQ57" s="20" t="s">
        <v>1695</v>
      </c>
      <c r="AR57" s="20"/>
      <c r="AS57" s="20"/>
    </row>
    <row r="58">
      <c r="A58" s="20" t="s">
        <v>2034</v>
      </c>
      <c r="B58" s="20" t="s">
        <v>535</v>
      </c>
      <c r="C58" s="20" t="s">
        <v>536</v>
      </c>
      <c r="D58" s="29" t="s">
        <v>2035</v>
      </c>
      <c r="E58" s="20" t="s">
        <v>49</v>
      </c>
      <c r="F58" s="29" t="s">
        <v>69</v>
      </c>
      <c r="G58" s="29" t="s">
        <v>69</v>
      </c>
      <c r="H58" s="20" t="s">
        <v>53</v>
      </c>
      <c r="I58" s="20" t="s">
        <v>54</v>
      </c>
      <c r="J58" s="20" t="s">
        <v>54</v>
      </c>
      <c r="K58" s="20" t="s">
        <v>55</v>
      </c>
      <c r="L58" s="20" t="s">
        <v>56</v>
      </c>
      <c r="M58" s="20" t="s">
        <v>57</v>
      </c>
      <c r="N58" s="20" t="s">
        <v>333</v>
      </c>
      <c r="O58" s="20" t="s">
        <v>1596</v>
      </c>
      <c r="P58" s="20" t="s">
        <v>1695</v>
      </c>
      <c r="Q58" s="20" t="s">
        <v>59</v>
      </c>
      <c r="R58" s="20" t="s">
        <v>333</v>
      </c>
      <c r="S58" s="20" t="s">
        <v>333</v>
      </c>
      <c r="T58" s="20"/>
      <c r="U58" s="20"/>
      <c r="V58" s="20" t="s">
        <v>344</v>
      </c>
      <c r="W58" s="20" t="s">
        <v>333</v>
      </c>
      <c r="X58" s="20" t="s">
        <v>333</v>
      </c>
      <c r="Y58" s="20" t="s">
        <v>333</v>
      </c>
      <c r="Z58" s="20" t="s">
        <v>333</v>
      </c>
      <c r="AA58" s="20" t="s">
        <v>333</v>
      </c>
      <c r="AB58" s="20" t="s">
        <v>333</v>
      </c>
      <c r="AC58" s="20"/>
      <c r="AD58" s="20" t="s">
        <v>333</v>
      </c>
      <c r="AE58" s="20" t="s">
        <v>333</v>
      </c>
      <c r="AF58" s="20" t="s">
        <v>333</v>
      </c>
      <c r="AG58" s="20" t="s">
        <v>344</v>
      </c>
      <c r="AH58" s="20" t="s">
        <v>344</v>
      </c>
      <c r="AI58" s="20" t="s">
        <v>333</v>
      </c>
      <c r="AJ58" s="20"/>
      <c r="AK58" s="20" t="s">
        <v>347</v>
      </c>
      <c r="AL58" s="20" t="s">
        <v>1556</v>
      </c>
      <c r="AM58" s="20" t="s">
        <v>347</v>
      </c>
      <c r="AN58" s="20" t="s">
        <v>349</v>
      </c>
      <c r="AO58" s="20"/>
      <c r="AP58" s="20" t="s">
        <v>1596</v>
      </c>
      <c r="AQ58" s="20" t="s">
        <v>1695</v>
      </c>
      <c r="AR58" s="20"/>
      <c r="AS58" s="20"/>
    </row>
    <row r="59">
      <c r="A59" s="20" t="s">
        <v>2036</v>
      </c>
      <c r="B59" s="20" t="s">
        <v>543</v>
      </c>
      <c r="C59" s="20" t="s">
        <v>544</v>
      </c>
      <c r="D59" s="20" t="s">
        <v>545</v>
      </c>
      <c r="E59" s="20" t="s">
        <v>49</v>
      </c>
      <c r="F59" s="80" t="s">
        <v>2038</v>
      </c>
      <c r="G59" s="29" t="s">
        <v>69</v>
      </c>
      <c r="H59" s="20" t="s">
        <v>123</v>
      </c>
      <c r="I59" s="20" t="s">
        <v>124</v>
      </c>
      <c r="J59" s="20" t="s">
        <v>74</v>
      </c>
      <c r="K59" s="20" t="s">
        <v>55</v>
      </c>
      <c r="L59" s="20" t="s">
        <v>56</v>
      </c>
      <c r="M59" s="20" t="s">
        <v>57</v>
      </c>
      <c r="N59" s="20" t="s">
        <v>333</v>
      </c>
      <c r="O59" s="20" t="s">
        <v>1586</v>
      </c>
      <c r="P59" s="20" t="s">
        <v>2006</v>
      </c>
      <c r="Q59" s="20" t="s">
        <v>59</v>
      </c>
      <c r="R59" s="20" t="s">
        <v>333</v>
      </c>
      <c r="S59" s="20" t="s">
        <v>333</v>
      </c>
      <c r="T59" s="20" t="s">
        <v>2039</v>
      </c>
      <c r="U59" s="20"/>
      <c r="V59" s="20" t="s">
        <v>344</v>
      </c>
      <c r="W59" s="20" t="s">
        <v>333</v>
      </c>
      <c r="X59" s="20" t="s">
        <v>333</v>
      </c>
      <c r="Y59" s="20" t="s">
        <v>333</v>
      </c>
      <c r="Z59" s="20" t="s">
        <v>333</v>
      </c>
      <c r="AA59" s="20" t="s">
        <v>333</v>
      </c>
      <c r="AB59" s="20" t="s">
        <v>333</v>
      </c>
      <c r="AC59" s="20"/>
      <c r="AD59" s="20" t="s">
        <v>333</v>
      </c>
      <c r="AE59" s="20" t="s">
        <v>333</v>
      </c>
      <c r="AF59" s="20" t="s">
        <v>333</v>
      </c>
      <c r="AG59" s="20" t="s">
        <v>344</v>
      </c>
      <c r="AH59" s="20" t="s">
        <v>344</v>
      </c>
      <c r="AI59" s="20" t="s">
        <v>333</v>
      </c>
      <c r="AJ59" s="20"/>
      <c r="AK59" s="20" t="s">
        <v>347</v>
      </c>
      <c r="AL59" s="20" t="s">
        <v>1245</v>
      </c>
      <c r="AM59" s="20" t="s">
        <v>347</v>
      </c>
      <c r="AN59" s="20" t="s">
        <v>349</v>
      </c>
      <c r="AO59" s="20"/>
      <c r="AP59" s="20" t="s">
        <v>1586</v>
      </c>
      <c r="AQ59" s="20" t="s">
        <v>2006</v>
      </c>
      <c r="AR59" s="20"/>
      <c r="AS59" s="20"/>
    </row>
    <row r="60">
      <c r="A60" s="20" t="s">
        <v>2041</v>
      </c>
      <c r="B60" s="20" t="s">
        <v>322</v>
      </c>
      <c r="C60" s="20" t="s">
        <v>323</v>
      </c>
      <c r="D60" s="29" t="s">
        <v>324</v>
      </c>
      <c r="E60" s="20" t="s">
        <v>49</v>
      </c>
      <c r="F60" s="80" t="s">
        <v>2042</v>
      </c>
      <c r="G60" s="29" t="s">
        <v>69</v>
      </c>
      <c r="H60" s="20" t="s">
        <v>325</v>
      </c>
      <c r="I60" s="20" t="s">
        <v>326</v>
      </c>
      <c r="J60" s="20" t="s">
        <v>326</v>
      </c>
      <c r="K60" s="20" t="s">
        <v>55</v>
      </c>
      <c r="L60" s="20" t="s">
        <v>56</v>
      </c>
      <c r="M60" s="20" t="s">
        <v>57</v>
      </c>
      <c r="N60" s="20" t="s">
        <v>333</v>
      </c>
      <c r="O60" s="20" t="s">
        <v>1261</v>
      </c>
      <c r="P60" s="20" t="s">
        <v>1682</v>
      </c>
      <c r="Q60" s="20" t="s">
        <v>59</v>
      </c>
      <c r="R60" s="20" t="s">
        <v>333</v>
      </c>
      <c r="S60" s="20" t="s">
        <v>333</v>
      </c>
      <c r="T60" s="20"/>
      <c r="U60" s="20"/>
      <c r="V60" s="20" t="s">
        <v>344</v>
      </c>
      <c r="W60" s="20" t="s">
        <v>333</v>
      </c>
      <c r="X60" s="20" t="s">
        <v>333</v>
      </c>
      <c r="Y60" s="20" t="s">
        <v>333</v>
      </c>
      <c r="Z60" s="20" t="s">
        <v>333</v>
      </c>
      <c r="AA60" s="20" t="s">
        <v>333</v>
      </c>
      <c r="AB60" s="20" t="s">
        <v>333</v>
      </c>
      <c r="AC60" s="20"/>
      <c r="AD60" s="20" t="s">
        <v>333</v>
      </c>
      <c r="AE60" s="20" t="s">
        <v>333</v>
      </c>
      <c r="AF60" s="20" t="s">
        <v>333</v>
      </c>
      <c r="AG60" s="20" t="s">
        <v>344</v>
      </c>
      <c r="AH60" s="20" t="s">
        <v>344</v>
      </c>
      <c r="AI60" s="20" t="s">
        <v>333</v>
      </c>
      <c r="AJ60" s="20"/>
      <c r="AK60" s="20" t="s">
        <v>1244</v>
      </c>
      <c r="AL60" s="20" t="s">
        <v>1269</v>
      </c>
      <c r="AM60" s="20" t="s">
        <v>1244</v>
      </c>
      <c r="AN60" s="20" t="s">
        <v>349</v>
      </c>
      <c r="AO60" s="20"/>
      <c r="AP60" s="20" t="s">
        <v>1261</v>
      </c>
      <c r="AQ60" s="20" t="s">
        <v>1682</v>
      </c>
      <c r="AR60" s="20"/>
      <c r="AS60" s="20"/>
    </row>
    <row r="61">
      <c r="A61" s="32" t="s">
        <v>2048</v>
      </c>
      <c r="B61" s="32" t="s">
        <v>557</v>
      </c>
      <c r="C61" s="32" t="s">
        <v>558</v>
      </c>
      <c r="D61" s="89" t="s">
        <v>559</v>
      </c>
      <c r="E61" s="32" t="s">
        <v>49</v>
      </c>
      <c r="F61" s="32" t="s">
        <v>2049</v>
      </c>
      <c r="G61" s="32" t="s">
        <v>2050</v>
      </c>
      <c r="H61" s="32" t="s">
        <v>303</v>
      </c>
      <c r="I61" s="32" t="s">
        <v>303</v>
      </c>
      <c r="J61" s="32" t="s">
        <v>74</v>
      </c>
      <c r="K61" s="32" t="s">
        <v>55</v>
      </c>
      <c r="L61" s="32" t="s">
        <v>56</v>
      </c>
      <c r="M61" s="32" t="s">
        <v>57</v>
      </c>
      <c r="N61" s="32" t="s">
        <v>333</v>
      </c>
      <c r="O61" s="32" t="s">
        <v>2051</v>
      </c>
      <c r="P61" s="32" t="s">
        <v>2052</v>
      </c>
      <c r="Q61" s="32" t="s">
        <v>59</v>
      </c>
      <c r="R61" s="32" t="s">
        <v>333</v>
      </c>
      <c r="S61" s="32" t="s">
        <v>333</v>
      </c>
      <c r="T61" s="32"/>
      <c r="U61" s="32"/>
      <c r="V61" s="32" t="s">
        <v>344</v>
      </c>
      <c r="W61" s="32" t="s">
        <v>333</v>
      </c>
      <c r="X61" s="32" t="s">
        <v>333</v>
      </c>
      <c r="Y61" s="32" t="s">
        <v>333</v>
      </c>
      <c r="Z61" s="32" t="s">
        <v>333</v>
      </c>
      <c r="AA61" s="32" t="s">
        <v>333</v>
      </c>
      <c r="AB61" s="32" t="s">
        <v>333</v>
      </c>
      <c r="AC61" s="32"/>
      <c r="AD61" s="32" t="s">
        <v>333</v>
      </c>
      <c r="AE61" s="32" t="s">
        <v>333</v>
      </c>
      <c r="AF61" s="32" t="s">
        <v>333</v>
      </c>
      <c r="AG61" s="32" t="s">
        <v>344</v>
      </c>
      <c r="AH61" s="32" t="s">
        <v>344</v>
      </c>
      <c r="AI61" s="32" t="s">
        <v>333</v>
      </c>
      <c r="AJ61" s="32"/>
      <c r="AK61" s="32" t="s">
        <v>1717</v>
      </c>
      <c r="AL61" s="32" t="s">
        <v>1245</v>
      </c>
      <c r="AM61" s="32" t="s">
        <v>1717</v>
      </c>
      <c r="AN61" s="32" t="s">
        <v>349</v>
      </c>
      <c r="AO61" s="32"/>
      <c r="AP61" s="32" t="s">
        <v>2051</v>
      </c>
      <c r="AQ61" s="32" t="s">
        <v>2052</v>
      </c>
      <c r="AR61" s="21" t="s">
        <v>1931</v>
      </c>
      <c r="AS61" s="21">
        <v>2.0</v>
      </c>
    </row>
    <row r="62">
      <c r="A62" s="20" t="s">
        <v>2054</v>
      </c>
      <c r="B62" s="20" t="s">
        <v>573</v>
      </c>
      <c r="C62" s="20" t="s">
        <v>575</v>
      </c>
      <c r="D62" s="20" t="s">
        <v>576</v>
      </c>
      <c r="E62" s="20" t="s">
        <v>49</v>
      </c>
      <c r="F62" s="29" t="s">
        <v>69</v>
      </c>
      <c r="G62" s="20" t="s">
        <v>2055</v>
      </c>
      <c r="H62" s="20" t="s">
        <v>586</v>
      </c>
      <c r="I62" s="20" t="s">
        <v>587</v>
      </c>
      <c r="J62" s="20" t="s">
        <v>74</v>
      </c>
      <c r="K62" s="20" t="s">
        <v>55</v>
      </c>
      <c r="L62" s="20" t="s">
        <v>56</v>
      </c>
      <c r="M62" s="20" t="s">
        <v>57</v>
      </c>
      <c r="N62" s="20" t="s">
        <v>333</v>
      </c>
      <c r="O62" s="20" t="s">
        <v>1556</v>
      </c>
      <c r="P62" s="20" t="s">
        <v>1920</v>
      </c>
      <c r="Q62" s="20" t="s">
        <v>59</v>
      </c>
      <c r="R62" s="20" t="s">
        <v>333</v>
      </c>
      <c r="S62" s="20" t="s">
        <v>333</v>
      </c>
      <c r="T62" s="20" t="s">
        <v>2056</v>
      </c>
      <c r="U62" s="20"/>
      <c r="V62" s="20" t="s">
        <v>344</v>
      </c>
      <c r="W62" s="20" t="s">
        <v>333</v>
      </c>
      <c r="X62" s="20" t="s">
        <v>333</v>
      </c>
      <c r="Y62" s="20" t="s">
        <v>333</v>
      </c>
      <c r="Z62" s="20" t="s">
        <v>333</v>
      </c>
      <c r="AA62" s="20" t="s">
        <v>333</v>
      </c>
      <c r="AB62" s="20" t="s">
        <v>333</v>
      </c>
      <c r="AC62" s="20"/>
      <c r="AD62" s="20" t="s">
        <v>333</v>
      </c>
      <c r="AE62" s="20" t="s">
        <v>333</v>
      </c>
      <c r="AF62" s="20" t="s">
        <v>333</v>
      </c>
      <c r="AG62" s="20" t="s">
        <v>344</v>
      </c>
      <c r="AH62" s="20" t="s">
        <v>344</v>
      </c>
      <c r="AI62" s="20" t="s">
        <v>333</v>
      </c>
      <c r="AJ62" s="20"/>
      <c r="AK62" s="20" t="s">
        <v>1244</v>
      </c>
      <c r="AL62" s="20" t="s">
        <v>1245</v>
      </c>
      <c r="AM62" s="20" t="s">
        <v>1244</v>
      </c>
      <c r="AN62" s="20" t="s">
        <v>349</v>
      </c>
      <c r="AO62" s="20"/>
      <c r="AP62" s="20" t="s">
        <v>1556</v>
      </c>
      <c r="AQ62" s="20" t="s">
        <v>1920</v>
      </c>
      <c r="AR62" s="20"/>
      <c r="AS62" s="20"/>
    </row>
    <row r="63">
      <c r="A63" s="32" t="s">
        <v>2057</v>
      </c>
      <c r="B63" s="32" t="s">
        <v>591</v>
      </c>
      <c r="C63" s="32" t="s">
        <v>593</v>
      </c>
      <c r="D63" s="48" t="s">
        <v>2058</v>
      </c>
      <c r="E63" s="32" t="s">
        <v>49</v>
      </c>
      <c r="F63" s="32" t="s">
        <v>597</v>
      </c>
      <c r="G63" s="32" t="s">
        <v>2062</v>
      </c>
      <c r="H63" s="32" t="s">
        <v>142</v>
      </c>
      <c r="I63" s="32" t="s">
        <v>144</v>
      </c>
      <c r="J63" s="32" t="s">
        <v>74</v>
      </c>
      <c r="K63" s="32" t="s">
        <v>55</v>
      </c>
      <c r="L63" s="32" t="s">
        <v>56</v>
      </c>
      <c r="M63" s="32" t="s">
        <v>57</v>
      </c>
      <c r="N63" s="32" t="s">
        <v>333</v>
      </c>
      <c r="O63" s="32" t="s">
        <v>1261</v>
      </c>
      <c r="P63" s="32"/>
      <c r="Q63" s="32" t="s">
        <v>59</v>
      </c>
      <c r="R63" s="32" t="s">
        <v>333</v>
      </c>
      <c r="S63" s="32" t="s">
        <v>333</v>
      </c>
      <c r="T63" s="32"/>
      <c r="U63" s="32"/>
      <c r="V63" s="32" t="s">
        <v>344</v>
      </c>
      <c r="W63" s="32" t="s">
        <v>333</v>
      </c>
      <c r="X63" s="32" t="s">
        <v>333</v>
      </c>
      <c r="Y63" s="32" t="s">
        <v>333</v>
      </c>
      <c r="Z63" s="32" t="s">
        <v>333</v>
      </c>
      <c r="AA63" s="32" t="s">
        <v>333</v>
      </c>
      <c r="AB63" s="32" t="s">
        <v>333</v>
      </c>
      <c r="AC63" s="32"/>
      <c r="AD63" s="32" t="s">
        <v>333</v>
      </c>
      <c r="AE63" s="32" t="s">
        <v>333</v>
      </c>
      <c r="AF63" s="32" t="s">
        <v>333</v>
      </c>
      <c r="AG63" s="32" t="s">
        <v>344</v>
      </c>
      <c r="AH63" s="32" t="s">
        <v>344</v>
      </c>
      <c r="AI63" s="32" t="s">
        <v>333</v>
      </c>
      <c r="AJ63" s="32"/>
      <c r="AK63" s="32" t="s">
        <v>1663</v>
      </c>
      <c r="AL63" s="32" t="s">
        <v>1269</v>
      </c>
      <c r="AM63" s="32" t="s">
        <v>1663</v>
      </c>
      <c r="AN63" s="32" t="s">
        <v>349</v>
      </c>
      <c r="AO63" s="32"/>
      <c r="AP63" s="32" t="s">
        <v>1261</v>
      </c>
      <c r="AQ63" s="32" t="s">
        <v>349</v>
      </c>
      <c r="AR63" s="21" t="s">
        <v>1931</v>
      </c>
      <c r="AS63" s="21">
        <v>2.0</v>
      </c>
    </row>
    <row r="64">
      <c r="A64" s="32" t="s">
        <v>2067</v>
      </c>
      <c r="B64" s="32" t="s">
        <v>463</v>
      </c>
      <c r="C64" s="32" t="s">
        <v>464</v>
      </c>
      <c r="D64" s="48" t="s">
        <v>465</v>
      </c>
      <c r="E64" s="32" t="s">
        <v>49</v>
      </c>
      <c r="F64" s="32" t="s">
        <v>466</v>
      </c>
      <c r="G64" s="32" t="s">
        <v>2069</v>
      </c>
      <c r="H64" s="32" t="s">
        <v>53</v>
      </c>
      <c r="I64" s="32" t="s">
        <v>54</v>
      </c>
      <c r="J64" s="32" t="s">
        <v>54</v>
      </c>
      <c r="K64" s="32" t="s">
        <v>55</v>
      </c>
      <c r="L64" s="32" t="s">
        <v>56</v>
      </c>
      <c r="M64" s="32" t="s">
        <v>57</v>
      </c>
      <c r="N64" s="32" t="s">
        <v>333</v>
      </c>
      <c r="O64" s="32" t="s">
        <v>1586</v>
      </c>
      <c r="P64" s="32" t="s">
        <v>1941</v>
      </c>
      <c r="Q64" s="32" t="s">
        <v>59</v>
      </c>
      <c r="R64" s="32" t="s">
        <v>333</v>
      </c>
      <c r="S64" s="32" t="s">
        <v>333</v>
      </c>
      <c r="T64" s="32"/>
      <c r="U64" s="32"/>
      <c r="V64" s="32" t="s">
        <v>344</v>
      </c>
      <c r="W64" s="32" t="s">
        <v>333</v>
      </c>
      <c r="X64" s="32" t="s">
        <v>333</v>
      </c>
      <c r="Y64" s="32" t="s">
        <v>333</v>
      </c>
      <c r="Z64" s="32" t="s">
        <v>333</v>
      </c>
      <c r="AA64" s="32" t="s">
        <v>333</v>
      </c>
      <c r="AB64" s="32" t="s">
        <v>333</v>
      </c>
      <c r="AC64" s="32"/>
      <c r="AD64" s="32" t="s">
        <v>333</v>
      </c>
      <c r="AE64" s="32" t="s">
        <v>333</v>
      </c>
      <c r="AF64" s="32" t="s">
        <v>333</v>
      </c>
      <c r="AG64" s="32" t="s">
        <v>344</v>
      </c>
      <c r="AH64" s="32" t="s">
        <v>344</v>
      </c>
      <c r="AI64" s="32" t="s">
        <v>333</v>
      </c>
      <c r="AJ64" s="32"/>
      <c r="AK64" s="32" t="s">
        <v>1260</v>
      </c>
      <c r="AL64" s="32" t="s">
        <v>1245</v>
      </c>
      <c r="AM64" s="32" t="s">
        <v>1260</v>
      </c>
      <c r="AN64" s="32" t="s">
        <v>349</v>
      </c>
      <c r="AO64" s="32"/>
      <c r="AP64" s="32" t="s">
        <v>1586</v>
      </c>
      <c r="AQ64" s="32" t="s">
        <v>1941</v>
      </c>
      <c r="AR64" s="21" t="s">
        <v>1931</v>
      </c>
      <c r="AS64" s="21">
        <v>2.0</v>
      </c>
    </row>
    <row r="65">
      <c r="A65" s="20" t="s">
        <v>2077</v>
      </c>
      <c r="B65" s="20" t="s">
        <v>635</v>
      </c>
      <c r="C65" s="20" t="s">
        <v>636</v>
      </c>
      <c r="D65" s="20" t="s">
        <v>637</v>
      </c>
      <c r="E65" s="20" t="s">
        <v>49</v>
      </c>
      <c r="F65" s="80" t="s">
        <v>2078</v>
      </c>
      <c r="G65" s="81" t="s">
        <v>2083</v>
      </c>
      <c r="H65" s="20" t="s">
        <v>303</v>
      </c>
      <c r="I65" s="20" t="s">
        <v>303</v>
      </c>
      <c r="J65" s="20" t="s">
        <v>74</v>
      </c>
      <c r="K65" s="20" t="s">
        <v>55</v>
      </c>
      <c r="L65" s="20" t="s">
        <v>56</v>
      </c>
      <c r="M65" s="20" t="s">
        <v>57</v>
      </c>
      <c r="N65" s="20" t="s">
        <v>333</v>
      </c>
      <c r="O65" s="20" t="s">
        <v>1720</v>
      </c>
      <c r="P65" s="20" t="s">
        <v>1688</v>
      </c>
      <c r="Q65" s="20" t="s">
        <v>59</v>
      </c>
      <c r="R65" s="20" t="s">
        <v>333</v>
      </c>
      <c r="S65" s="20" t="s">
        <v>333</v>
      </c>
      <c r="T65" s="20"/>
      <c r="U65" s="20"/>
      <c r="V65" s="20" t="s">
        <v>344</v>
      </c>
      <c r="W65" s="20" t="s">
        <v>333</v>
      </c>
      <c r="X65" s="20" t="s">
        <v>333</v>
      </c>
      <c r="Y65" s="20" t="s">
        <v>333</v>
      </c>
      <c r="Z65" s="20" t="s">
        <v>333</v>
      </c>
      <c r="AA65" s="20" t="s">
        <v>333</v>
      </c>
      <c r="AB65" s="20" t="s">
        <v>333</v>
      </c>
      <c r="AC65" s="20"/>
      <c r="AD65" s="20" t="s">
        <v>333</v>
      </c>
      <c r="AE65" s="20" t="s">
        <v>333</v>
      </c>
      <c r="AF65" s="20" t="s">
        <v>333</v>
      </c>
      <c r="AG65" s="20" t="s">
        <v>344</v>
      </c>
      <c r="AH65" s="20" t="s">
        <v>344</v>
      </c>
      <c r="AI65" s="20" t="s">
        <v>333</v>
      </c>
      <c r="AJ65" s="20"/>
      <c r="AK65" s="20" t="s">
        <v>347</v>
      </c>
      <c r="AL65" s="20" t="s">
        <v>1596</v>
      </c>
      <c r="AM65" s="20" t="s">
        <v>347</v>
      </c>
      <c r="AN65" s="20" t="s">
        <v>349</v>
      </c>
      <c r="AO65" s="20"/>
      <c r="AP65" s="20" t="s">
        <v>1720</v>
      </c>
      <c r="AQ65" s="20" t="s">
        <v>1688</v>
      </c>
      <c r="AR65" s="20"/>
      <c r="AS65" s="20"/>
    </row>
    <row r="66">
      <c r="A66" s="20" t="s">
        <v>2085</v>
      </c>
      <c r="B66" s="20" t="s">
        <v>420</v>
      </c>
      <c r="C66" s="20" t="s">
        <v>421</v>
      </c>
      <c r="D66" s="29" t="s">
        <v>422</v>
      </c>
      <c r="E66" s="20" t="s">
        <v>49</v>
      </c>
      <c r="F66" s="80" t="s">
        <v>2087</v>
      </c>
      <c r="G66" s="29" t="s">
        <v>69</v>
      </c>
      <c r="H66" s="20" t="s">
        <v>75</v>
      </c>
      <c r="I66" s="20" t="s">
        <v>76</v>
      </c>
      <c r="J66" s="20" t="s">
        <v>76</v>
      </c>
      <c r="K66" s="20" t="s">
        <v>55</v>
      </c>
      <c r="L66" s="20" t="s">
        <v>56</v>
      </c>
      <c r="M66" s="20" t="s">
        <v>57</v>
      </c>
      <c r="N66" s="20" t="s">
        <v>333</v>
      </c>
      <c r="O66" s="20" t="s">
        <v>1720</v>
      </c>
      <c r="P66" s="20" t="s">
        <v>1586</v>
      </c>
      <c r="Q66" s="20" t="s">
        <v>59</v>
      </c>
      <c r="R66" s="20" t="s">
        <v>333</v>
      </c>
      <c r="S66" s="20" t="s">
        <v>333</v>
      </c>
      <c r="T66" s="20"/>
      <c r="U66" s="20"/>
      <c r="V66" s="20" t="s">
        <v>344</v>
      </c>
      <c r="W66" s="20" t="s">
        <v>333</v>
      </c>
      <c r="X66" s="20" t="s">
        <v>333</v>
      </c>
      <c r="Y66" s="20" t="s">
        <v>333</v>
      </c>
      <c r="Z66" s="20" t="s">
        <v>333</v>
      </c>
      <c r="AA66" s="20" t="s">
        <v>333</v>
      </c>
      <c r="AB66" s="20" t="s">
        <v>333</v>
      </c>
      <c r="AC66" s="20"/>
      <c r="AD66" s="20" t="s">
        <v>333</v>
      </c>
      <c r="AE66" s="20" t="s">
        <v>333</v>
      </c>
      <c r="AF66" s="20" t="s">
        <v>333</v>
      </c>
      <c r="AG66" s="20" t="s">
        <v>344</v>
      </c>
      <c r="AH66" s="20" t="s">
        <v>344</v>
      </c>
      <c r="AI66" s="20" t="s">
        <v>333</v>
      </c>
      <c r="AJ66" s="20"/>
      <c r="AK66" s="20" t="s">
        <v>1587</v>
      </c>
      <c r="AL66" s="20" t="s">
        <v>1261</v>
      </c>
      <c r="AM66" s="20" t="s">
        <v>1587</v>
      </c>
      <c r="AN66" s="20" t="s">
        <v>349</v>
      </c>
      <c r="AO66" s="20"/>
      <c r="AP66" s="20" t="s">
        <v>1720</v>
      </c>
      <c r="AQ66" s="20" t="s">
        <v>1586</v>
      </c>
      <c r="AR66" s="20"/>
      <c r="AS66" s="20"/>
    </row>
    <row r="67">
      <c r="A67" s="20" t="s">
        <v>2094</v>
      </c>
      <c r="B67" s="20" t="s">
        <v>653</v>
      </c>
      <c r="C67" s="20" t="s">
        <v>654</v>
      </c>
      <c r="D67" s="20" t="s">
        <v>655</v>
      </c>
      <c r="E67" s="20" t="s">
        <v>49</v>
      </c>
      <c r="F67" s="80" t="s">
        <v>2099</v>
      </c>
      <c r="G67" s="82">
        <v>9.810366251E9</v>
      </c>
      <c r="H67" s="20" t="s">
        <v>303</v>
      </c>
      <c r="I67" s="20" t="s">
        <v>303</v>
      </c>
      <c r="J67" s="20" t="s">
        <v>74</v>
      </c>
      <c r="K67" s="20" t="s">
        <v>55</v>
      </c>
      <c r="L67" s="20" t="s">
        <v>56</v>
      </c>
      <c r="M67" s="20" t="s">
        <v>57</v>
      </c>
      <c r="N67" s="20" t="s">
        <v>333</v>
      </c>
      <c r="O67" s="20" t="s">
        <v>2100</v>
      </c>
      <c r="P67" s="20" t="s">
        <v>348</v>
      </c>
      <c r="Q67" s="20" t="s">
        <v>59</v>
      </c>
      <c r="R67" s="20" t="s">
        <v>333</v>
      </c>
      <c r="S67" s="20" t="s">
        <v>333</v>
      </c>
      <c r="T67" s="20" t="s">
        <v>2101</v>
      </c>
      <c r="U67" s="20"/>
      <c r="V67" s="20" t="s">
        <v>344</v>
      </c>
      <c r="W67" s="20" t="s">
        <v>333</v>
      </c>
      <c r="X67" s="20" t="s">
        <v>333</v>
      </c>
      <c r="Y67" s="20" t="s">
        <v>333</v>
      </c>
      <c r="Z67" s="20" t="s">
        <v>333</v>
      </c>
      <c r="AA67" s="20" t="s">
        <v>333</v>
      </c>
      <c r="AB67" s="20" t="s">
        <v>333</v>
      </c>
      <c r="AC67" s="20"/>
      <c r="AD67" s="20" t="s">
        <v>333</v>
      </c>
      <c r="AE67" s="20" t="s">
        <v>333</v>
      </c>
      <c r="AF67" s="20" t="s">
        <v>333</v>
      </c>
      <c r="AG67" s="20" t="s">
        <v>344</v>
      </c>
      <c r="AH67" s="20" t="s">
        <v>344</v>
      </c>
      <c r="AI67" s="20" t="s">
        <v>333</v>
      </c>
      <c r="AJ67" s="20"/>
      <c r="AK67" s="20" t="s">
        <v>347</v>
      </c>
      <c r="AL67" s="20" t="s">
        <v>348</v>
      </c>
      <c r="AM67" s="20" t="s">
        <v>347</v>
      </c>
      <c r="AN67" s="20" t="s">
        <v>349</v>
      </c>
      <c r="AO67" s="20"/>
      <c r="AP67" s="20" t="s">
        <v>2100</v>
      </c>
      <c r="AQ67" s="20" t="s">
        <v>348</v>
      </c>
      <c r="AR67" s="20"/>
      <c r="AS67" s="20"/>
    </row>
    <row r="68">
      <c r="A68" s="20" t="s">
        <v>2106</v>
      </c>
      <c r="B68" s="20" t="s">
        <v>677</v>
      </c>
      <c r="C68" s="20" t="s">
        <v>678</v>
      </c>
      <c r="D68" s="20" t="s">
        <v>679</v>
      </c>
      <c r="E68" s="20" t="s">
        <v>49</v>
      </c>
      <c r="F68" s="80" t="s">
        <v>2108</v>
      </c>
      <c r="G68" s="82">
        <v>9.81007702E9</v>
      </c>
      <c r="H68" s="20" t="s">
        <v>303</v>
      </c>
      <c r="I68" s="20" t="s">
        <v>303</v>
      </c>
      <c r="J68" s="20" t="s">
        <v>74</v>
      </c>
      <c r="K68" s="20" t="s">
        <v>55</v>
      </c>
      <c r="L68" s="20" t="s">
        <v>56</v>
      </c>
      <c r="M68" s="20" t="s">
        <v>57</v>
      </c>
      <c r="N68" s="20" t="s">
        <v>333</v>
      </c>
      <c r="O68" s="20" t="s">
        <v>2109</v>
      </c>
      <c r="P68" s="20" t="s">
        <v>1261</v>
      </c>
      <c r="Q68" s="20" t="s">
        <v>59</v>
      </c>
      <c r="R68" s="20" t="s">
        <v>333</v>
      </c>
      <c r="S68" s="20" t="s">
        <v>333</v>
      </c>
      <c r="T68" s="20" t="s">
        <v>686</v>
      </c>
      <c r="U68" s="20"/>
      <c r="V68" s="20" t="s">
        <v>344</v>
      </c>
      <c r="W68" s="20" t="s">
        <v>333</v>
      </c>
      <c r="X68" s="20" t="s">
        <v>333</v>
      </c>
      <c r="Y68" s="20" t="s">
        <v>333</v>
      </c>
      <c r="Z68" s="20" t="s">
        <v>333</v>
      </c>
      <c r="AA68" s="20" t="s">
        <v>333</v>
      </c>
      <c r="AB68" s="20" t="s">
        <v>333</v>
      </c>
      <c r="AC68" s="20"/>
      <c r="AD68" s="20" t="s">
        <v>333</v>
      </c>
      <c r="AE68" s="20" t="s">
        <v>333</v>
      </c>
      <c r="AF68" s="20" t="s">
        <v>333</v>
      </c>
      <c r="AG68" s="20" t="s">
        <v>344</v>
      </c>
      <c r="AH68" s="20" t="s">
        <v>344</v>
      </c>
      <c r="AI68" s="20" t="s">
        <v>333</v>
      </c>
      <c r="AJ68" s="20"/>
      <c r="AK68" s="20" t="s">
        <v>349</v>
      </c>
      <c r="AL68" s="20" t="s">
        <v>349</v>
      </c>
      <c r="AM68" s="20" t="s">
        <v>349</v>
      </c>
      <c r="AN68" s="20" t="s">
        <v>349</v>
      </c>
      <c r="AO68" s="20"/>
      <c r="AP68" s="20" t="s">
        <v>2109</v>
      </c>
      <c r="AQ68" s="20" t="s">
        <v>1261</v>
      </c>
      <c r="AR68" s="20"/>
      <c r="AS68" s="20"/>
    </row>
    <row r="69">
      <c r="A69" s="20" t="s">
        <v>2114</v>
      </c>
      <c r="B69" s="20" t="s">
        <v>181</v>
      </c>
      <c r="C69" s="20" t="s">
        <v>182</v>
      </c>
      <c r="D69" s="29" t="s">
        <v>2115</v>
      </c>
      <c r="E69" s="20" t="s">
        <v>49</v>
      </c>
      <c r="F69" s="80" t="s">
        <v>2116</v>
      </c>
      <c r="G69" s="29" t="s">
        <v>69</v>
      </c>
      <c r="H69" s="20" t="s">
        <v>75</v>
      </c>
      <c r="I69" s="20" t="s">
        <v>76</v>
      </c>
      <c r="J69" s="20" t="s">
        <v>76</v>
      </c>
      <c r="K69" s="20" t="s">
        <v>55</v>
      </c>
      <c r="L69" s="20" t="s">
        <v>56</v>
      </c>
      <c r="M69" s="20" t="s">
        <v>57</v>
      </c>
      <c r="N69" s="20" t="s">
        <v>333</v>
      </c>
      <c r="O69" s="20" t="s">
        <v>1556</v>
      </c>
      <c r="P69" s="20" t="s">
        <v>2117</v>
      </c>
      <c r="Q69" s="20" t="s">
        <v>59</v>
      </c>
      <c r="R69" s="20" t="s">
        <v>333</v>
      </c>
      <c r="S69" s="20" t="s">
        <v>333</v>
      </c>
      <c r="T69" s="20"/>
      <c r="U69" s="20"/>
      <c r="V69" s="20" t="s">
        <v>344</v>
      </c>
      <c r="W69" s="20" t="s">
        <v>333</v>
      </c>
      <c r="X69" s="20" t="s">
        <v>333</v>
      </c>
      <c r="Y69" s="20" t="s">
        <v>333</v>
      </c>
      <c r="Z69" s="20" t="s">
        <v>333</v>
      </c>
      <c r="AA69" s="20" t="s">
        <v>333</v>
      </c>
      <c r="AB69" s="20" t="s">
        <v>333</v>
      </c>
      <c r="AC69" s="20"/>
      <c r="AD69" s="20" t="s">
        <v>333</v>
      </c>
      <c r="AE69" s="20" t="s">
        <v>333</v>
      </c>
      <c r="AF69" s="20" t="s">
        <v>333</v>
      </c>
      <c r="AG69" s="20" t="s">
        <v>344</v>
      </c>
      <c r="AH69" s="20" t="s">
        <v>344</v>
      </c>
      <c r="AI69" s="20" t="s">
        <v>333</v>
      </c>
      <c r="AJ69" s="20"/>
      <c r="AK69" s="20" t="s">
        <v>1595</v>
      </c>
      <c r="AL69" s="20" t="s">
        <v>1596</v>
      </c>
      <c r="AM69" s="20" t="s">
        <v>1595</v>
      </c>
      <c r="AN69" s="20" t="s">
        <v>349</v>
      </c>
      <c r="AO69" s="20"/>
      <c r="AP69" s="20" t="s">
        <v>1556</v>
      </c>
      <c r="AQ69" s="20" t="s">
        <v>2117</v>
      </c>
      <c r="AR69" s="20"/>
      <c r="AS69" s="20"/>
    </row>
    <row r="70">
      <c r="A70" s="20" t="s">
        <v>2118</v>
      </c>
      <c r="B70" s="20" t="s">
        <v>482</v>
      </c>
      <c r="C70" s="20" t="s">
        <v>483</v>
      </c>
      <c r="D70" s="29" t="s">
        <v>486</v>
      </c>
      <c r="E70" s="20" t="s">
        <v>49</v>
      </c>
      <c r="F70" s="80" t="s">
        <v>2122</v>
      </c>
      <c r="G70" s="29" t="s">
        <v>69</v>
      </c>
      <c r="H70" s="20" t="s">
        <v>75</v>
      </c>
      <c r="I70" s="20" t="s">
        <v>76</v>
      </c>
      <c r="J70" s="20" t="s">
        <v>76</v>
      </c>
      <c r="K70" s="20" t="s">
        <v>55</v>
      </c>
      <c r="L70" s="20" t="s">
        <v>56</v>
      </c>
      <c r="M70" s="20" t="s">
        <v>57</v>
      </c>
      <c r="N70" s="20" t="s">
        <v>333</v>
      </c>
      <c r="O70" s="20" t="s">
        <v>1581</v>
      </c>
      <c r="P70" s="20" t="s">
        <v>1581</v>
      </c>
      <c r="Q70" s="20" t="s">
        <v>59</v>
      </c>
      <c r="R70" s="20" t="s">
        <v>333</v>
      </c>
      <c r="S70" s="20" t="s">
        <v>333</v>
      </c>
      <c r="T70" s="20"/>
      <c r="U70" s="20"/>
      <c r="V70" s="20" t="s">
        <v>344</v>
      </c>
      <c r="W70" s="20" t="s">
        <v>333</v>
      </c>
      <c r="X70" s="20" t="s">
        <v>333</v>
      </c>
      <c r="Y70" s="20" t="s">
        <v>333</v>
      </c>
      <c r="Z70" s="20" t="s">
        <v>333</v>
      </c>
      <c r="AA70" s="20" t="s">
        <v>333</v>
      </c>
      <c r="AB70" s="20" t="s">
        <v>333</v>
      </c>
      <c r="AC70" s="20"/>
      <c r="AD70" s="20" t="s">
        <v>333</v>
      </c>
      <c r="AE70" s="20" t="s">
        <v>333</v>
      </c>
      <c r="AF70" s="20" t="s">
        <v>333</v>
      </c>
      <c r="AG70" s="20" t="s">
        <v>344</v>
      </c>
      <c r="AH70" s="20" t="s">
        <v>344</v>
      </c>
      <c r="AI70" s="20" t="s">
        <v>333</v>
      </c>
      <c r="AJ70" s="20"/>
      <c r="AK70" s="20" t="s">
        <v>347</v>
      </c>
      <c r="AL70" s="20" t="s">
        <v>1245</v>
      </c>
      <c r="AM70" s="20" t="s">
        <v>347</v>
      </c>
      <c r="AN70" s="20" t="s">
        <v>349</v>
      </c>
      <c r="AO70" s="20"/>
      <c r="AP70" s="20" t="s">
        <v>1581</v>
      </c>
      <c r="AQ70" s="20" t="s">
        <v>1581</v>
      </c>
      <c r="AR70" s="20"/>
      <c r="AS70" s="20"/>
    </row>
    <row r="71">
      <c r="A71" s="20" t="s">
        <v>2127</v>
      </c>
      <c r="B71" s="20" t="s">
        <v>711</v>
      </c>
      <c r="C71" s="20" t="s">
        <v>712</v>
      </c>
      <c r="D71" s="29" t="s">
        <v>713</v>
      </c>
      <c r="E71" s="20" t="s">
        <v>49</v>
      </c>
      <c r="F71" s="29" t="s">
        <v>69</v>
      </c>
      <c r="G71" s="20" t="s">
        <v>2128</v>
      </c>
      <c r="H71" s="20" t="s">
        <v>123</v>
      </c>
      <c r="I71" s="20" t="s">
        <v>124</v>
      </c>
      <c r="J71" s="20" t="s">
        <v>74</v>
      </c>
      <c r="K71" s="20" t="s">
        <v>55</v>
      </c>
      <c r="L71" s="20" t="s">
        <v>56</v>
      </c>
      <c r="M71" s="20" t="s">
        <v>57</v>
      </c>
      <c r="N71" s="20" t="s">
        <v>333</v>
      </c>
      <c r="O71" s="20" t="s">
        <v>1695</v>
      </c>
      <c r="P71" s="20" t="s">
        <v>1682</v>
      </c>
      <c r="Q71" s="20" t="s">
        <v>59</v>
      </c>
      <c r="R71" s="20" t="s">
        <v>333</v>
      </c>
      <c r="S71" s="20" t="s">
        <v>333</v>
      </c>
      <c r="T71" s="20"/>
      <c r="U71" s="20"/>
      <c r="V71" s="20" t="s">
        <v>344</v>
      </c>
      <c r="W71" s="20" t="s">
        <v>333</v>
      </c>
      <c r="X71" s="20" t="s">
        <v>333</v>
      </c>
      <c r="Y71" s="20" t="s">
        <v>333</v>
      </c>
      <c r="Z71" s="20" t="s">
        <v>333</v>
      </c>
      <c r="AA71" s="20" t="s">
        <v>333</v>
      </c>
      <c r="AB71" s="20" t="s">
        <v>333</v>
      </c>
      <c r="AC71" s="20"/>
      <c r="AD71" s="20" t="s">
        <v>333</v>
      </c>
      <c r="AE71" s="20" t="s">
        <v>333</v>
      </c>
      <c r="AF71" s="20" t="s">
        <v>333</v>
      </c>
      <c r="AG71" s="20" t="s">
        <v>344</v>
      </c>
      <c r="AH71" s="20" t="s">
        <v>344</v>
      </c>
      <c r="AI71" s="20" t="s">
        <v>333</v>
      </c>
      <c r="AJ71" s="20"/>
      <c r="AK71" s="20" t="s">
        <v>1581</v>
      </c>
      <c r="AL71" s="20" t="s">
        <v>1586</v>
      </c>
      <c r="AM71" s="20" t="s">
        <v>1581</v>
      </c>
      <c r="AN71" s="20" t="s">
        <v>349</v>
      </c>
      <c r="AO71" s="20"/>
      <c r="AP71" s="20" t="s">
        <v>1695</v>
      </c>
      <c r="AQ71" s="20" t="s">
        <v>1682</v>
      </c>
      <c r="AR71" s="20"/>
      <c r="AS71" s="20"/>
    </row>
    <row r="72">
      <c r="A72" s="20" t="s">
        <v>2133</v>
      </c>
      <c r="B72" s="20" t="s">
        <v>720</v>
      </c>
      <c r="C72" s="20" t="s">
        <v>722</v>
      </c>
      <c r="D72" s="29" t="s">
        <v>724</v>
      </c>
      <c r="E72" s="20" t="s">
        <v>49</v>
      </c>
      <c r="F72" s="80" t="s">
        <v>2135</v>
      </c>
      <c r="G72" s="29" t="s">
        <v>69</v>
      </c>
      <c r="H72" s="20" t="s">
        <v>727</v>
      </c>
      <c r="I72" s="20" t="s">
        <v>729</v>
      </c>
      <c r="J72" s="20" t="s">
        <v>74</v>
      </c>
      <c r="K72" s="20" t="s">
        <v>55</v>
      </c>
      <c r="L72" s="20" t="s">
        <v>56</v>
      </c>
      <c r="M72" s="20" t="s">
        <v>57</v>
      </c>
      <c r="N72" s="20" t="s">
        <v>333</v>
      </c>
      <c r="O72" s="20" t="s">
        <v>1596</v>
      </c>
      <c r="P72" s="20"/>
      <c r="Q72" s="20" t="s">
        <v>59</v>
      </c>
      <c r="R72" s="20" t="s">
        <v>333</v>
      </c>
      <c r="S72" s="20" t="s">
        <v>333</v>
      </c>
      <c r="T72" s="20"/>
      <c r="U72" s="20"/>
      <c r="V72" s="20" t="s">
        <v>344</v>
      </c>
      <c r="W72" s="20" t="s">
        <v>333</v>
      </c>
      <c r="X72" s="20" t="s">
        <v>333</v>
      </c>
      <c r="Y72" s="20" t="s">
        <v>333</v>
      </c>
      <c r="Z72" s="20" t="s">
        <v>333</v>
      </c>
      <c r="AA72" s="20" t="s">
        <v>333</v>
      </c>
      <c r="AB72" s="20" t="s">
        <v>333</v>
      </c>
      <c r="AC72" s="20"/>
      <c r="AD72" s="20" t="s">
        <v>333</v>
      </c>
      <c r="AE72" s="20" t="s">
        <v>333</v>
      </c>
      <c r="AF72" s="20" t="s">
        <v>333</v>
      </c>
      <c r="AG72" s="20" t="s">
        <v>344</v>
      </c>
      <c r="AH72" s="20" t="s">
        <v>344</v>
      </c>
      <c r="AI72" s="20" t="s">
        <v>333</v>
      </c>
      <c r="AJ72" s="20"/>
      <c r="AK72" s="20" t="s">
        <v>1245</v>
      </c>
      <c r="AL72" s="20" t="s">
        <v>1244</v>
      </c>
      <c r="AM72" s="20" t="s">
        <v>1245</v>
      </c>
      <c r="AN72" s="20" t="s">
        <v>349</v>
      </c>
      <c r="AO72" s="20"/>
      <c r="AP72" s="20" t="s">
        <v>1596</v>
      </c>
      <c r="AQ72" s="20" t="s">
        <v>349</v>
      </c>
      <c r="AR72" s="20"/>
      <c r="AS72" s="20"/>
    </row>
    <row r="73">
      <c r="A73" s="20" t="s">
        <v>2140</v>
      </c>
      <c r="B73" s="20" t="s">
        <v>734</v>
      </c>
      <c r="C73" s="20" t="s">
        <v>735</v>
      </c>
      <c r="D73" s="29" t="s">
        <v>2141</v>
      </c>
      <c r="E73" s="20" t="s">
        <v>49</v>
      </c>
      <c r="F73" s="80" t="s">
        <v>2142</v>
      </c>
      <c r="G73" s="29" t="s">
        <v>69</v>
      </c>
      <c r="H73" s="20" t="s">
        <v>738</v>
      </c>
      <c r="I73" s="20" t="s">
        <v>739</v>
      </c>
      <c r="J73" s="20" t="s">
        <v>74</v>
      </c>
      <c r="K73" s="20" t="s">
        <v>55</v>
      </c>
      <c r="L73" s="20" t="s">
        <v>56</v>
      </c>
      <c r="M73" s="20" t="s">
        <v>57</v>
      </c>
      <c r="N73" s="20" t="s">
        <v>333</v>
      </c>
      <c r="O73" s="20" t="s">
        <v>2146</v>
      </c>
      <c r="P73" s="20" t="s">
        <v>2146</v>
      </c>
      <c r="Q73" s="20" t="s">
        <v>59</v>
      </c>
      <c r="R73" s="20" t="s">
        <v>333</v>
      </c>
      <c r="S73" s="20" t="s">
        <v>333</v>
      </c>
      <c r="T73" s="20"/>
      <c r="U73" s="20"/>
      <c r="V73" s="20" t="s">
        <v>344</v>
      </c>
      <c r="W73" s="20" t="s">
        <v>333</v>
      </c>
      <c r="X73" s="20" t="s">
        <v>333</v>
      </c>
      <c r="Y73" s="20" t="s">
        <v>333</v>
      </c>
      <c r="Z73" s="20" t="s">
        <v>333</v>
      </c>
      <c r="AA73" s="20" t="s">
        <v>333</v>
      </c>
      <c r="AB73" s="20" t="s">
        <v>333</v>
      </c>
      <c r="AC73" s="20"/>
      <c r="AD73" s="20" t="s">
        <v>333</v>
      </c>
      <c r="AE73" s="20" t="s">
        <v>333</v>
      </c>
      <c r="AF73" s="20" t="s">
        <v>333</v>
      </c>
      <c r="AG73" s="20" t="s">
        <v>344</v>
      </c>
      <c r="AH73" s="20" t="s">
        <v>344</v>
      </c>
      <c r="AI73" s="20" t="s">
        <v>333</v>
      </c>
      <c r="AJ73" s="20"/>
      <c r="AK73" s="20" t="s">
        <v>1244</v>
      </c>
      <c r="AL73" s="20" t="s">
        <v>1556</v>
      </c>
      <c r="AM73" s="20" t="s">
        <v>1244</v>
      </c>
      <c r="AN73" s="20" t="s">
        <v>349</v>
      </c>
      <c r="AO73" s="20"/>
      <c r="AP73" s="20" t="s">
        <v>2146</v>
      </c>
      <c r="AQ73" s="20" t="s">
        <v>2146</v>
      </c>
      <c r="AR73" s="20"/>
      <c r="AS73" s="20"/>
    </row>
    <row r="74">
      <c r="A74" s="20" t="s">
        <v>2152</v>
      </c>
      <c r="B74" s="20" t="s">
        <v>238</v>
      </c>
      <c r="C74" s="20" t="s">
        <v>239</v>
      </c>
      <c r="D74" s="29" t="s">
        <v>2153</v>
      </c>
      <c r="E74" s="20" t="s">
        <v>49</v>
      </c>
      <c r="F74" s="29" t="s">
        <v>69</v>
      </c>
      <c r="G74" s="20" t="s">
        <v>251</v>
      </c>
      <c r="H74" s="20" t="s">
        <v>91</v>
      </c>
      <c r="I74" s="20" t="s">
        <v>92</v>
      </c>
      <c r="J74" s="20" t="s">
        <v>92</v>
      </c>
      <c r="K74" s="20" t="s">
        <v>55</v>
      </c>
      <c r="L74" s="20" t="s">
        <v>56</v>
      </c>
      <c r="M74" s="20" t="s">
        <v>57</v>
      </c>
      <c r="N74" s="20" t="s">
        <v>333</v>
      </c>
      <c r="O74" s="20" t="s">
        <v>1596</v>
      </c>
      <c r="P74" s="20" t="s">
        <v>1238</v>
      </c>
      <c r="Q74" s="20" t="s">
        <v>59</v>
      </c>
      <c r="R74" s="20" t="s">
        <v>333</v>
      </c>
      <c r="S74" s="20" t="s">
        <v>333</v>
      </c>
      <c r="T74" s="20"/>
      <c r="U74" s="20"/>
      <c r="V74" s="20" t="s">
        <v>344</v>
      </c>
      <c r="W74" s="20" t="s">
        <v>333</v>
      </c>
      <c r="X74" s="20" t="s">
        <v>333</v>
      </c>
      <c r="Y74" s="20" t="s">
        <v>333</v>
      </c>
      <c r="Z74" s="20" t="s">
        <v>333</v>
      </c>
      <c r="AA74" s="20" t="s">
        <v>333</v>
      </c>
      <c r="AB74" s="20" t="s">
        <v>333</v>
      </c>
      <c r="AC74" s="20"/>
      <c r="AD74" s="20" t="s">
        <v>333</v>
      </c>
      <c r="AE74" s="20" t="s">
        <v>333</v>
      </c>
      <c r="AF74" s="20" t="s">
        <v>333</v>
      </c>
      <c r="AG74" s="20" t="s">
        <v>344</v>
      </c>
      <c r="AH74" s="20" t="s">
        <v>344</v>
      </c>
      <c r="AI74" s="20" t="s">
        <v>333</v>
      </c>
      <c r="AJ74" s="20"/>
      <c r="AK74" s="20" t="s">
        <v>1244</v>
      </c>
      <c r="AL74" s="20" t="s">
        <v>1245</v>
      </c>
      <c r="AM74" s="20" t="s">
        <v>1244</v>
      </c>
      <c r="AN74" s="20" t="s">
        <v>349</v>
      </c>
      <c r="AO74" s="20"/>
      <c r="AP74" s="20" t="s">
        <v>1596</v>
      </c>
      <c r="AQ74" s="20" t="s">
        <v>1238</v>
      </c>
      <c r="AR74" s="20"/>
      <c r="AS74" s="20"/>
    </row>
    <row r="75">
      <c r="A75" s="20" t="s">
        <v>2156</v>
      </c>
      <c r="B75" s="20" t="s">
        <v>590</v>
      </c>
      <c r="C75" s="20" t="s">
        <v>592</v>
      </c>
      <c r="D75" s="20" t="s">
        <v>762</v>
      </c>
      <c r="E75" s="20" t="s">
        <v>49</v>
      </c>
      <c r="F75" s="29" t="s">
        <v>69</v>
      </c>
      <c r="G75" s="29" t="s">
        <v>69</v>
      </c>
      <c r="H75" s="20" t="s">
        <v>599</v>
      </c>
      <c r="I75" s="20" t="s">
        <v>601</v>
      </c>
      <c r="J75" s="20" t="s">
        <v>601</v>
      </c>
      <c r="K75" s="20" t="s">
        <v>55</v>
      </c>
      <c r="L75" s="20" t="s">
        <v>56</v>
      </c>
      <c r="M75" s="20" t="s">
        <v>57</v>
      </c>
      <c r="N75" s="20" t="s">
        <v>333</v>
      </c>
      <c r="O75" s="20" t="s">
        <v>1586</v>
      </c>
      <c r="P75" s="20" t="s">
        <v>2005</v>
      </c>
      <c r="Q75" s="20" t="s">
        <v>59</v>
      </c>
      <c r="R75" s="20" t="s">
        <v>333</v>
      </c>
      <c r="S75" s="20" t="s">
        <v>333</v>
      </c>
      <c r="T75" s="20" t="s">
        <v>603</v>
      </c>
      <c r="U75" s="20"/>
      <c r="V75" s="20" t="s">
        <v>344</v>
      </c>
      <c r="W75" s="20" t="s">
        <v>333</v>
      </c>
      <c r="X75" s="20" t="s">
        <v>333</v>
      </c>
      <c r="Y75" s="20" t="s">
        <v>333</v>
      </c>
      <c r="Z75" s="20" t="s">
        <v>333</v>
      </c>
      <c r="AA75" s="20" t="s">
        <v>333</v>
      </c>
      <c r="AB75" s="20" t="s">
        <v>333</v>
      </c>
      <c r="AC75" s="20"/>
      <c r="AD75" s="20" t="s">
        <v>333</v>
      </c>
      <c r="AE75" s="20" t="s">
        <v>333</v>
      </c>
      <c r="AF75" s="20" t="s">
        <v>333</v>
      </c>
      <c r="AG75" s="20" t="s">
        <v>344</v>
      </c>
      <c r="AH75" s="20" t="s">
        <v>344</v>
      </c>
      <c r="AI75" s="20" t="s">
        <v>333</v>
      </c>
      <c r="AJ75" s="20"/>
      <c r="AK75" s="20" t="s">
        <v>1260</v>
      </c>
      <c r="AL75" s="20" t="s">
        <v>1556</v>
      </c>
      <c r="AM75" s="20" t="s">
        <v>1260</v>
      </c>
      <c r="AN75" s="20" t="s">
        <v>349</v>
      </c>
      <c r="AO75" s="20"/>
      <c r="AP75" s="20" t="s">
        <v>1586</v>
      </c>
      <c r="AQ75" s="20" t="s">
        <v>2005</v>
      </c>
      <c r="AR75" s="20"/>
      <c r="AS75" s="20"/>
    </row>
    <row r="76">
      <c r="A76" s="32" t="s">
        <v>2159</v>
      </c>
      <c r="B76" s="32" t="s">
        <v>770</v>
      </c>
      <c r="C76" s="32" t="s">
        <v>771</v>
      </c>
      <c r="D76" s="48" t="s">
        <v>2160</v>
      </c>
      <c r="E76" s="32" t="s">
        <v>49</v>
      </c>
      <c r="F76" s="32" t="s">
        <v>774</v>
      </c>
      <c r="G76" s="32" t="s">
        <v>2161</v>
      </c>
      <c r="H76" s="32" t="s">
        <v>72</v>
      </c>
      <c r="I76" s="32" t="s">
        <v>73</v>
      </c>
      <c r="J76" s="32" t="s">
        <v>74</v>
      </c>
      <c r="K76" s="32" t="s">
        <v>55</v>
      </c>
      <c r="L76" s="32" t="s">
        <v>56</v>
      </c>
      <c r="M76" s="32" t="s">
        <v>57</v>
      </c>
      <c r="N76" s="32" t="s">
        <v>333</v>
      </c>
      <c r="O76" s="32" t="s">
        <v>1795</v>
      </c>
      <c r="P76" s="32" t="s">
        <v>1596</v>
      </c>
      <c r="Q76" s="32" t="s">
        <v>59</v>
      </c>
      <c r="R76" s="32" t="s">
        <v>333</v>
      </c>
      <c r="S76" s="32" t="s">
        <v>333</v>
      </c>
      <c r="T76" s="32"/>
      <c r="U76" s="32"/>
      <c r="V76" s="32" t="s">
        <v>344</v>
      </c>
      <c r="W76" s="32" t="s">
        <v>333</v>
      </c>
      <c r="X76" s="32" t="s">
        <v>333</v>
      </c>
      <c r="Y76" s="32" t="s">
        <v>333</v>
      </c>
      <c r="Z76" s="32" t="s">
        <v>333</v>
      </c>
      <c r="AA76" s="32" t="s">
        <v>333</v>
      </c>
      <c r="AB76" s="32" t="s">
        <v>333</v>
      </c>
      <c r="AC76" s="32"/>
      <c r="AD76" s="32" t="s">
        <v>333</v>
      </c>
      <c r="AE76" s="32" t="s">
        <v>333</v>
      </c>
      <c r="AF76" s="32" t="s">
        <v>333</v>
      </c>
      <c r="AG76" s="32" t="s">
        <v>344</v>
      </c>
      <c r="AH76" s="32" t="s">
        <v>344</v>
      </c>
      <c r="AI76" s="32" t="s">
        <v>333</v>
      </c>
      <c r="AJ76" s="32"/>
      <c r="AK76" s="32" t="s">
        <v>1760</v>
      </c>
      <c r="AL76" s="32" t="s">
        <v>1261</v>
      </c>
      <c r="AM76" s="32" t="s">
        <v>1760</v>
      </c>
      <c r="AN76" s="32" t="s">
        <v>349</v>
      </c>
      <c r="AO76" s="32"/>
      <c r="AP76" s="32" t="s">
        <v>1795</v>
      </c>
      <c r="AQ76" s="32" t="s">
        <v>1596</v>
      </c>
      <c r="AR76" s="21" t="s">
        <v>1931</v>
      </c>
      <c r="AS76" s="21">
        <v>2.0</v>
      </c>
    </row>
    <row r="77">
      <c r="A77" s="20" t="s">
        <v>2165</v>
      </c>
      <c r="B77" s="20" t="s">
        <v>788</v>
      </c>
      <c r="C77" s="20" t="s">
        <v>789</v>
      </c>
      <c r="D77" s="29" t="s">
        <v>790</v>
      </c>
      <c r="E77" s="20" t="s">
        <v>49</v>
      </c>
      <c r="F77" s="80" t="s">
        <v>2169</v>
      </c>
      <c r="G77" s="29" t="s">
        <v>69</v>
      </c>
      <c r="H77" s="20" t="s">
        <v>802</v>
      </c>
      <c r="I77" s="20" t="s">
        <v>803</v>
      </c>
      <c r="J77" s="20" t="s">
        <v>74</v>
      </c>
      <c r="K77" s="20" t="s">
        <v>55</v>
      </c>
      <c r="L77" s="20" t="s">
        <v>56</v>
      </c>
      <c r="M77" s="20" t="s">
        <v>57</v>
      </c>
      <c r="N77" s="20" t="s">
        <v>333</v>
      </c>
      <c r="O77" s="20" t="s">
        <v>1720</v>
      </c>
      <c r="P77" s="20" t="s">
        <v>1556</v>
      </c>
      <c r="Q77" s="20" t="s">
        <v>59</v>
      </c>
      <c r="R77" s="20" t="s">
        <v>333</v>
      </c>
      <c r="S77" s="20" t="s">
        <v>333</v>
      </c>
      <c r="T77" s="20"/>
      <c r="U77" s="20"/>
      <c r="V77" s="20" t="s">
        <v>344</v>
      </c>
      <c r="W77" s="20" t="s">
        <v>333</v>
      </c>
      <c r="X77" s="20" t="s">
        <v>333</v>
      </c>
      <c r="Y77" s="20" t="s">
        <v>333</v>
      </c>
      <c r="Z77" s="20" t="s">
        <v>333</v>
      </c>
      <c r="AA77" s="20" t="s">
        <v>333</v>
      </c>
      <c r="AB77" s="20" t="s">
        <v>333</v>
      </c>
      <c r="AC77" s="20"/>
      <c r="AD77" s="20" t="s">
        <v>333</v>
      </c>
      <c r="AE77" s="20" t="s">
        <v>333</v>
      </c>
      <c r="AF77" s="20" t="s">
        <v>333</v>
      </c>
      <c r="AG77" s="20" t="s">
        <v>344</v>
      </c>
      <c r="AH77" s="20" t="s">
        <v>344</v>
      </c>
      <c r="AI77" s="20" t="s">
        <v>333</v>
      </c>
      <c r="AJ77" s="20"/>
      <c r="AK77" s="20" t="s">
        <v>347</v>
      </c>
      <c r="AL77" s="20" t="s">
        <v>1556</v>
      </c>
      <c r="AM77" s="20" t="s">
        <v>347</v>
      </c>
      <c r="AN77" s="20" t="s">
        <v>349</v>
      </c>
      <c r="AO77" s="20"/>
      <c r="AP77" s="20" t="s">
        <v>1720</v>
      </c>
      <c r="AQ77" s="20" t="s">
        <v>1556</v>
      </c>
      <c r="AR77" s="20"/>
      <c r="AS77" s="20"/>
    </row>
    <row r="78">
      <c r="A78" s="20" t="s">
        <v>2175</v>
      </c>
      <c r="B78" s="20" t="s">
        <v>811</v>
      </c>
      <c r="C78" s="20" t="s">
        <v>812</v>
      </c>
      <c r="D78" s="20" t="s">
        <v>814</v>
      </c>
      <c r="E78" s="20" t="s">
        <v>49</v>
      </c>
      <c r="F78" s="80" t="s">
        <v>2176</v>
      </c>
      <c r="G78" s="29" t="s">
        <v>69</v>
      </c>
      <c r="H78" s="20" t="s">
        <v>303</v>
      </c>
      <c r="I78" s="20" t="s">
        <v>303</v>
      </c>
      <c r="J78" s="20" t="s">
        <v>74</v>
      </c>
      <c r="K78" s="20" t="s">
        <v>55</v>
      </c>
      <c r="L78" s="20" t="s">
        <v>56</v>
      </c>
      <c r="M78" s="20" t="s">
        <v>57</v>
      </c>
      <c r="N78" s="20" t="s">
        <v>333</v>
      </c>
      <c r="O78" s="20" t="s">
        <v>1559</v>
      </c>
      <c r="P78" s="20" t="s">
        <v>1586</v>
      </c>
      <c r="Q78" s="20" t="s">
        <v>59</v>
      </c>
      <c r="R78" s="20" t="s">
        <v>333</v>
      </c>
      <c r="S78" s="20" t="s">
        <v>333</v>
      </c>
      <c r="T78" s="20" t="s">
        <v>2177</v>
      </c>
      <c r="U78" s="20"/>
      <c r="V78" s="20" t="s">
        <v>344</v>
      </c>
      <c r="W78" s="20" t="s">
        <v>333</v>
      </c>
      <c r="X78" s="20" t="s">
        <v>333</v>
      </c>
      <c r="Y78" s="20" t="s">
        <v>333</v>
      </c>
      <c r="Z78" s="20" t="s">
        <v>333</v>
      </c>
      <c r="AA78" s="20" t="s">
        <v>333</v>
      </c>
      <c r="AB78" s="20" t="s">
        <v>333</v>
      </c>
      <c r="AC78" s="20"/>
      <c r="AD78" s="20" t="s">
        <v>333</v>
      </c>
      <c r="AE78" s="20" t="s">
        <v>333</v>
      </c>
      <c r="AF78" s="20" t="s">
        <v>333</v>
      </c>
      <c r="AG78" s="20" t="s">
        <v>344</v>
      </c>
      <c r="AH78" s="20" t="s">
        <v>344</v>
      </c>
      <c r="AI78" s="20" t="s">
        <v>333</v>
      </c>
      <c r="AJ78" s="20"/>
      <c r="AK78" s="20" t="s">
        <v>347</v>
      </c>
      <c r="AL78" s="20" t="s">
        <v>1673</v>
      </c>
      <c r="AM78" s="20" t="s">
        <v>347</v>
      </c>
      <c r="AN78" s="20" t="s">
        <v>349</v>
      </c>
      <c r="AO78" s="20"/>
      <c r="AP78" s="20" t="s">
        <v>1559</v>
      </c>
      <c r="AQ78" s="20" t="s">
        <v>1586</v>
      </c>
      <c r="AR78" s="20"/>
      <c r="AS78" s="20"/>
    </row>
    <row r="79">
      <c r="A79" s="32" t="s">
        <v>2182</v>
      </c>
      <c r="B79" s="32" t="s">
        <v>821</v>
      </c>
      <c r="C79" s="32" t="s">
        <v>822</v>
      </c>
      <c r="D79" s="48" t="s">
        <v>2183</v>
      </c>
      <c r="E79" s="32" t="s">
        <v>49</v>
      </c>
      <c r="F79" s="32" t="s">
        <v>2184</v>
      </c>
      <c r="G79" s="32" t="s">
        <v>826</v>
      </c>
      <c r="H79" s="32" t="s">
        <v>738</v>
      </c>
      <c r="I79" s="32" t="s">
        <v>739</v>
      </c>
      <c r="J79" s="32" t="s">
        <v>74</v>
      </c>
      <c r="K79" s="32" t="s">
        <v>55</v>
      </c>
      <c r="L79" s="32" t="s">
        <v>56</v>
      </c>
      <c r="M79" s="32" t="s">
        <v>57</v>
      </c>
      <c r="N79" s="32" t="s">
        <v>333</v>
      </c>
      <c r="O79" s="32" t="s">
        <v>1586</v>
      </c>
      <c r="P79" s="32"/>
      <c r="Q79" s="32" t="s">
        <v>59</v>
      </c>
      <c r="R79" s="32" t="s">
        <v>333</v>
      </c>
      <c r="S79" s="32" t="s">
        <v>333</v>
      </c>
      <c r="T79" s="32"/>
      <c r="U79" s="32"/>
      <c r="V79" s="32" t="s">
        <v>344</v>
      </c>
      <c r="W79" s="32" t="s">
        <v>333</v>
      </c>
      <c r="X79" s="32" t="s">
        <v>333</v>
      </c>
      <c r="Y79" s="32" t="s">
        <v>333</v>
      </c>
      <c r="Z79" s="32" t="s">
        <v>333</v>
      </c>
      <c r="AA79" s="32" t="s">
        <v>333</v>
      </c>
      <c r="AB79" s="32" t="s">
        <v>333</v>
      </c>
      <c r="AC79" s="32"/>
      <c r="AD79" s="32" t="s">
        <v>333</v>
      </c>
      <c r="AE79" s="32" t="s">
        <v>333</v>
      </c>
      <c r="AF79" s="32" t="s">
        <v>333</v>
      </c>
      <c r="AG79" s="32" t="s">
        <v>344</v>
      </c>
      <c r="AH79" s="32" t="s">
        <v>344</v>
      </c>
      <c r="AI79" s="32" t="s">
        <v>333</v>
      </c>
      <c r="AJ79" s="32"/>
      <c r="AK79" s="32" t="s">
        <v>1581</v>
      </c>
      <c r="AL79" s="32" t="s">
        <v>1673</v>
      </c>
      <c r="AM79" s="32" t="s">
        <v>1581</v>
      </c>
      <c r="AN79" s="32" t="s">
        <v>349</v>
      </c>
      <c r="AO79" s="32"/>
      <c r="AP79" s="32" t="s">
        <v>1586</v>
      </c>
      <c r="AQ79" s="32" t="s">
        <v>349</v>
      </c>
      <c r="AR79" s="21" t="s">
        <v>1931</v>
      </c>
      <c r="AS79" s="21">
        <v>2.0</v>
      </c>
    </row>
    <row r="80">
      <c r="A80" s="20" t="s">
        <v>2186</v>
      </c>
      <c r="B80" s="20" t="s">
        <v>833</v>
      </c>
      <c r="C80" s="20" t="s">
        <v>834</v>
      </c>
      <c r="D80" s="29" t="s">
        <v>2187</v>
      </c>
      <c r="E80" s="20" t="s">
        <v>49</v>
      </c>
      <c r="F80" s="29" t="s">
        <v>69</v>
      </c>
      <c r="G80" s="29" t="s">
        <v>69</v>
      </c>
      <c r="H80" s="20" t="s">
        <v>570</v>
      </c>
      <c r="I80" s="20" t="s">
        <v>571</v>
      </c>
      <c r="J80" s="20" t="s">
        <v>571</v>
      </c>
      <c r="K80" s="20" t="s">
        <v>55</v>
      </c>
      <c r="L80" s="20" t="s">
        <v>56</v>
      </c>
      <c r="M80" s="20" t="s">
        <v>57</v>
      </c>
      <c r="N80" s="20" t="s">
        <v>333</v>
      </c>
      <c r="O80" s="20" t="s">
        <v>1596</v>
      </c>
      <c r="P80" s="20" t="s">
        <v>1256</v>
      </c>
      <c r="Q80" s="20" t="s">
        <v>59</v>
      </c>
      <c r="R80" s="20" t="s">
        <v>333</v>
      </c>
      <c r="S80" s="20" t="s">
        <v>333</v>
      </c>
      <c r="T80" s="20"/>
      <c r="U80" s="20"/>
      <c r="V80" s="20" t="s">
        <v>344</v>
      </c>
      <c r="W80" s="20" t="s">
        <v>333</v>
      </c>
      <c r="X80" s="20" t="s">
        <v>333</v>
      </c>
      <c r="Y80" s="20" t="s">
        <v>333</v>
      </c>
      <c r="Z80" s="20" t="s">
        <v>333</v>
      </c>
      <c r="AA80" s="20" t="s">
        <v>333</v>
      </c>
      <c r="AB80" s="20" t="s">
        <v>333</v>
      </c>
      <c r="AC80" s="20"/>
      <c r="AD80" s="20" t="s">
        <v>333</v>
      </c>
      <c r="AE80" s="20" t="s">
        <v>333</v>
      </c>
      <c r="AF80" s="20" t="s">
        <v>333</v>
      </c>
      <c r="AG80" s="20" t="s">
        <v>344</v>
      </c>
      <c r="AH80" s="20" t="s">
        <v>344</v>
      </c>
      <c r="AI80" s="20" t="s">
        <v>333</v>
      </c>
      <c r="AJ80" s="20"/>
      <c r="AK80" s="20" t="s">
        <v>347</v>
      </c>
      <c r="AL80" s="20" t="s">
        <v>348</v>
      </c>
      <c r="AM80" s="20" t="s">
        <v>347</v>
      </c>
      <c r="AN80" s="20" t="s">
        <v>349</v>
      </c>
      <c r="AO80" s="20"/>
      <c r="AP80" s="20" t="s">
        <v>1596</v>
      </c>
      <c r="AQ80" s="20" t="s">
        <v>1256</v>
      </c>
      <c r="AR80" s="20"/>
      <c r="AS80" s="20"/>
    </row>
    <row r="81">
      <c r="A81" s="20" t="s">
        <v>2190</v>
      </c>
      <c r="B81" s="20" t="s">
        <v>846</v>
      </c>
      <c r="C81" s="20" t="s">
        <v>847</v>
      </c>
      <c r="D81" s="29" t="s">
        <v>848</v>
      </c>
      <c r="E81" s="20" t="s">
        <v>49</v>
      </c>
      <c r="F81" s="80" t="s">
        <v>2192</v>
      </c>
      <c r="G81" s="82">
        <v>9.810354598E9</v>
      </c>
      <c r="H81" s="20" t="s">
        <v>314</v>
      </c>
      <c r="I81" s="20" t="s">
        <v>315</v>
      </c>
      <c r="J81" s="20" t="s">
        <v>74</v>
      </c>
      <c r="K81" s="20" t="s">
        <v>55</v>
      </c>
      <c r="L81" s="20" t="s">
        <v>56</v>
      </c>
      <c r="M81" s="20" t="s">
        <v>57</v>
      </c>
      <c r="N81" s="20" t="s">
        <v>333</v>
      </c>
      <c r="O81" s="20" t="s">
        <v>1682</v>
      </c>
      <c r="P81" s="20" t="s">
        <v>2005</v>
      </c>
      <c r="Q81" s="20" t="s">
        <v>59</v>
      </c>
      <c r="R81" s="20" t="s">
        <v>333</v>
      </c>
      <c r="S81" s="20" t="s">
        <v>333</v>
      </c>
      <c r="T81" s="20"/>
      <c r="U81" s="20"/>
      <c r="V81" s="20" t="s">
        <v>344</v>
      </c>
      <c r="W81" s="20" t="s">
        <v>333</v>
      </c>
      <c r="X81" s="20" t="s">
        <v>333</v>
      </c>
      <c r="Y81" s="20" t="s">
        <v>333</v>
      </c>
      <c r="Z81" s="20" t="s">
        <v>333</v>
      </c>
      <c r="AA81" s="20" t="s">
        <v>333</v>
      </c>
      <c r="AB81" s="20" t="s">
        <v>333</v>
      </c>
      <c r="AC81" s="20"/>
      <c r="AD81" s="20" t="s">
        <v>333</v>
      </c>
      <c r="AE81" s="20" t="s">
        <v>333</v>
      </c>
      <c r="AF81" s="20" t="s">
        <v>333</v>
      </c>
      <c r="AG81" s="20" t="s">
        <v>344</v>
      </c>
      <c r="AH81" s="20" t="s">
        <v>344</v>
      </c>
      <c r="AI81" s="20" t="s">
        <v>333</v>
      </c>
      <c r="AJ81" s="20"/>
      <c r="AK81" s="20" t="s">
        <v>1587</v>
      </c>
      <c r="AL81" s="20" t="s">
        <v>1673</v>
      </c>
      <c r="AM81" s="20" t="s">
        <v>1587</v>
      </c>
      <c r="AN81" s="20" t="s">
        <v>349</v>
      </c>
      <c r="AO81" s="20"/>
      <c r="AP81" s="20" t="s">
        <v>1682</v>
      </c>
      <c r="AQ81" s="20" t="s">
        <v>2005</v>
      </c>
      <c r="AR81" s="20"/>
      <c r="AS81" s="20"/>
    </row>
    <row r="82">
      <c r="A82" s="20" t="s">
        <v>2198</v>
      </c>
      <c r="B82" s="20" t="s">
        <v>1748</v>
      </c>
      <c r="C82" s="20" t="s">
        <v>1749</v>
      </c>
      <c r="D82" s="29" t="s">
        <v>2199</v>
      </c>
      <c r="E82" s="20" t="s">
        <v>49</v>
      </c>
      <c r="F82" s="80" t="s">
        <v>2200</v>
      </c>
      <c r="G82" s="29" t="s">
        <v>69</v>
      </c>
      <c r="H82" s="20" t="s">
        <v>303</v>
      </c>
      <c r="I82" s="20" t="s">
        <v>303</v>
      </c>
      <c r="J82" s="20" t="s">
        <v>74</v>
      </c>
      <c r="K82" s="20" t="s">
        <v>55</v>
      </c>
      <c r="L82" s="20" t="s">
        <v>56</v>
      </c>
      <c r="M82" s="20" t="s">
        <v>57</v>
      </c>
      <c r="N82" s="20" t="s">
        <v>333</v>
      </c>
      <c r="O82" s="20" t="s">
        <v>1564</v>
      </c>
      <c r="P82" s="20" t="s">
        <v>1586</v>
      </c>
      <c r="Q82" s="20" t="s">
        <v>59</v>
      </c>
      <c r="R82" s="20" t="s">
        <v>333</v>
      </c>
      <c r="S82" s="20" t="s">
        <v>333</v>
      </c>
      <c r="T82" s="20"/>
      <c r="U82" s="20"/>
      <c r="V82" s="20" t="s">
        <v>344</v>
      </c>
      <c r="W82" s="20" t="s">
        <v>333</v>
      </c>
      <c r="X82" s="20" t="s">
        <v>333</v>
      </c>
      <c r="Y82" s="20" t="s">
        <v>333</v>
      </c>
      <c r="Z82" s="20" t="s">
        <v>333</v>
      </c>
      <c r="AA82" s="20" t="s">
        <v>333</v>
      </c>
      <c r="AB82" s="20" t="s">
        <v>333</v>
      </c>
      <c r="AC82" s="20"/>
      <c r="AD82" s="20" t="s">
        <v>333</v>
      </c>
      <c r="AE82" s="20" t="s">
        <v>333</v>
      </c>
      <c r="AF82" s="20" t="s">
        <v>333</v>
      </c>
      <c r="AG82" s="20" t="s">
        <v>344</v>
      </c>
      <c r="AH82" s="20" t="s">
        <v>344</v>
      </c>
      <c r="AI82" s="20" t="s">
        <v>333</v>
      </c>
      <c r="AJ82" s="20"/>
      <c r="AK82" s="20" t="s">
        <v>1595</v>
      </c>
      <c r="AL82" s="20" t="s">
        <v>1245</v>
      </c>
      <c r="AM82" s="20" t="s">
        <v>1595</v>
      </c>
      <c r="AN82" s="20" t="s">
        <v>349</v>
      </c>
      <c r="AO82" s="20"/>
      <c r="AP82" s="20" t="s">
        <v>1564</v>
      </c>
      <c r="AQ82" s="20" t="s">
        <v>1586</v>
      </c>
      <c r="AR82" s="20"/>
      <c r="AS82" s="20"/>
    </row>
    <row r="83">
      <c r="A83" s="20" t="s">
        <v>2209</v>
      </c>
      <c r="B83" s="20" t="s">
        <v>1763</v>
      </c>
      <c r="C83" s="20" t="s">
        <v>1764</v>
      </c>
      <c r="D83" s="20" t="s">
        <v>1765</v>
      </c>
      <c r="E83" s="20" t="s">
        <v>49</v>
      </c>
      <c r="F83" s="29" t="s">
        <v>69</v>
      </c>
      <c r="G83" s="20" t="s">
        <v>1767</v>
      </c>
      <c r="H83" s="20" t="s">
        <v>203</v>
      </c>
      <c r="I83" s="20" t="s">
        <v>204</v>
      </c>
      <c r="J83" s="20" t="s">
        <v>74</v>
      </c>
      <c r="K83" s="20" t="s">
        <v>55</v>
      </c>
      <c r="L83" s="20" t="s">
        <v>56</v>
      </c>
      <c r="M83" s="20" t="s">
        <v>57</v>
      </c>
      <c r="N83" s="20" t="s">
        <v>333</v>
      </c>
      <c r="O83" s="20" t="s">
        <v>2211</v>
      </c>
      <c r="P83" s="20" t="s">
        <v>2212</v>
      </c>
      <c r="Q83" s="20" t="s">
        <v>59</v>
      </c>
      <c r="R83" s="20" t="s">
        <v>333</v>
      </c>
      <c r="S83" s="20" t="s">
        <v>333</v>
      </c>
      <c r="T83" s="20" t="s">
        <v>2214</v>
      </c>
      <c r="U83" s="20"/>
      <c r="V83" s="20" t="s">
        <v>344</v>
      </c>
      <c r="W83" s="20" t="s">
        <v>333</v>
      </c>
      <c r="X83" s="20" t="s">
        <v>333</v>
      </c>
      <c r="Y83" s="20" t="s">
        <v>333</v>
      </c>
      <c r="Z83" s="20" t="s">
        <v>333</v>
      </c>
      <c r="AA83" s="20" t="s">
        <v>333</v>
      </c>
      <c r="AB83" s="20" t="s">
        <v>333</v>
      </c>
      <c r="AC83" s="20"/>
      <c r="AD83" s="20" t="s">
        <v>333</v>
      </c>
      <c r="AE83" s="20" t="s">
        <v>333</v>
      </c>
      <c r="AF83" s="20" t="s">
        <v>333</v>
      </c>
      <c r="AG83" s="20" t="s">
        <v>344</v>
      </c>
      <c r="AH83" s="20" t="s">
        <v>344</v>
      </c>
      <c r="AI83" s="20" t="s">
        <v>333</v>
      </c>
      <c r="AJ83" s="20"/>
      <c r="AK83" s="20" t="s">
        <v>347</v>
      </c>
      <c r="AL83" s="20" t="s">
        <v>2217</v>
      </c>
      <c r="AM83" s="20" t="s">
        <v>347</v>
      </c>
      <c r="AN83" s="20" t="s">
        <v>349</v>
      </c>
      <c r="AO83" s="20"/>
      <c r="AP83" s="20" t="s">
        <v>2211</v>
      </c>
      <c r="AQ83" s="20" t="s">
        <v>2212</v>
      </c>
      <c r="AR83" s="20"/>
      <c r="AS83" s="20"/>
    </row>
    <row r="84">
      <c r="A84" s="32" t="s">
        <v>2218</v>
      </c>
      <c r="B84" s="32" t="s">
        <v>220</v>
      </c>
      <c r="C84" s="32" t="s">
        <v>221</v>
      </c>
      <c r="D84" s="48" t="s">
        <v>2219</v>
      </c>
      <c r="E84" s="32" t="s">
        <v>49</v>
      </c>
      <c r="F84" s="32" t="s">
        <v>2220</v>
      </c>
      <c r="G84" s="32" t="s">
        <v>1448</v>
      </c>
      <c r="H84" s="32" t="s">
        <v>75</v>
      </c>
      <c r="I84" s="32" t="s">
        <v>76</v>
      </c>
      <c r="J84" s="32" t="s">
        <v>76</v>
      </c>
      <c r="K84" s="32" t="s">
        <v>55</v>
      </c>
      <c r="L84" s="32" t="s">
        <v>56</v>
      </c>
      <c r="M84" s="32" t="s">
        <v>57</v>
      </c>
      <c r="N84" s="32" t="s">
        <v>333</v>
      </c>
      <c r="O84" s="32" t="s">
        <v>2117</v>
      </c>
      <c r="P84" s="32" t="s">
        <v>1239</v>
      </c>
      <c r="Q84" s="32" t="s">
        <v>59</v>
      </c>
      <c r="R84" s="32" t="s">
        <v>333</v>
      </c>
      <c r="S84" s="32" t="s">
        <v>333</v>
      </c>
      <c r="T84" s="32"/>
      <c r="U84" s="32"/>
      <c r="V84" s="32" t="s">
        <v>344</v>
      </c>
      <c r="W84" s="32" t="s">
        <v>333</v>
      </c>
      <c r="X84" s="32" t="s">
        <v>333</v>
      </c>
      <c r="Y84" s="32" t="s">
        <v>333</v>
      </c>
      <c r="Z84" s="32" t="s">
        <v>333</v>
      </c>
      <c r="AA84" s="32" t="s">
        <v>333</v>
      </c>
      <c r="AB84" s="32" t="s">
        <v>333</v>
      </c>
      <c r="AC84" s="32"/>
      <c r="AD84" s="32" t="s">
        <v>333</v>
      </c>
      <c r="AE84" s="32" t="s">
        <v>333</v>
      </c>
      <c r="AF84" s="32" t="s">
        <v>333</v>
      </c>
      <c r="AG84" s="32" t="s">
        <v>344</v>
      </c>
      <c r="AH84" s="32" t="s">
        <v>344</v>
      </c>
      <c r="AI84" s="32" t="s">
        <v>333</v>
      </c>
      <c r="AJ84" s="32"/>
      <c r="AK84" s="32" t="s">
        <v>347</v>
      </c>
      <c r="AL84" s="32" t="s">
        <v>1795</v>
      </c>
      <c r="AM84" s="32" t="s">
        <v>347</v>
      </c>
      <c r="AN84" s="32" t="s">
        <v>349</v>
      </c>
      <c r="AO84" s="32"/>
      <c r="AP84" s="32" t="s">
        <v>2117</v>
      </c>
      <c r="AQ84" s="32" t="s">
        <v>1239</v>
      </c>
      <c r="AR84" s="21" t="s">
        <v>1931</v>
      </c>
      <c r="AS84" s="21">
        <v>2.0</v>
      </c>
    </row>
    <row r="85">
      <c r="A85" s="20" t="s">
        <v>2223</v>
      </c>
      <c r="B85" s="20" t="s">
        <v>1279</v>
      </c>
      <c r="C85" s="20" t="s">
        <v>1280</v>
      </c>
      <c r="D85" s="29" t="s">
        <v>2224</v>
      </c>
      <c r="E85" s="20" t="s">
        <v>49</v>
      </c>
      <c r="F85" s="29" t="s">
        <v>69</v>
      </c>
      <c r="G85" s="29" t="s">
        <v>69</v>
      </c>
      <c r="H85" s="20" t="s">
        <v>860</v>
      </c>
      <c r="I85" s="20" t="s">
        <v>861</v>
      </c>
      <c r="J85" s="20" t="s">
        <v>74</v>
      </c>
      <c r="K85" s="20" t="s">
        <v>55</v>
      </c>
      <c r="L85" s="20" t="s">
        <v>56</v>
      </c>
      <c r="M85" s="20" t="s">
        <v>57</v>
      </c>
      <c r="N85" s="20" t="s">
        <v>333</v>
      </c>
      <c r="O85" s="20" t="s">
        <v>1571</v>
      </c>
      <c r="P85" s="20" t="s">
        <v>1596</v>
      </c>
      <c r="Q85" s="20" t="s">
        <v>59</v>
      </c>
      <c r="R85" s="20" t="s">
        <v>333</v>
      </c>
      <c r="S85" s="20" t="s">
        <v>333</v>
      </c>
      <c r="T85" s="20"/>
      <c r="U85" s="20"/>
      <c r="V85" s="20" t="s">
        <v>344</v>
      </c>
      <c r="W85" s="20" t="s">
        <v>333</v>
      </c>
      <c r="X85" s="20" t="s">
        <v>333</v>
      </c>
      <c r="Y85" s="20" t="s">
        <v>333</v>
      </c>
      <c r="Z85" s="20" t="s">
        <v>333</v>
      </c>
      <c r="AA85" s="20" t="s">
        <v>333</v>
      </c>
      <c r="AB85" s="20" t="s">
        <v>333</v>
      </c>
      <c r="AC85" s="20"/>
      <c r="AD85" s="20" t="s">
        <v>333</v>
      </c>
      <c r="AE85" s="20" t="s">
        <v>333</v>
      </c>
      <c r="AF85" s="20" t="s">
        <v>333</v>
      </c>
      <c r="AG85" s="20" t="s">
        <v>344</v>
      </c>
      <c r="AH85" s="20" t="s">
        <v>344</v>
      </c>
      <c r="AI85" s="20" t="s">
        <v>333</v>
      </c>
      <c r="AJ85" s="20"/>
      <c r="AK85" s="20" t="s">
        <v>1244</v>
      </c>
      <c r="AL85" s="20" t="s">
        <v>348</v>
      </c>
      <c r="AM85" s="20" t="s">
        <v>1244</v>
      </c>
      <c r="AN85" s="20" t="s">
        <v>349</v>
      </c>
      <c r="AO85" s="20"/>
      <c r="AP85" s="20" t="s">
        <v>1571</v>
      </c>
      <c r="AQ85" s="20" t="s">
        <v>1596</v>
      </c>
      <c r="AR85" s="20"/>
      <c r="AS85" s="20"/>
    </row>
    <row r="86">
      <c r="A86" s="20" t="s">
        <v>2227</v>
      </c>
      <c r="B86" s="20" t="s">
        <v>1372</v>
      </c>
      <c r="C86" s="20" t="s">
        <v>1373</v>
      </c>
      <c r="D86" s="29" t="s">
        <v>1374</v>
      </c>
      <c r="E86" s="20" t="s">
        <v>49</v>
      </c>
      <c r="F86" s="80" t="s">
        <v>2228</v>
      </c>
      <c r="G86" s="81" t="s">
        <v>2232</v>
      </c>
      <c r="H86" s="20" t="s">
        <v>586</v>
      </c>
      <c r="I86" s="20" t="s">
        <v>587</v>
      </c>
      <c r="J86" s="20" t="s">
        <v>74</v>
      </c>
      <c r="K86" s="20" t="s">
        <v>55</v>
      </c>
      <c r="L86" s="20" t="s">
        <v>56</v>
      </c>
      <c r="M86" s="20" t="s">
        <v>57</v>
      </c>
      <c r="N86" s="20" t="s">
        <v>333</v>
      </c>
      <c r="O86" s="20" t="s">
        <v>1695</v>
      </c>
      <c r="P86" s="20" t="s">
        <v>1682</v>
      </c>
      <c r="Q86" s="20" t="s">
        <v>59</v>
      </c>
      <c r="R86" s="20" t="s">
        <v>333</v>
      </c>
      <c r="S86" s="20" t="s">
        <v>333</v>
      </c>
      <c r="T86" s="20"/>
      <c r="U86" s="20"/>
      <c r="V86" s="20" t="s">
        <v>344</v>
      </c>
      <c r="W86" s="20" t="s">
        <v>333</v>
      </c>
      <c r="X86" s="20" t="s">
        <v>333</v>
      </c>
      <c r="Y86" s="20" t="s">
        <v>333</v>
      </c>
      <c r="Z86" s="20" t="s">
        <v>333</v>
      </c>
      <c r="AA86" s="20" t="s">
        <v>333</v>
      </c>
      <c r="AB86" s="20" t="s">
        <v>333</v>
      </c>
      <c r="AC86" s="20"/>
      <c r="AD86" s="20" t="s">
        <v>333</v>
      </c>
      <c r="AE86" s="20" t="s">
        <v>333</v>
      </c>
      <c r="AF86" s="20" t="s">
        <v>333</v>
      </c>
      <c r="AG86" s="20" t="s">
        <v>344</v>
      </c>
      <c r="AH86" s="20" t="s">
        <v>344</v>
      </c>
      <c r="AI86" s="20" t="s">
        <v>333</v>
      </c>
      <c r="AJ86" s="20"/>
      <c r="AK86" s="20" t="s">
        <v>1260</v>
      </c>
      <c r="AL86" s="20" t="s">
        <v>1673</v>
      </c>
      <c r="AM86" s="20" t="s">
        <v>1260</v>
      </c>
      <c r="AN86" s="20" t="s">
        <v>349</v>
      </c>
      <c r="AO86" s="20"/>
      <c r="AP86" s="20" t="s">
        <v>1695</v>
      </c>
      <c r="AQ86" s="20" t="s">
        <v>1682</v>
      </c>
      <c r="AR86" s="20"/>
      <c r="AS86" s="20"/>
    </row>
    <row r="87">
      <c r="A87" s="20" t="s">
        <v>2238</v>
      </c>
      <c r="B87" s="20" t="s">
        <v>2239</v>
      </c>
      <c r="C87" s="20" t="s">
        <v>2240</v>
      </c>
      <c r="D87" s="20" t="s">
        <v>2241</v>
      </c>
      <c r="E87" s="20" t="s">
        <v>49</v>
      </c>
      <c r="F87" s="29" t="s">
        <v>69</v>
      </c>
      <c r="G87" s="54" t="s">
        <v>69</v>
      </c>
      <c r="H87" s="20" t="s">
        <v>738</v>
      </c>
      <c r="I87" s="20" t="s">
        <v>739</v>
      </c>
      <c r="J87" s="20" t="s">
        <v>74</v>
      </c>
      <c r="K87" s="20" t="s">
        <v>55</v>
      </c>
      <c r="L87" s="20" t="s">
        <v>56</v>
      </c>
      <c r="M87" s="20" t="s">
        <v>57</v>
      </c>
      <c r="N87" s="20" t="s">
        <v>333</v>
      </c>
      <c r="O87" s="20" t="s">
        <v>1239</v>
      </c>
      <c r="P87" s="20" t="s">
        <v>1564</v>
      </c>
      <c r="Q87" s="20" t="s">
        <v>59</v>
      </c>
      <c r="R87" s="20" t="s">
        <v>333</v>
      </c>
      <c r="S87" s="20" t="s">
        <v>333</v>
      </c>
      <c r="T87" s="20" t="s">
        <v>2242</v>
      </c>
      <c r="U87" s="20"/>
      <c r="V87" s="20" t="s">
        <v>344</v>
      </c>
      <c r="W87" s="20" t="s">
        <v>333</v>
      </c>
      <c r="X87" s="20" t="s">
        <v>333</v>
      </c>
      <c r="Y87" s="20" t="s">
        <v>333</v>
      </c>
      <c r="Z87" s="20" t="s">
        <v>333</v>
      </c>
      <c r="AA87" s="20" t="s">
        <v>333</v>
      </c>
      <c r="AB87" s="20" t="s">
        <v>333</v>
      </c>
      <c r="AC87" s="20"/>
      <c r="AD87" s="20" t="s">
        <v>333</v>
      </c>
      <c r="AE87" s="20" t="s">
        <v>333</v>
      </c>
      <c r="AF87" s="20" t="s">
        <v>333</v>
      </c>
      <c r="AG87" s="20" t="s">
        <v>344</v>
      </c>
      <c r="AH87" s="20" t="s">
        <v>344</v>
      </c>
      <c r="AI87" s="20" t="s">
        <v>333</v>
      </c>
      <c r="AJ87" s="20"/>
      <c r="AK87" s="20" t="s">
        <v>1595</v>
      </c>
      <c r="AL87" s="20" t="s">
        <v>1586</v>
      </c>
      <c r="AM87" s="20" t="s">
        <v>1595</v>
      </c>
      <c r="AN87" s="20" t="s">
        <v>349</v>
      </c>
      <c r="AO87" s="20"/>
      <c r="AP87" s="20" t="s">
        <v>1239</v>
      </c>
      <c r="AQ87" s="20" t="s">
        <v>1564</v>
      </c>
      <c r="AR87" s="20"/>
      <c r="AS87" s="20"/>
    </row>
    <row r="88">
      <c r="A88" s="20" t="s">
        <v>2246</v>
      </c>
      <c r="B88" s="20" t="s">
        <v>1641</v>
      </c>
      <c r="C88" s="20" t="s">
        <v>1642</v>
      </c>
      <c r="D88" s="20" t="s">
        <v>1643</v>
      </c>
      <c r="E88" s="20" t="s">
        <v>49</v>
      </c>
      <c r="F88" s="29" t="s">
        <v>69</v>
      </c>
      <c r="G88" s="29" t="s">
        <v>69</v>
      </c>
      <c r="H88" s="20" t="s">
        <v>303</v>
      </c>
      <c r="I88" s="20" t="s">
        <v>303</v>
      </c>
      <c r="J88" s="20" t="s">
        <v>74</v>
      </c>
      <c r="K88" s="20" t="s">
        <v>55</v>
      </c>
      <c r="L88" s="20" t="s">
        <v>56</v>
      </c>
      <c r="M88" s="20" t="s">
        <v>57</v>
      </c>
      <c r="N88" s="20" t="s">
        <v>333</v>
      </c>
      <c r="O88" s="20" t="s">
        <v>1920</v>
      </c>
      <c r="P88" s="20" t="s">
        <v>1586</v>
      </c>
      <c r="Q88" s="20" t="s">
        <v>59</v>
      </c>
      <c r="R88" s="20" t="s">
        <v>333</v>
      </c>
      <c r="S88" s="20" t="s">
        <v>333</v>
      </c>
      <c r="T88" s="20" t="s">
        <v>1646</v>
      </c>
      <c r="U88" s="20"/>
      <c r="V88" s="20" t="s">
        <v>344</v>
      </c>
      <c r="W88" s="20" t="s">
        <v>333</v>
      </c>
      <c r="X88" s="20" t="s">
        <v>333</v>
      </c>
      <c r="Y88" s="20" t="s">
        <v>333</v>
      </c>
      <c r="Z88" s="20" t="s">
        <v>333</v>
      </c>
      <c r="AA88" s="20" t="s">
        <v>333</v>
      </c>
      <c r="AB88" s="20" t="s">
        <v>333</v>
      </c>
      <c r="AC88" s="20"/>
      <c r="AD88" s="20" t="s">
        <v>333</v>
      </c>
      <c r="AE88" s="20" t="s">
        <v>333</v>
      </c>
      <c r="AF88" s="20" t="s">
        <v>333</v>
      </c>
      <c r="AG88" s="20" t="s">
        <v>344</v>
      </c>
      <c r="AH88" s="20" t="s">
        <v>344</v>
      </c>
      <c r="AI88" s="20" t="s">
        <v>333</v>
      </c>
      <c r="AJ88" s="20"/>
      <c r="AK88" s="20" t="s">
        <v>1595</v>
      </c>
      <c r="AL88" s="20" t="s">
        <v>1663</v>
      </c>
      <c r="AM88" s="20" t="s">
        <v>1595</v>
      </c>
      <c r="AN88" s="20" t="s">
        <v>349</v>
      </c>
      <c r="AO88" s="20"/>
      <c r="AP88" s="20" t="s">
        <v>1920</v>
      </c>
      <c r="AQ88" s="20" t="s">
        <v>1586</v>
      </c>
      <c r="AR88" s="20"/>
      <c r="AS88" s="20"/>
    </row>
    <row r="89">
      <c r="A89" s="20" t="s">
        <v>2253</v>
      </c>
      <c r="B89" s="20" t="s">
        <v>1393</v>
      </c>
      <c r="C89" s="20" t="s">
        <v>1395</v>
      </c>
      <c r="D89" s="29" t="s">
        <v>1397</v>
      </c>
      <c r="E89" s="20" t="s">
        <v>49</v>
      </c>
      <c r="F89" s="80" t="s">
        <v>2254</v>
      </c>
      <c r="G89" s="81" t="s">
        <v>2257</v>
      </c>
      <c r="H89" s="20" t="s">
        <v>303</v>
      </c>
      <c r="I89" s="20" t="s">
        <v>303</v>
      </c>
      <c r="J89" s="20" t="s">
        <v>74</v>
      </c>
      <c r="K89" s="20" t="s">
        <v>55</v>
      </c>
      <c r="L89" s="20" t="s">
        <v>56</v>
      </c>
      <c r="M89" s="20" t="s">
        <v>57</v>
      </c>
      <c r="N89" s="20" t="s">
        <v>333</v>
      </c>
      <c r="O89" s="20" t="s">
        <v>1596</v>
      </c>
      <c r="P89" s="20"/>
      <c r="Q89" s="20" t="s">
        <v>59</v>
      </c>
      <c r="R89" s="20" t="s">
        <v>333</v>
      </c>
      <c r="S89" s="20" t="s">
        <v>333</v>
      </c>
      <c r="T89" s="20"/>
      <c r="U89" s="20"/>
      <c r="V89" s="20" t="s">
        <v>344</v>
      </c>
      <c r="W89" s="20" t="s">
        <v>333</v>
      </c>
      <c r="X89" s="20" t="s">
        <v>333</v>
      </c>
      <c r="Y89" s="20" t="s">
        <v>333</v>
      </c>
      <c r="Z89" s="20" t="s">
        <v>333</v>
      </c>
      <c r="AA89" s="20" t="s">
        <v>333</v>
      </c>
      <c r="AB89" s="20" t="s">
        <v>333</v>
      </c>
      <c r="AC89" s="20"/>
      <c r="AD89" s="20" t="s">
        <v>333</v>
      </c>
      <c r="AE89" s="20" t="s">
        <v>333</v>
      </c>
      <c r="AF89" s="20" t="s">
        <v>333</v>
      </c>
      <c r="AG89" s="20" t="s">
        <v>344</v>
      </c>
      <c r="AH89" s="20" t="s">
        <v>344</v>
      </c>
      <c r="AI89" s="20" t="s">
        <v>333</v>
      </c>
      <c r="AJ89" s="20"/>
      <c r="AK89" s="20" t="s">
        <v>1244</v>
      </c>
      <c r="AL89" s="20" t="s">
        <v>1245</v>
      </c>
      <c r="AM89" s="20" t="s">
        <v>1244</v>
      </c>
      <c r="AN89" s="20" t="s">
        <v>349</v>
      </c>
      <c r="AO89" s="20"/>
      <c r="AP89" s="20" t="s">
        <v>1596</v>
      </c>
      <c r="AQ89" s="20" t="s">
        <v>349</v>
      </c>
      <c r="AR89" s="20"/>
      <c r="AS89" s="20"/>
    </row>
    <row r="90">
      <c r="A90" s="20" t="s">
        <v>2258</v>
      </c>
      <c r="B90" s="20" t="s">
        <v>1182</v>
      </c>
      <c r="C90" s="20" t="s">
        <v>1183</v>
      </c>
      <c r="D90" s="20" t="s">
        <v>1185</v>
      </c>
      <c r="E90" s="20" t="s">
        <v>49</v>
      </c>
      <c r="F90" s="80" t="s">
        <v>2260</v>
      </c>
      <c r="G90" s="29" t="s">
        <v>69</v>
      </c>
      <c r="H90" s="20" t="s">
        <v>142</v>
      </c>
      <c r="I90" s="20" t="s">
        <v>144</v>
      </c>
      <c r="J90" s="20" t="s">
        <v>74</v>
      </c>
      <c r="K90" s="20" t="s">
        <v>55</v>
      </c>
      <c r="L90" s="20" t="s">
        <v>56</v>
      </c>
      <c r="M90" s="20" t="s">
        <v>57</v>
      </c>
      <c r="N90" s="20" t="s">
        <v>333</v>
      </c>
      <c r="O90" s="20" t="s">
        <v>2262</v>
      </c>
      <c r="P90" s="20" t="s">
        <v>1559</v>
      </c>
      <c r="Q90" s="20" t="s">
        <v>59</v>
      </c>
      <c r="R90" s="20" t="s">
        <v>333</v>
      </c>
      <c r="S90" s="20" t="s">
        <v>333</v>
      </c>
      <c r="T90" s="20" t="s">
        <v>275</v>
      </c>
      <c r="U90" s="20"/>
      <c r="V90" s="20" t="s">
        <v>344</v>
      </c>
      <c r="W90" s="20" t="s">
        <v>333</v>
      </c>
      <c r="X90" s="20" t="s">
        <v>333</v>
      </c>
      <c r="Y90" s="20" t="s">
        <v>333</v>
      </c>
      <c r="Z90" s="20" t="s">
        <v>333</v>
      </c>
      <c r="AA90" s="20" t="s">
        <v>333</v>
      </c>
      <c r="AB90" s="20" t="s">
        <v>333</v>
      </c>
      <c r="AC90" s="20"/>
      <c r="AD90" s="20" t="s">
        <v>333</v>
      </c>
      <c r="AE90" s="20" t="s">
        <v>333</v>
      </c>
      <c r="AF90" s="20" t="s">
        <v>333</v>
      </c>
      <c r="AG90" s="20" t="s">
        <v>344</v>
      </c>
      <c r="AH90" s="20" t="s">
        <v>344</v>
      </c>
      <c r="AI90" s="20" t="s">
        <v>333</v>
      </c>
      <c r="AJ90" s="20"/>
      <c r="AK90" s="20" t="s">
        <v>1244</v>
      </c>
      <c r="AL90" s="20" t="s">
        <v>1245</v>
      </c>
      <c r="AM90" s="20" t="s">
        <v>1244</v>
      </c>
      <c r="AN90" s="20" t="s">
        <v>349</v>
      </c>
      <c r="AO90" s="20"/>
      <c r="AP90" s="20" t="s">
        <v>2262</v>
      </c>
      <c r="AQ90" s="20" t="s">
        <v>1559</v>
      </c>
      <c r="AR90" s="20"/>
      <c r="AS90" s="20"/>
    </row>
    <row r="91">
      <c r="A91" s="20" t="s">
        <v>2263</v>
      </c>
      <c r="B91" s="20" t="s">
        <v>681</v>
      </c>
      <c r="C91" s="20" t="s">
        <v>682</v>
      </c>
      <c r="D91" s="20" t="s">
        <v>684</v>
      </c>
      <c r="E91" s="20" t="s">
        <v>49</v>
      </c>
      <c r="F91" s="20" t="s">
        <v>2264</v>
      </c>
      <c r="G91" s="29" t="s">
        <v>69</v>
      </c>
      <c r="H91" s="20" t="s">
        <v>599</v>
      </c>
      <c r="I91" s="20" t="s">
        <v>601</v>
      </c>
      <c r="J91" s="20" t="s">
        <v>601</v>
      </c>
      <c r="K91" s="20" t="s">
        <v>55</v>
      </c>
      <c r="L91" s="20" t="s">
        <v>56</v>
      </c>
      <c r="M91" s="20" t="s">
        <v>57</v>
      </c>
      <c r="N91" s="20" t="s">
        <v>333</v>
      </c>
      <c r="O91" s="20" t="s">
        <v>1682</v>
      </c>
      <c r="P91" s="20" t="s">
        <v>1556</v>
      </c>
      <c r="Q91" s="20" t="s">
        <v>59</v>
      </c>
      <c r="R91" s="20" t="s">
        <v>333</v>
      </c>
      <c r="S91" s="20" t="s">
        <v>333</v>
      </c>
      <c r="T91" s="20" t="s">
        <v>127</v>
      </c>
      <c r="U91" s="20"/>
      <c r="V91" s="20" t="s">
        <v>344</v>
      </c>
      <c r="W91" s="20" t="s">
        <v>333</v>
      </c>
      <c r="X91" s="20" t="s">
        <v>333</v>
      </c>
      <c r="Y91" s="20" t="s">
        <v>333</v>
      </c>
      <c r="Z91" s="20" t="s">
        <v>333</v>
      </c>
      <c r="AA91" s="20" t="s">
        <v>333</v>
      </c>
      <c r="AB91" s="20" t="s">
        <v>333</v>
      </c>
      <c r="AC91" s="20"/>
      <c r="AD91" s="20" t="s">
        <v>333</v>
      </c>
      <c r="AE91" s="20" t="s">
        <v>333</v>
      </c>
      <c r="AF91" s="20" t="s">
        <v>333</v>
      </c>
      <c r="AG91" s="20" t="s">
        <v>344</v>
      </c>
      <c r="AH91" s="20" t="s">
        <v>344</v>
      </c>
      <c r="AI91" s="20" t="s">
        <v>333</v>
      </c>
      <c r="AJ91" s="20"/>
      <c r="AK91" s="20" t="s">
        <v>1595</v>
      </c>
      <c r="AL91" s="20" t="s">
        <v>2265</v>
      </c>
      <c r="AM91" s="20" t="s">
        <v>1595</v>
      </c>
      <c r="AN91" s="20" t="s">
        <v>349</v>
      </c>
      <c r="AO91" s="20"/>
      <c r="AP91" s="20" t="s">
        <v>1682</v>
      </c>
      <c r="AQ91" s="20" t="s">
        <v>1556</v>
      </c>
      <c r="AR91" s="29" t="s">
        <v>1951</v>
      </c>
      <c r="AS91" s="20"/>
    </row>
    <row r="92">
      <c r="A92" s="20" t="s">
        <v>2266</v>
      </c>
      <c r="B92" s="20" t="s">
        <v>1665</v>
      </c>
      <c r="C92" s="20" t="s">
        <v>1666</v>
      </c>
      <c r="D92" s="20" t="s">
        <v>1667</v>
      </c>
      <c r="E92" s="20" t="s">
        <v>49</v>
      </c>
      <c r="F92" s="80" t="s">
        <v>2267</v>
      </c>
      <c r="G92" s="29" t="s">
        <v>69</v>
      </c>
      <c r="H92" s="20" t="s">
        <v>1336</v>
      </c>
      <c r="I92" s="20" t="s">
        <v>1337</v>
      </c>
      <c r="J92" s="20" t="s">
        <v>74</v>
      </c>
      <c r="K92" s="20" t="s">
        <v>55</v>
      </c>
      <c r="L92" s="20" t="s">
        <v>56</v>
      </c>
      <c r="M92" s="20" t="s">
        <v>57</v>
      </c>
      <c r="N92" s="20" t="s">
        <v>333</v>
      </c>
      <c r="O92" s="20" t="s">
        <v>1720</v>
      </c>
      <c r="P92" s="20"/>
      <c r="Q92" s="20" t="s">
        <v>59</v>
      </c>
      <c r="R92" s="20" t="s">
        <v>333</v>
      </c>
      <c r="S92" s="20" t="s">
        <v>333</v>
      </c>
      <c r="T92" s="20"/>
      <c r="U92" s="20"/>
      <c r="V92" s="20" t="s">
        <v>344</v>
      </c>
      <c r="W92" s="20" t="s">
        <v>333</v>
      </c>
      <c r="X92" s="20" t="s">
        <v>333</v>
      </c>
      <c r="Y92" s="20" t="s">
        <v>333</v>
      </c>
      <c r="Z92" s="20" t="s">
        <v>333</v>
      </c>
      <c r="AA92" s="20" t="s">
        <v>333</v>
      </c>
      <c r="AB92" s="20" t="s">
        <v>333</v>
      </c>
      <c r="AC92" s="20"/>
      <c r="AD92" s="20" t="s">
        <v>333</v>
      </c>
      <c r="AE92" s="20" t="s">
        <v>333</v>
      </c>
      <c r="AF92" s="20" t="s">
        <v>333</v>
      </c>
      <c r="AG92" s="20" t="s">
        <v>344</v>
      </c>
      <c r="AH92" s="20" t="s">
        <v>344</v>
      </c>
      <c r="AI92" s="20" t="s">
        <v>333</v>
      </c>
      <c r="AJ92" s="20"/>
      <c r="AK92" s="20" t="s">
        <v>1596</v>
      </c>
      <c r="AL92" s="20" t="s">
        <v>1673</v>
      </c>
      <c r="AM92" s="20" t="s">
        <v>1596</v>
      </c>
      <c r="AN92" s="20" t="s">
        <v>349</v>
      </c>
      <c r="AO92" s="20"/>
      <c r="AP92" s="20" t="s">
        <v>1720</v>
      </c>
      <c r="AQ92" s="20" t="s">
        <v>349</v>
      </c>
      <c r="AR92" s="20"/>
      <c r="AS92" s="20"/>
    </row>
    <row r="93">
      <c r="A93" s="20" t="s">
        <v>2271</v>
      </c>
      <c r="B93" s="20" t="s">
        <v>1481</v>
      </c>
      <c r="C93" s="20" t="s">
        <v>1482</v>
      </c>
      <c r="D93" s="20" t="s">
        <v>1483</v>
      </c>
      <c r="E93" s="20" t="s">
        <v>49</v>
      </c>
      <c r="F93" s="80" t="s">
        <v>2273</v>
      </c>
      <c r="G93" s="81" t="s">
        <v>2274</v>
      </c>
      <c r="H93" s="20" t="s">
        <v>72</v>
      </c>
      <c r="I93" s="20" t="s">
        <v>73</v>
      </c>
      <c r="J93" s="20" t="s">
        <v>74</v>
      </c>
      <c r="K93" s="20" t="s">
        <v>55</v>
      </c>
      <c r="L93" s="20" t="s">
        <v>56</v>
      </c>
      <c r="M93" s="20" t="s">
        <v>57</v>
      </c>
      <c r="N93" s="20" t="s">
        <v>333</v>
      </c>
      <c r="O93" s="20" t="s">
        <v>1556</v>
      </c>
      <c r="P93" s="20" t="s">
        <v>1559</v>
      </c>
      <c r="Q93" s="20" t="s">
        <v>59</v>
      </c>
      <c r="R93" s="20" t="s">
        <v>333</v>
      </c>
      <c r="S93" s="20" t="s">
        <v>333</v>
      </c>
      <c r="T93" s="20" t="s">
        <v>2275</v>
      </c>
      <c r="U93" s="20" t="s">
        <v>2276</v>
      </c>
      <c r="V93" s="20" t="s">
        <v>344</v>
      </c>
      <c r="W93" s="20" t="s">
        <v>333</v>
      </c>
      <c r="X93" s="20" t="s">
        <v>333</v>
      </c>
      <c r="Y93" s="20" t="s">
        <v>333</v>
      </c>
      <c r="Z93" s="20" t="s">
        <v>333</v>
      </c>
      <c r="AA93" s="20" t="s">
        <v>333</v>
      </c>
      <c r="AB93" s="20" t="s">
        <v>333</v>
      </c>
      <c r="AC93" s="20"/>
      <c r="AD93" s="20" t="s">
        <v>333</v>
      </c>
      <c r="AE93" s="20" t="s">
        <v>344</v>
      </c>
      <c r="AF93" s="20" t="s">
        <v>333</v>
      </c>
      <c r="AG93" s="20" t="s">
        <v>344</v>
      </c>
      <c r="AH93" s="20" t="s">
        <v>344</v>
      </c>
      <c r="AI93" s="20" t="s">
        <v>333</v>
      </c>
      <c r="AJ93" s="20"/>
      <c r="AK93" s="20" t="s">
        <v>1244</v>
      </c>
      <c r="AL93" s="20" t="s">
        <v>1556</v>
      </c>
      <c r="AM93" s="20" t="s">
        <v>1244</v>
      </c>
      <c r="AN93" s="20" t="s">
        <v>349</v>
      </c>
      <c r="AO93" s="20"/>
      <c r="AP93" s="20" t="s">
        <v>1556</v>
      </c>
      <c r="AQ93" s="20" t="s">
        <v>1559</v>
      </c>
      <c r="AR93" s="20"/>
      <c r="AS93" s="20"/>
    </row>
    <row r="94">
      <c r="A94" s="20" t="s">
        <v>2277</v>
      </c>
      <c r="B94" s="20" t="s">
        <v>2278</v>
      </c>
      <c r="C94" s="20" t="s">
        <v>2279</v>
      </c>
      <c r="D94" s="29" t="s">
        <v>2280</v>
      </c>
      <c r="E94" s="20" t="s">
        <v>49</v>
      </c>
      <c r="F94" s="29" t="s">
        <v>69</v>
      </c>
      <c r="G94" s="29" t="s">
        <v>69</v>
      </c>
      <c r="H94" s="20" t="s">
        <v>303</v>
      </c>
      <c r="I94" s="20" t="s">
        <v>303</v>
      </c>
      <c r="J94" s="20" t="s">
        <v>74</v>
      </c>
      <c r="K94" s="20" t="s">
        <v>55</v>
      </c>
      <c r="L94" s="20" t="s">
        <v>56</v>
      </c>
      <c r="M94" s="20" t="s">
        <v>57</v>
      </c>
      <c r="N94" s="20" t="s">
        <v>333</v>
      </c>
      <c r="O94" s="20" t="s">
        <v>1564</v>
      </c>
      <c r="P94" s="20" t="s">
        <v>1586</v>
      </c>
      <c r="Q94" s="20" t="s">
        <v>59</v>
      </c>
      <c r="R94" s="20" t="s">
        <v>333</v>
      </c>
      <c r="S94" s="20" t="s">
        <v>333</v>
      </c>
      <c r="T94" s="20"/>
      <c r="U94" s="20"/>
      <c r="V94" s="20" t="s">
        <v>344</v>
      </c>
      <c r="W94" s="20" t="s">
        <v>333</v>
      </c>
      <c r="X94" s="20" t="s">
        <v>333</v>
      </c>
      <c r="Y94" s="20" t="s">
        <v>333</v>
      </c>
      <c r="Z94" s="20" t="s">
        <v>333</v>
      </c>
      <c r="AA94" s="20" t="s">
        <v>333</v>
      </c>
      <c r="AB94" s="20" t="s">
        <v>333</v>
      </c>
      <c r="AC94" s="20"/>
      <c r="AD94" s="20" t="s">
        <v>333</v>
      </c>
      <c r="AE94" s="20" t="s">
        <v>333</v>
      </c>
      <c r="AF94" s="20" t="s">
        <v>333</v>
      </c>
      <c r="AG94" s="20" t="s">
        <v>344</v>
      </c>
      <c r="AH94" s="20" t="s">
        <v>344</v>
      </c>
      <c r="AI94" s="20" t="s">
        <v>333</v>
      </c>
      <c r="AJ94" s="20"/>
      <c r="AK94" s="20" t="s">
        <v>347</v>
      </c>
      <c r="AL94" s="20" t="s">
        <v>1245</v>
      </c>
      <c r="AM94" s="20" t="s">
        <v>347</v>
      </c>
      <c r="AN94" s="20" t="s">
        <v>349</v>
      </c>
      <c r="AO94" s="20"/>
      <c r="AP94" s="20" t="s">
        <v>1564</v>
      </c>
      <c r="AQ94" s="20" t="s">
        <v>1586</v>
      </c>
      <c r="AR94" s="20"/>
      <c r="AS94" s="20"/>
    </row>
    <row r="95">
      <c r="A95" s="20" t="s">
        <v>2285</v>
      </c>
      <c r="B95" s="20" t="s">
        <v>1437</v>
      </c>
      <c r="C95" s="20" t="s">
        <v>1438</v>
      </c>
      <c r="D95" s="29" t="s">
        <v>1439</v>
      </c>
      <c r="E95" s="20" t="s">
        <v>49</v>
      </c>
      <c r="F95" s="29" t="s">
        <v>69</v>
      </c>
      <c r="G95" s="29" t="s">
        <v>69</v>
      </c>
      <c r="H95" s="20" t="s">
        <v>1440</v>
      </c>
      <c r="I95" s="20" t="s">
        <v>1441</v>
      </c>
      <c r="J95" s="20" t="s">
        <v>74</v>
      </c>
      <c r="K95" s="20" t="s">
        <v>55</v>
      </c>
      <c r="L95" s="20" t="s">
        <v>56</v>
      </c>
      <c r="M95" s="20" t="s">
        <v>57</v>
      </c>
      <c r="N95" s="20" t="s">
        <v>333</v>
      </c>
      <c r="O95" s="20" t="s">
        <v>2286</v>
      </c>
      <c r="P95" s="20" t="s">
        <v>2287</v>
      </c>
      <c r="Q95" s="20" t="s">
        <v>59</v>
      </c>
      <c r="R95" s="20" t="s">
        <v>333</v>
      </c>
      <c r="S95" s="20" t="s">
        <v>333</v>
      </c>
      <c r="T95" s="20"/>
      <c r="U95" s="20"/>
      <c r="V95" s="20" t="s">
        <v>344</v>
      </c>
      <c r="W95" s="20" t="s">
        <v>333</v>
      </c>
      <c r="X95" s="20" t="s">
        <v>333</v>
      </c>
      <c r="Y95" s="20" t="s">
        <v>333</v>
      </c>
      <c r="Z95" s="20" t="s">
        <v>333</v>
      </c>
      <c r="AA95" s="20" t="s">
        <v>333</v>
      </c>
      <c r="AB95" s="20" t="s">
        <v>333</v>
      </c>
      <c r="AC95" s="20"/>
      <c r="AD95" s="20" t="s">
        <v>333</v>
      </c>
      <c r="AE95" s="20" t="s">
        <v>333</v>
      </c>
      <c r="AF95" s="20" t="s">
        <v>333</v>
      </c>
      <c r="AG95" s="20" t="s">
        <v>344</v>
      </c>
      <c r="AH95" s="20" t="s">
        <v>344</v>
      </c>
      <c r="AI95" s="20" t="s">
        <v>333</v>
      </c>
      <c r="AJ95" s="20"/>
      <c r="AK95" s="20" t="s">
        <v>1595</v>
      </c>
      <c r="AL95" s="20" t="s">
        <v>1586</v>
      </c>
      <c r="AM95" s="20" t="s">
        <v>1595</v>
      </c>
      <c r="AN95" s="20" t="s">
        <v>349</v>
      </c>
      <c r="AO95" s="20"/>
      <c r="AP95" s="20" t="s">
        <v>2286</v>
      </c>
      <c r="AQ95" s="20" t="s">
        <v>2287</v>
      </c>
      <c r="AR95" s="20"/>
      <c r="AS95" s="20"/>
    </row>
    <row r="96">
      <c r="A96" s="20" t="s">
        <v>2288</v>
      </c>
      <c r="B96" s="20" t="s">
        <v>869</v>
      </c>
      <c r="C96" s="20" t="s">
        <v>870</v>
      </c>
      <c r="D96" s="20" t="s">
        <v>871</v>
      </c>
      <c r="E96" s="20" t="s">
        <v>49</v>
      </c>
      <c r="F96" s="29" t="s">
        <v>69</v>
      </c>
      <c r="G96" s="29" t="s">
        <v>69</v>
      </c>
      <c r="H96" s="20" t="s">
        <v>303</v>
      </c>
      <c r="I96" s="20" t="s">
        <v>303</v>
      </c>
      <c r="J96" s="20" t="s">
        <v>74</v>
      </c>
      <c r="K96" s="20" t="s">
        <v>55</v>
      </c>
      <c r="L96" s="20" t="s">
        <v>56</v>
      </c>
      <c r="M96" s="20" t="s">
        <v>57</v>
      </c>
      <c r="N96" s="20" t="s">
        <v>333</v>
      </c>
      <c r="O96" s="20" t="s">
        <v>1955</v>
      </c>
      <c r="P96" s="20" t="s">
        <v>1670</v>
      </c>
      <c r="Q96" s="20" t="s">
        <v>59</v>
      </c>
      <c r="R96" s="20" t="s">
        <v>333</v>
      </c>
      <c r="S96" s="20" t="s">
        <v>333</v>
      </c>
      <c r="T96" s="20" t="s">
        <v>2293</v>
      </c>
      <c r="U96" s="20" t="s">
        <v>2294</v>
      </c>
      <c r="V96" s="20" t="s">
        <v>344</v>
      </c>
      <c r="W96" s="20" t="s">
        <v>333</v>
      </c>
      <c r="X96" s="20" t="s">
        <v>333</v>
      </c>
      <c r="Y96" s="20" t="s">
        <v>333</v>
      </c>
      <c r="Z96" s="20" t="s">
        <v>333</v>
      </c>
      <c r="AA96" s="20" t="s">
        <v>333</v>
      </c>
      <c r="AB96" s="20" t="s">
        <v>333</v>
      </c>
      <c r="AC96" s="20"/>
      <c r="AD96" s="20" t="s">
        <v>333</v>
      </c>
      <c r="AE96" s="20" t="s">
        <v>333</v>
      </c>
      <c r="AF96" s="20" t="s">
        <v>333</v>
      </c>
      <c r="AG96" s="20" t="s">
        <v>344</v>
      </c>
      <c r="AH96" s="20" t="s">
        <v>344</v>
      </c>
      <c r="AI96" s="20" t="s">
        <v>333</v>
      </c>
      <c r="AJ96" s="20"/>
      <c r="AK96" s="20" t="s">
        <v>1274</v>
      </c>
      <c r="AL96" s="20" t="s">
        <v>349</v>
      </c>
      <c r="AM96" s="20" t="s">
        <v>1274</v>
      </c>
      <c r="AN96" s="20" t="s">
        <v>349</v>
      </c>
      <c r="AO96" s="20"/>
      <c r="AP96" s="20" t="s">
        <v>1955</v>
      </c>
      <c r="AQ96" s="20" t="s">
        <v>1670</v>
      </c>
      <c r="AR96" s="20"/>
      <c r="AS96" s="20"/>
    </row>
    <row r="97">
      <c r="A97" s="20" t="s">
        <v>1244</v>
      </c>
      <c r="B97" s="20" t="s">
        <v>1106</v>
      </c>
      <c r="C97" s="20" t="s">
        <v>1107</v>
      </c>
      <c r="D97" s="20" t="s">
        <v>1109</v>
      </c>
      <c r="E97" s="20" t="s">
        <v>49</v>
      </c>
      <c r="F97" s="29" t="s">
        <v>69</v>
      </c>
      <c r="G97" s="29" t="s">
        <v>69</v>
      </c>
      <c r="H97" s="20" t="s">
        <v>1110</v>
      </c>
      <c r="I97" s="20" t="s">
        <v>1111</v>
      </c>
      <c r="J97" s="20" t="s">
        <v>74</v>
      </c>
      <c r="K97" s="20" t="s">
        <v>55</v>
      </c>
      <c r="L97" s="20" t="s">
        <v>56</v>
      </c>
      <c r="M97" s="20" t="s">
        <v>57</v>
      </c>
      <c r="N97" s="20" t="s">
        <v>333</v>
      </c>
      <c r="O97" s="20" t="s">
        <v>1682</v>
      </c>
      <c r="P97" s="20" t="s">
        <v>2286</v>
      </c>
      <c r="Q97" s="20" t="s">
        <v>59</v>
      </c>
      <c r="R97" s="20" t="s">
        <v>333</v>
      </c>
      <c r="S97" s="20" t="s">
        <v>333</v>
      </c>
      <c r="T97" s="20" t="s">
        <v>2295</v>
      </c>
      <c r="U97" s="20"/>
      <c r="V97" s="20" t="s">
        <v>344</v>
      </c>
      <c r="W97" s="20" t="s">
        <v>333</v>
      </c>
      <c r="X97" s="20" t="s">
        <v>333</v>
      </c>
      <c r="Y97" s="20" t="s">
        <v>333</v>
      </c>
      <c r="Z97" s="20" t="s">
        <v>333</v>
      </c>
      <c r="AA97" s="20" t="s">
        <v>333</v>
      </c>
      <c r="AB97" s="20" t="s">
        <v>333</v>
      </c>
      <c r="AC97" s="20"/>
      <c r="AD97" s="20" t="s">
        <v>333</v>
      </c>
      <c r="AE97" s="20" t="s">
        <v>333</v>
      </c>
      <c r="AF97" s="20" t="s">
        <v>333</v>
      </c>
      <c r="AG97" s="20" t="s">
        <v>344</v>
      </c>
      <c r="AH97" s="20" t="s">
        <v>344</v>
      </c>
      <c r="AI97" s="20" t="s">
        <v>333</v>
      </c>
      <c r="AJ97" s="20"/>
      <c r="AK97" s="20" t="s">
        <v>1587</v>
      </c>
      <c r="AL97" s="20" t="s">
        <v>348</v>
      </c>
      <c r="AM97" s="20" t="s">
        <v>1587</v>
      </c>
      <c r="AN97" s="20" t="s">
        <v>349</v>
      </c>
      <c r="AO97" s="20" t="s">
        <v>2298</v>
      </c>
      <c r="AP97" s="20" t="s">
        <v>1682</v>
      </c>
      <c r="AQ97" s="20" t="s">
        <v>2286</v>
      </c>
      <c r="AR97" s="20"/>
      <c r="AS97" s="20"/>
    </row>
    <row r="98">
      <c r="A98" s="20" t="s">
        <v>2299</v>
      </c>
      <c r="B98" s="20" t="s">
        <v>2300</v>
      </c>
      <c r="C98" s="20" t="s">
        <v>2301</v>
      </c>
      <c r="D98" s="29" t="s">
        <v>122</v>
      </c>
      <c r="E98" s="20" t="s">
        <v>49</v>
      </c>
      <c r="F98" s="80" t="s">
        <v>2302</v>
      </c>
      <c r="G98" s="29" t="s">
        <v>69</v>
      </c>
      <c r="H98" s="20" t="s">
        <v>303</v>
      </c>
      <c r="I98" s="20" t="s">
        <v>303</v>
      </c>
      <c r="J98" s="20" t="s">
        <v>74</v>
      </c>
      <c r="K98" s="20" t="s">
        <v>55</v>
      </c>
      <c r="L98" s="20" t="s">
        <v>56</v>
      </c>
      <c r="M98" s="20" t="s">
        <v>57</v>
      </c>
      <c r="N98" s="20" t="s">
        <v>333</v>
      </c>
      <c r="O98" s="20" t="s">
        <v>1682</v>
      </c>
      <c r="P98" s="20" t="s">
        <v>1556</v>
      </c>
      <c r="Q98" s="20" t="s">
        <v>59</v>
      </c>
      <c r="R98" s="20" t="s">
        <v>333</v>
      </c>
      <c r="S98" s="20" t="s">
        <v>333</v>
      </c>
      <c r="T98" s="20"/>
      <c r="U98" s="20"/>
      <c r="V98" s="20" t="s">
        <v>344</v>
      </c>
      <c r="W98" s="20" t="s">
        <v>333</v>
      </c>
      <c r="X98" s="20" t="s">
        <v>333</v>
      </c>
      <c r="Y98" s="20" t="s">
        <v>333</v>
      </c>
      <c r="Z98" s="20" t="s">
        <v>333</v>
      </c>
      <c r="AA98" s="20" t="s">
        <v>333</v>
      </c>
      <c r="AB98" s="20" t="s">
        <v>333</v>
      </c>
      <c r="AC98" s="20"/>
      <c r="AD98" s="20" t="s">
        <v>333</v>
      </c>
      <c r="AE98" s="20" t="s">
        <v>333</v>
      </c>
      <c r="AF98" s="20" t="s">
        <v>333</v>
      </c>
      <c r="AG98" s="20" t="s">
        <v>344</v>
      </c>
      <c r="AH98" s="20" t="s">
        <v>344</v>
      </c>
      <c r="AI98" s="20" t="s">
        <v>333</v>
      </c>
      <c r="AJ98" s="20"/>
      <c r="AK98" s="20" t="s">
        <v>1581</v>
      </c>
      <c r="AL98" s="20" t="s">
        <v>348</v>
      </c>
      <c r="AM98" s="20" t="s">
        <v>1581</v>
      </c>
      <c r="AN98" s="20" t="s">
        <v>349</v>
      </c>
      <c r="AO98" s="20"/>
      <c r="AP98" s="20" t="s">
        <v>1682</v>
      </c>
      <c r="AQ98" s="20" t="s">
        <v>1556</v>
      </c>
      <c r="AR98" s="20"/>
      <c r="AS98" s="20"/>
    </row>
    <row r="99">
      <c r="A99" s="20" t="s">
        <v>2308</v>
      </c>
      <c r="B99" s="20" t="s">
        <v>2309</v>
      </c>
      <c r="C99" s="20" t="s">
        <v>2310</v>
      </c>
      <c r="D99" s="29" t="s">
        <v>2311</v>
      </c>
      <c r="E99" s="20" t="s">
        <v>49</v>
      </c>
      <c r="F99" s="29" t="s">
        <v>69</v>
      </c>
      <c r="G99" s="20" t="s">
        <v>2312</v>
      </c>
      <c r="H99" s="20" t="s">
        <v>513</v>
      </c>
      <c r="I99" s="20" t="s">
        <v>514</v>
      </c>
      <c r="J99" s="20" t="s">
        <v>74</v>
      </c>
      <c r="K99" s="20" t="s">
        <v>55</v>
      </c>
      <c r="L99" s="20" t="s">
        <v>56</v>
      </c>
      <c r="M99" s="20" t="s">
        <v>57</v>
      </c>
      <c r="N99" s="20" t="s">
        <v>333</v>
      </c>
      <c r="O99" s="20" t="s">
        <v>2262</v>
      </c>
      <c r="P99" s="20" t="s">
        <v>1591</v>
      </c>
      <c r="Q99" s="20" t="s">
        <v>59</v>
      </c>
      <c r="R99" s="20" t="s">
        <v>333</v>
      </c>
      <c r="S99" s="20" t="s">
        <v>333</v>
      </c>
      <c r="T99" s="20"/>
      <c r="U99" s="20"/>
      <c r="V99" s="20" t="s">
        <v>344</v>
      </c>
      <c r="W99" s="20" t="s">
        <v>333</v>
      </c>
      <c r="X99" s="20" t="s">
        <v>333</v>
      </c>
      <c r="Y99" s="20" t="s">
        <v>333</v>
      </c>
      <c r="Z99" s="20" t="s">
        <v>333</v>
      </c>
      <c r="AA99" s="20" t="s">
        <v>333</v>
      </c>
      <c r="AB99" s="20" t="s">
        <v>333</v>
      </c>
      <c r="AC99" s="20"/>
      <c r="AD99" s="20" t="s">
        <v>333</v>
      </c>
      <c r="AE99" s="20" t="s">
        <v>333</v>
      </c>
      <c r="AF99" s="20" t="s">
        <v>333</v>
      </c>
      <c r="AG99" s="20" t="s">
        <v>344</v>
      </c>
      <c r="AH99" s="20" t="s">
        <v>344</v>
      </c>
      <c r="AI99" s="20" t="s">
        <v>333</v>
      </c>
      <c r="AJ99" s="20"/>
      <c r="AK99" s="20" t="s">
        <v>1663</v>
      </c>
      <c r="AL99" s="20" t="s">
        <v>1269</v>
      </c>
      <c r="AM99" s="20" t="s">
        <v>1663</v>
      </c>
      <c r="AN99" s="20" t="s">
        <v>349</v>
      </c>
      <c r="AO99" s="20"/>
      <c r="AP99" s="20" t="s">
        <v>2262</v>
      </c>
      <c r="AQ99" s="20" t="s">
        <v>1591</v>
      </c>
      <c r="AR99" s="20"/>
      <c r="AS99" s="20"/>
    </row>
    <row r="100">
      <c r="A100" s="20" t="s">
        <v>2315</v>
      </c>
      <c r="B100" s="20" t="s">
        <v>951</v>
      </c>
      <c r="C100" s="20" t="s">
        <v>953</v>
      </c>
      <c r="D100" s="53" t="s">
        <v>2316</v>
      </c>
      <c r="E100" s="20" t="s">
        <v>49</v>
      </c>
      <c r="F100" s="20" t="s">
        <v>2317</v>
      </c>
      <c r="G100" s="29" t="s">
        <v>69</v>
      </c>
      <c r="H100" s="20" t="s">
        <v>472</v>
      </c>
      <c r="I100" s="20" t="s">
        <v>473</v>
      </c>
      <c r="J100" s="20" t="s">
        <v>74</v>
      </c>
      <c r="K100" s="20" t="s">
        <v>55</v>
      </c>
      <c r="L100" s="20" t="s">
        <v>56</v>
      </c>
      <c r="M100" s="20" t="s">
        <v>57</v>
      </c>
      <c r="N100" s="20" t="s">
        <v>333</v>
      </c>
      <c r="O100" s="20" t="s">
        <v>1720</v>
      </c>
      <c r="P100" s="20"/>
      <c r="Q100" s="20" t="s">
        <v>59</v>
      </c>
      <c r="R100" s="20" t="s">
        <v>333</v>
      </c>
      <c r="S100" s="20" t="s">
        <v>333</v>
      </c>
      <c r="T100" s="20"/>
      <c r="U100" s="20"/>
      <c r="V100" s="20" t="s">
        <v>344</v>
      </c>
      <c r="W100" s="20" t="s">
        <v>333</v>
      </c>
      <c r="X100" s="20" t="s">
        <v>333</v>
      </c>
      <c r="Y100" s="20" t="s">
        <v>333</v>
      </c>
      <c r="Z100" s="20" t="s">
        <v>333</v>
      </c>
      <c r="AA100" s="20" t="s">
        <v>333</v>
      </c>
      <c r="AB100" s="20" t="s">
        <v>333</v>
      </c>
      <c r="AC100" s="20"/>
      <c r="AD100" s="20" t="s">
        <v>333</v>
      </c>
      <c r="AE100" s="20" t="s">
        <v>333</v>
      </c>
      <c r="AF100" s="20" t="s">
        <v>333</v>
      </c>
      <c r="AG100" s="20" t="s">
        <v>344</v>
      </c>
      <c r="AH100" s="20" t="s">
        <v>344</v>
      </c>
      <c r="AI100" s="20" t="s">
        <v>333</v>
      </c>
      <c r="AJ100" s="20"/>
      <c r="AK100" s="20" t="s">
        <v>347</v>
      </c>
      <c r="AL100" s="20" t="s">
        <v>1245</v>
      </c>
      <c r="AM100" s="20" t="s">
        <v>347</v>
      </c>
      <c r="AN100" s="20" t="s">
        <v>349</v>
      </c>
      <c r="AO100" s="20"/>
      <c r="AP100" s="20" t="s">
        <v>1720</v>
      </c>
      <c r="AQ100" s="20" t="s">
        <v>349</v>
      </c>
      <c r="AR100" s="29" t="s">
        <v>1951</v>
      </c>
      <c r="AS100" s="20"/>
    </row>
    <row r="101">
      <c r="A101" s="20" t="s">
        <v>2321</v>
      </c>
      <c r="B101" s="20" t="s">
        <v>612</v>
      </c>
      <c r="C101" s="20" t="s">
        <v>613</v>
      </c>
      <c r="D101" s="29" t="s">
        <v>1335</v>
      </c>
      <c r="E101" s="20" t="s">
        <v>49</v>
      </c>
      <c r="F101" s="29" t="s">
        <v>69</v>
      </c>
      <c r="G101" s="29" t="s">
        <v>69</v>
      </c>
      <c r="H101" s="20" t="s">
        <v>1336</v>
      </c>
      <c r="I101" s="20" t="s">
        <v>1337</v>
      </c>
      <c r="J101" s="20" t="s">
        <v>74</v>
      </c>
      <c r="K101" s="20" t="s">
        <v>55</v>
      </c>
      <c r="L101" s="20" t="s">
        <v>56</v>
      </c>
      <c r="M101" s="20" t="s">
        <v>57</v>
      </c>
      <c r="N101" s="20" t="s">
        <v>333</v>
      </c>
      <c r="O101" s="20" t="s">
        <v>1559</v>
      </c>
      <c r="P101" s="20" t="s">
        <v>1269</v>
      </c>
      <c r="Q101" s="20" t="s">
        <v>59</v>
      </c>
      <c r="R101" s="20" t="s">
        <v>333</v>
      </c>
      <c r="S101" s="20" t="s">
        <v>333</v>
      </c>
      <c r="T101" s="20"/>
      <c r="U101" s="20"/>
      <c r="V101" s="20" t="s">
        <v>344</v>
      </c>
      <c r="W101" s="20" t="s">
        <v>333</v>
      </c>
      <c r="X101" s="20" t="s">
        <v>333</v>
      </c>
      <c r="Y101" s="20" t="s">
        <v>333</v>
      </c>
      <c r="Z101" s="20" t="s">
        <v>333</v>
      </c>
      <c r="AA101" s="20" t="s">
        <v>333</v>
      </c>
      <c r="AB101" s="20" t="s">
        <v>333</v>
      </c>
      <c r="AC101" s="20"/>
      <c r="AD101" s="20" t="s">
        <v>333</v>
      </c>
      <c r="AE101" s="20" t="s">
        <v>333</v>
      </c>
      <c r="AF101" s="20" t="s">
        <v>333</v>
      </c>
      <c r="AG101" s="20" t="s">
        <v>344</v>
      </c>
      <c r="AH101" s="20" t="s">
        <v>344</v>
      </c>
      <c r="AI101" s="20" t="s">
        <v>333</v>
      </c>
      <c r="AJ101" s="20"/>
      <c r="AK101" s="20" t="s">
        <v>348</v>
      </c>
      <c r="AL101" s="20" t="s">
        <v>1673</v>
      </c>
      <c r="AM101" s="20" t="s">
        <v>348</v>
      </c>
      <c r="AN101" s="20" t="s">
        <v>349</v>
      </c>
      <c r="AO101" s="20"/>
      <c r="AP101" s="20" t="s">
        <v>1559</v>
      </c>
      <c r="AQ101" s="20" t="s">
        <v>1269</v>
      </c>
      <c r="AR101" s="20"/>
      <c r="AS101" s="20"/>
    </row>
    <row r="102">
      <c r="A102" s="20" t="s">
        <v>2325</v>
      </c>
      <c r="B102" s="20" t="s">
        <v>2110</v>
      </c>
      <c r="C102" s="20" t="s">
        <v>2111</v>
      </c>
      <c r="D102" s="29" t="s">
        <v>2326</v>
      </c>
      <c r="E102" s="20" t="s">
        <v>49</v>
      </c>
      <c r="F102" s="80" t="s">
        <v>2135</v>
      </c>
      <c r="G102" s="29" t="s">
        <v>69</v>
      </c>
      <c r="H102" s="20" t="s">
        <v>1385</v>
      </c>
      <c r="I102" s="20" t="s">
        <v>1386</v>
      </c>
      <c r="J102" s="20" t="s">
        <v>74</v>
      </c>
      <c r="K102" s="20" t="s">
        <v>55</v>
      </c>
      <c r="L102" s="20" t="s">
        <v>56</v>
      </c>
      <c r="M102" s="20" t="s">
        <v>57</v>
      </c>
      <c r="N102" s="20" t="s">
        <v>333</v>
      </c>
      <c r="O102" s="20" t="s">
        <v>1596</v>
      </c>
      <c r="P102" s="20"/>
      <c r="Q102" s="20" t="s">
        <v>59</v>
      </c>
      <c r="R102" s="20" t="s">
        <v>333</v>
      </c>
      <c r="S102" s="20" t="s">
        <v>333</v>
      </c>
      <c r="T102" s="20"/>
      <c r="U102" s="20"/>
      <c r="V102" s="20" t="s">
        <v>344</v>
      </c>
      <c r="W102" s="20" t="s">
        <v>333</v>
      </c>
      <c r="X102" s="20" t="s">
        <v>333</v>
      </c>
      <c r="Y102" s="20" t="s">
        <v>333</v>
      </c>
      <c r="Z102" s="20" t="s">
        <v>333</v>
      </c>
      <c r="AA102" s="20" t="s">
        <v>333</v>
      </c>
      <c r="AB102" s="20" t="s">
        <v>333</v>
      </c>
      <c r="AC102" s="20"/>
      <c r="AD102" s="20" t="s">
        <v>333</v>
      </c>
      <c r="AE102" s="20" t="s">
        <v>333</v>
      </c>
      <c r="AF102" s="20" t="s">
        <v>333</v>
      </c>
      <c r="AG102" s="20" t="s">
        <v>344</v>
      </c>
      <c r="AH102" s="20" t="s">
        <v>344</v>
      </c>
      <c r="AI102" s="20" t="s">
        <v>333</v>
      </c>
      <c r="AJ102" s="20"/>
      <c r="AK102" s="20" t="s">
        <v>1244</v>
      </c>
      <c r="AL102" s="20" t="s">
        <v>1673</v>
      </c>
      <c r="AM102" s="20" t="s">
        <v>1244</v>
      </c>
      <c r="AN102" s="20" t="s">
        <v>349</v>
      </c>
      <c r="AO102" s="20"/>
      <c r="AP102" s="20" t="s">
        <v>1596</v>
      </c>
      <c r="AQ102" s="20" t="s">
        <v>349</v>
      </c>
      <c r="AR102" s="20"/>
      <c r="AS102" s="20"/>
    </row>
    <row r="103">
      <c r="A103" s="20" t="s">
        <v>2330</v>
      </c>
      <c r="B103" s="20" t="s">
        <v>1442</v>
      </c>
      <c r="C103" s="20" t="s">
        <v>1443</v>
      </c>
      <c r="D103" s="29" t="s">
        <v>1444</v>
      </c>
      <c r="E103" s="20" t="s">
        <v>49</v>
      </c>
      <c r="F103" s="80" t="s">
        <v>2332</v>
      </c>
      <c r="G103" s="29" t="s">
        <v>69</v>
      </c>
      <c r="H103" s="20" t="s">
        <v>123</v>
      </c>
      <c r="I103" s="20" t="s">
        <v>124</v>
      </c>
      <c r="J103" s="20" t="s">
        <v>74</v>
      </c>
      <c r="K103" s="20" t="s">
        <v>55</v>
      </c>
      <c r="L103" s="20" t="s">
        <v>56</v>
      </c>
      <c r="M103" s="20" t="s">
        <v>57</v>
      </c>
      <c r="N103" s="20" t="s">
        <v>333</v>
      </c>
      <c r="O103" s="20" t="s">
        <v>1682</v>
      </c>
      <c r="P103" s="20" t="s">
        <v>1559</v>
      </c>
      <c r="Q103" s="20" t="s">
        <v>59</v>
      </c>
      <c r="R103" s="20" t="s">
        <v>333</v>
      </c>
      <c r="S103" s="20" t="s">
        <v>333</v>
      </c>
      <c r="T103" s="20"/>
      <c r="U103" s="20"/>
      <c r="V103" s="20" t="s">
        <v>344</v>
      </c>
      <c r="W103" s="20" t="s">
        <v>333</v>
      </c>
      <c r="X103" s="20" t="s">
        <v>333</v>
      </c>
      <c r="Y103" s="20" t="s">
        <v>333</v>
      </c>
      <c r="Z103" s="20" t="s">
        <v>333</v>
      </c>
      <c r="AA103" s="20" t="s">
        <v>333</v>
      </c>
      <c r="AB103" s="20" t="s">
        <v>333</v>
      </c>
      <c r="AC103" s="20"/>
      <c r="AD103" s="20" t="s">
        <v>333</v>
      </c>
      <c r="AE103" s="20" t="s">
        <v>333</v>
      </c>
      <c r="AF103" s="20" t="s">
        <v>333</v>
      </c>
      <c r="AG103" s="20" t="s">
        <v>344</v>
      </c>
      <c r="AH103" s="20" t="s">
        <v>344</v>
      </c>
      <c r="AI103" s="20" t="s">
        <v>333</v>
      </c>
      <c r="AJ103" s="20"/>
      <c r="AK103" s="20" t="s">
        <v>1663</v>
      </c>
      <c r="AL103" s="20" t="s">
        <v>1261</v>
      </c>
      <c r="AM103" s="20" t="s">
        <v>1663</v>
      </c>
      <c r="AN103" s="20" t="s">
        <v>349</v>
      </c>
      <c r="AO103" s="20"/>
      <c r="AP103" s="20" t="s">
        <v>1682</v>
      </c>
      <c r="AQ103" s="20" t="s">
        <v>1559</v>
      </c>
      <c r="AR103" s="20"/>
      <c r="AS103" s="20"/>
    </row>
    <row r="104">
      <c r="A104" s="32" t="s">
        <v>2338</v>
      </c>
      <c r="B104" s="32" t="s">
        <v>2339</v>
      </c>
      <c r="C104" s="32" t="s">
        <v>2340</v>
      </c>
      <c r="D104" s="48" t="s">
        <v>2341</v>
      </c>
      <c r="E104" s="32" t="s">
        <v>49</v>
      </c>
      <c r="F104" s="32" t="s">
        <v>2342</v>
      </c>
      <c r="G104" s="32" t="s">
        <v>2343</v>
      </c>
      <c r="H104" s="32" t="s">
        <v>123</v>
      </c>
      <c r="I104" s="32" t="s">
        <v>124</v>
      </c>
      <c r="J104" s="32" t="s">
        <v>74</v>
      </c>
      <c r="K104" s="32" t="s">
        <v>55</v>
      </c>
      <c r="L104" s="32" t="s">
        <v>56</v>
      </c>
      <c r="M104" s="32" t="s">
        <v>57</v>
      </c>
      <c r="N104" s="32" t="s">
        <v>333</v>
      </c>
      <c r="O104" s="32" t="s">
        <v>1571</v>
      </c>
      <c r="P104" s="32" t="s">
        <v>1720</v>
      </c>
      <c r="Q104" s="32" t="s">
        <v>59</v>
      </c>
      <c r="R104" s="32" t="s">
        <v>333</v>
      </c>
      <c r="S104" s="32" t="s">
        <v>333</v>
      </c>
      <c r="T104" s="32"/>
      <c r="U104" s="32"/>
      <c r="V104" s="32" t="s">
        <v>344</v>
      </c>
      <c r="W104" s="32" t="s">
        <v>333</v>
      </c>
      <c r="X104" s="32" t="s">
        <v>333</v>
      </c>
      <c r="Y104" s="32" t="s">
        <v>333</v>
      </c>
      <c r="Z104" s="32" t="s">
        <v>333</v>
      </c>
      <c r="AA104" s="32" t="s">
        <v>333</v>
      </c>
      <c r="AB104" s="32" t="s">
        <v>333</v>
      </c>
      <c r="AC104" s="32"/>
      <c r="AD104" s="32" t="s">
        <v>333</v>
      </c>
      <c r="AE104" s="32" t="s">
        <v>333</v>
      </c>
      <c r="AF104" s="32" t="s">
        <v>333</v>
      </c>
      <c r="AG104" s="32" t="s">
        <v>344</v>
      </c>
      <c r="AH104" s="32" t="s">
        <v>344</v>
      </c>
      <c r="AI104" s="32" t="s">
        <v>333</v>
      </c>
      <c r="AJ104" s="32"/>
      <c r="AK104" s="32" t="s">
        <v>1244</v>
      </c>
      <c r="AL104" s="32" t="s">
        <v>348</v>
      </c>
      <c r="AM104" s="32" t="s">
        <v>1244</v>
      </c>
      <c r="AN104" s="32" t="s">
        <v>349</v>
      </c>
      <c r="AO104" s="32"/>
      <c r="AP104" s="32" t="s">
        <v>1571</v>
      </c>
      <c r="AQ104" s="32" t="s">
        <v>1720</v>
      </c>
      <c r="AR104" s="21" t="s">
        <v>1931</v>
      </c>
      <c r="AS104" s="21">
        <v>2.0</v>
      </c>
    </row>
    <row r="105">
      <c r="A105" s="32" t="s">
        <v>2345</v>
      </c>
      <c r="B105" s="32" t="s">
        <v>1297</v>
      </c>
      <c r="C105" s="32" t="s">
        <v>1298</v>
      </c>
      <c r="D105" s="48" t="s">
        <v>1299</v>
      </c>
      <c r="E105" s="32" t="s">
        <v>49</v>
      </c>
      <c r="F105" s="32" t="s">
        <v>2346</v>
      </c>
      <c r="G105" s="32" t="s">
        <v>1303</v>
      </c>
      <c r="H105" s="32" t="s">
        <v>303</v>
      </c>
      <c r="I105" s="32" t="s">
        <v>303</v>
      </c>
      <c r="J105" s="32" t="s">
        <v>74</v>
      </c>
      <c r="K105" s="32" t="s">
        <v>55</v>
      </c>
      <c r="L105" s="32" t="s">
        <v>56</v>
      </c>
      <c r="M105" s="32" t="s">
        <v>57</v>
      </c>
      <c r="N105" s="32" t="s">
        <v>333</v>
      </c>
      <c r="O105" s="32" t="s">
        <v>2262</v>
      </c>
      <c r="P105" s="32" t="s">
        <v>1720</v>
      </c>
      <c r="Q105" s="32" t="s">
        <v>59</v>
      </c>
      <c r="R105" s="32" t="s">
        <v>333</v>
      </c>
      <c r="S105" s="32" t="s">
        <v>333</v>
      </c>
      <c r="T105" s="32"/>
      <c r="U105" s="32"/>
      <c r="V105" s="32" t="s">
        <v>344</v>
      </c>
      <c r="W105" s="32" t="s">
        <v>333</v>
      </c>
      <c r="X105" s="32" t="s">
        <v>333</v>
      </c>
      <c r="Y105" s="32" t="s">
        <v>333</v>
      </c>
      <c r="Z105" s="32" t="s">
        <v>333</v>
      </c>
      <c r="AA105" s="32" t="s">
        <v>333</v>
      </c>
      <c r="AB105" s="32" t="s">
        <v>333</v>
      </c>
      <c r="AC105" s="32"/>
      <c r="AD105" s="32" t="s">
        <v>333</v>
      </c>
      <c r="AE105" s="32" t="s">
        <v>333</v>
      </c>
      <c r="AF105" s="32" t="s">
        <v>333</v>
      </c>
      <c r="AG105" s="32" t="s">
        <v>344</v>
      </c>
      <c r="AH105" s="32" t="s">
        <v>344</v>
      </c>
      <c r="AI105" s="32" t="s">
        <v>333</v>
      </c>
      <c r="AJ105" s="32"/>
      <c r="AK105" s="32" t="s">
        <v>1260</v>
      </c>
      <c r="AL105" s="32" t="s">
        <v>1245</v>
      </c>
      <c r="AM105" s="32" t="s">
        <v>1260</v>
      </c>
      <c r="AN105" s="32" t="s">
        <v>349</v>
      </c>
      <c r="AO105" s="32"/>
      <c r="AP105" s="32" t="s">
        <v>2262</v>
      </c>
      <c r="AQ105" s="32" t="s">
        <v>1720</v>
      </c>
      <c r="AR105" s="21" t="s">
        <v>1931</v>
      </c>
      <c r="AS105" s="21">
        <v>2.0</v>
      </c>
    </row>
    <row r="106">
      <c r="A106" s="20" t="s">
        <v>2349</v>
      </c>
      <c r="B106" s="20" t="s">
        <v>1097</v>
      </c>
      <c r="C106" s="20" t="s">
        <v>1098</v>
      </c>
      <c r="D106" s="20" t="s">
        <v>1099</v>
      </c>
      <c r="E106" s="20" t="s">
        <v>49</v>
      </c>
      <c r="F106" s="80" t="s">
        <v>2352</v>
      </c>
      <c r="G106" s="29" t="s">
        <v>69</v>
      </c>
      <c r="H106" s="20" t="s">
        <v>303</v>
      </c>
      <c r="I106" s="20" t="s">
        <v>303</v>
      </c>
      <c r="J106" s="20" t="s">
        <v>74</v>
      </c>
      <c r="K106" s="20" t="s">
        <v>55</v>
      </c>
      <c r="L106" s="20" t="s">
        <v>56</v>
      </c>
      <c r="M106" s="20" t="s">
        <v>57</v>
      </c>
      <c r="N106" s="20" t="s">
        <v>333</v>
      </c>
      <c r="O106" s="20" t="s">
        <v>348</v>
      </c>
      <c r="P106" s="20" t="s">
        <v>2354</v>
      </c>
      <c r="Q106" s="20" t="s">
        <v>59</v>
      </c>
      <c r="R106" s="20" t="s">
        <v>333</v>
      </c>
      <c r="S106" s="20" t="s">
        <v>333</v>
      </c>
      <c r="T106" s="20" t="s">
        <v>1103</v>
      </c>
      <c r="U106" s="20"/>
      <c r="V106" s="20" t="s">
        <v>344</v>
      </c>
      <c r="W106" s="20" t="s">
        <v>333</v>
      </c>
      <c r="X106" s="20" t="s">
        <v>333</v>
      </c>
      <c r="Y106" s="20" t="s">
        <v>333</v>
      </c>
      <c r="Z106" s="20" t="s">
        <v>333</v>
      </c>
      <c r="AA106" s="20" t="s">
        <v>333</v>
      </c>
      <c r="AB106" s="20" t="s">
        <v>333</v>
      </c>
      <c r="AC106" s="20"/>
      <c r="AD106" s="20" t="s">
        <v>333</v>
      </c>
      <c r="AE106" s="20" t="s">
        <v>333</v>
      </c>
      <c r="AF106" s="20" t="s">
        <v>333</v>
      </c>
      <c r="AG106" s="20" t="s">
        <v>344</v>
      </c>
      <c r="AH106" s="20" t="s">
        <v>344</v>
      </c>
      <c r="AI106" s="20" t="s">
        <v>333</v>
      </c>
      <c r="AJ106" s="20"/>
      <c r="AK106" s="20" t="s">
        <v>1260</v>
      </c>
      <c r="AL106" s="20" t="s">
        <v>1673</v>
      </c>
      <c r="AM106" s="20" t="s">
        <v>1260</v>
      </c>
      <c r="AN106" s="20" t="s">
        <v>349</v>
      </c>
      <c r="AO106" s="20"/>
      <c r="AP106" s="20" t="s">
        <v>348</v>
      </c>
      <c r="AQ106" s="20" t="s">
        <v>2354</v>
      </c>
      <c r="AR106" s="20"/>
      <c r="AS106" s="20"/>
    </row>
    <row r="107">
      <c r="A107" s="20" t="s">
        <v>2357</v>
      </c>
      <c r="B107" s="20" t="s">
        <v>1199</v>
      </c>
      <c r="C107" s="20" t="s">
        <v>1200</v>
      </c>
      <c r="D107" s="20" t="s">
        <v>1202</v>
      </c>
      <c r="E107" s="20" t="s">
        <v>49</v>
      </c>
      <c r="F107" s="29" t="s">
        <v>69</v>
      </c>
      <c r="G107" s="29" t="s">
        <v>69</v>
      </c>
      <c r="H107" s="20" t="s">
        <v>123</v>
      </c>
      <c r="I107" s="20" t="s">
        <v>124</v>
      </c>
      <c r="J107" s="20" t="s">
        <v>74</v>
      </c>
      <c r="K107" s="20" t="s">
        <v>55</v>
      </c>
      <c r="L107" s="20" t="s">
        <v>56</v>
      </c>
      <c r="M107" s="20" t="s">
        <v>57</v>
      </c>
      <c r="N107" s="20" t="s">
        <v>333</v>
      </c>
      <c r="O107" s="20" t="s">
        <v>1586</v>
      </c>
      <c r="P107" s="20" t="s">
        <v>1941</v>
      </c>
      <c r="Q107" s="20" t="s">
        <v>59</v>
      </c>
      <c r="R107" s="20" t="s">
        <v>333</v>
      </c>
      <c r="S107" s="20" t="s">
        <v>333</v>
      </c>
      <c r="T107" s="20" t="s">
        <v>1211</v>
      </c>
      <c r="U107" s="20"/>
      <c r="V107" s="20" t="s">
        <v>344</v>
      </c>
      <c r="W107" s="20" t="s">
        <v>333</v>
      </c>
      <c r="X107" s="20" t="s">
        <v>333</v>
      </c>
      <c r="Y107" s="20" t="s">
        <v>333</v>
      </c>
      <c r="Z107" s="20" t="s">
        <v>333</v>
      </c>
      <c r="AA107" s="20" t="s">
        <v>333</v>
      </c>
      <c r="AB107" s="20" t="s">
        <v>333</v>
      </c>
      <c r="AC107" s="20"/>
      <c r="AD107" s="20" t="s">
        <v>333</v>
      </c>
      <c r="AE107" s="20" t="s">
        <v>333</v>
      </c>
      <c r="AF107" s="20" t="s">
        <v>333</v>
      </c>
      <c r="AG107" s="20" t="s">
        <v>344</v>
      </c>
      <c r="AH107" s="20" t="s">
        <v>344</v>
      </c>
      <c r="AI107" s="20" t="s">
        <v>333</v>
      </c>
      <c r="AJ107" s="20"/>
      <c r="AK107" s="20" t="s">
        <v>1587</v>
      </c>
      <c r="AL107" s="20" t="s">
        <v>1717</v>
      </c>
      <c r="AM107" s="20" t="s">
        <v>1587</v>
      </c>
      <c r="AN107" s="20" t="s">
        <v>349</v>
      </c>
      <c r="AO107" s="20"/>
      <c r="AP107" s="20" t="s">
        <v>1586</v>
      </c>
      <c r="AQ107" s="20" t="s">
        <v>1941</v>
      </c>
      <c r="AR107" s="20"/>
      <c r="AS107" s="20"/>
    </row>
    <row r="108">
      <c r="A108" s="20" t="s">
        <v>2359</v>
      </c>
      <c r="B108" s="20" t="s">
        <v>2361</v>
      </c>
      <c r="C108" s="20" t="s">
        <v>2362</v>
      </c>
      <c r="D108" s="20" t="s">
        <v>2363</v>
      </c>
      <c r="E108" s="20" t="s">
        <v>49</v>
      </c>
      <c r="F108" s="80" t="s">
        <v>2364</v>
      </c>
      <c r="G108" s="82">
        <v>9.818026483E9</v>
      </c>
      <c r="H108" s="20" t="s">
        <v>303</v>
      </c>
      <c r="I108" s="20" t="s">
        <v>303</v>
      </c>
      <c r="J108" s="20" t="s">
        <v>74</v>
      </c>
      <c r="K108" s="20" t="s">
        <v>55</v>
      </c>
      <c r="L108" s="20" t="s">
        <v>56</v>
      </c>
      <c r="M108" s="20" t="s">
        <v>57</v>
      </c>
      <c r="N108" s="20" t="s">
        <v>333</v>
      </c>
      <c r="O108" s="20" t="s">
        <v>1556</v>
      </c>
      <c r="P108" s="20" t="s">
        <v>1586</v>
      </c>
      <c r="Q108" s="20" t="s">
        <v>59</v>
      </c>
      <c r="R108" s="20" t="s">
        <v>333</v>
      </c>
      <c r="S108" s="20" t="s">
        <v>333</v>
      </c>
      <c r="T108" s="20" t="s">
        <v>2365</v>
      </c>
      <c r="U108" s="20"/>
      <c r="V108" s="20" t="s">
        <v>344</v>
      </c>
      <c r="W108" s="20" t="s">
        <v>333</v>
      </c>
      <c r="X108" s="20" t="s">
        <v>333</v>
      </c>
      <c r="Y108" s="20" t="s">
        <v>333</v>
      </c>
      <c r="Z108" s="20" t="s">
        <v>333</v>
      </c>
      <c r="AA108" s="20" t="s">
        <v>333</v>
      </c>
      <c r="AB108" s="20" t="s">
        <v>333</v>
      </c>
      <c r="AC108" s="20"/>
      <c r="AD108" s="20" t="s">
        <v>333</v>
      </c>
      <c r="AE108" s="20" t="s">
        <v>333</v>
      </c>
      <c r="AF108" s="20" t="s">
        <v>333</v>
      </c>
      <c r="AG108" s="20" t="s">
        <v>344</v>
      </c>
      <c r="AH108" s="20" t="s">
        <v>344</v>
      </c>
      <c r="AI108" s="20" t="s">
        <v>333</v>
      </c>
      <c r="AJ108" s="20"/>
      <c r="AK108" s="20" t="s">
        <v>347</v>
      </c>
      <c r="AL108" s="20" t="s">
        <v>2019</v>
      </c>
      <c r="AM108" s="20" t="s">
        <v>347</v>
      </c>
      <c r="AN108" s="20" t="s">
        <v>349</v>
      </c>
      <c r="AO108" s="20"/>
      <c r="AP108" s="20" t="s">
        <v>1556</v>
      </c>
      <c r="AQ108" s="20" t="s">
        <v>1586</v>
      </c>
      <c r="AR108" s="20"/>
      <c r="AS108" s="20"/>
    </row>
    <row r="109">
      <c r="A109" s="20" t="s">
        <v>2370</v>
      </c>
      <c r="B109" s="20" t="s">
        <v>1511</v>
      </c>
      <c r="C109" s="20" t="s">
        <v>1512</v>
      </c>
      <c r="D109" s="29" t="s">
        <v>2371</v>
      </c>
      <c r="E109" s="20" t="s">
        <v>49</v>
      </c>
      <c r="F109" s="80" t="s">
        <v>2372</v>
      </c>
      <c r="G109" s="81" t="s">
        <v>2374</v>
      </c>
      <c r="H109" s="20" t="s">
        <v>513</v>
      </c>
      <c r="I109" s="20" t="s">
        <v>514</v>
      </c>
      <c r="J109" s="20" t="s">
        <v>74</v>
      </c>
      <c r="K109" s="20" t="s">
        <v>55</v>
      </c>
      <c r="L109" s="20" t="s">
        <v>56</v>
      </c>
      <c r="M109" s="20" t="s">
        <v>57</v>
      </c>
      <c r="N109" s="20" t="s">
        <v>333</v>
      </c>
      <c r="O109" s="20" t="s">
        <v>1720</v>
      </c>
      <c r="P109" s="20" t="s">
        <v>1559</v>
      </c>
      <c r="Q109" s="20" t="s">
        <v>59</v>
      </c>
      <c r="R109" s="20" t="s">
        <v>333</v>
      </c>
      <c r="S109" s="20" t="s">
        <v>333</v>
      </c>
      <c r="T109" s="20"/>
      <c r="U109" s="20"/>
      <c r="V109" s="20" t="s">
        <v>344</v>
      </c>
      <c r="W109" s="20" t="s">
        <v>333</v>
      </c>
      <c r="X109" s="20" t="s">
        <v>333</v>
      </c>
      <c r="Y109" s="20" t="s">
        <v>333</v>
      </c>
      <c r="Z109" s="20" t="s">
        <v>333</v>
      </c>
      <c r="AA109" s="20" t="s">
        <v>333</v>
      </c>
      <c r="AB109" s="20" t="s">
        <v>333</v>
      </c>
      <c r="AC109" s="20"/>
      <c r="AD109" s="20" t="s">
        <v>333</v>
      </c>
      <c r="AE109" s="20" t="s">
        <v>333</v>
      </c>
      <c r="AF109" s="20" t="s">
        <v>333</v>
      </c>
      <c r="AG109" s="20" t="s">
        <v>344</v>
      </c>
      <c r="AH109" s="20" t="s">
        <v>344</v>
      </c>
      <c r="AI109" s="20" t="s">
        <v>333</v>
      </c>
      <c r="AJ109" s="20"/>
      <c r="AK109" s="20" t="s">
        <v>1663</v>
      </c>
      <c r="AL109" s="20" t="s">
        <v>1867</v>
      </c>
      <c r="AM109" s="20" t="s">
        <v>1663</v>
      </c>
      <c r="AN109" s="20" t="s">
        <v>349</v>
      </c>
      <c r="AO109" s="20"/>
      <c r="AP109" s="20" t="s">
        <v>1720</v>
      </c>
      <c r="AQ109" s="20" t="s">
        <v>1559</v>
      </c>
      <c r="AR109" s="20"/>
      <c r="AS109" s="20"/>
    </row>
    <row r="110">
      <c r="A110" s="20" t="s">
        <v>2378</v>
      </c>
      <c r="B110" s="20" t="s">
        <v>1249</v>
      </c>
      <c r="C110" s="20" t="s">
        <v>1251</v>
      </c>
      <c r="D110" s="20" t="s">
        <v>1255</v>
      </c>
      <c r="E110" s="20" t="s">
        <v>49</v>
      </c>
      <c r="F110" s="29" t="s">
        <v>69</v>
      </c>
      <c r="G110" s="29" t="s">
        <v>69</v>
      </c>
      <c r="H110" s="20" t="s">
        <v>303</v>
      </c>
      <c r="I110" s="20" t="s">
        <v>303</v>
      </c>
      <c r="J110" s="20" t="s">
        <v>74</v>
      </c>
      <c r="K110" s="20" t="s">
        <v>55</v>
      </c>
      <c r="L110" s="20" t="s">
        <v>56</v>
      </c>
      <c r="M110" s="20" t="s">
        <v>57</v>
      </c>
      <c r="N110" s="20" t="s">
        <v>333</v>
      </c>
      <c r="O110" s="20" t="s">
        <v>1682</v>
      </c>
      <c r="P110" s="20" t="s">
        <v>2262</v>
      </c>
      <c r="Q110" s="20" t="s">
        <v>59</v>
      </c>
      <c r="R110" s="20" t="s">
        <v>333</v>
      </c>
      <c r="S110" s="20" t="s">
        <v>333</v>
      </c>
      <c r="T110" s="20" t="s">
        <v>2382</v>
      </c>
      <c r="U110" s="20"/>
      <c r="V110" s="20" t="s">
        <v>344</v>
      </c>
      <c r="W110" s="20" t="s">
        <v>333</v>
      </c>
      <c r="X110" s="20" t="s">
        <v>333</v>
      </c>
      <c r="Y110" s="20" t="s">
        <v>333</v>
      </c>
      <c r="Z110" s="20" t="s">
        <v>333</v>
      </c>
      <c r="AA110" s="20" t="s">
        <v>333</v>
      </c>
      <c r="AB110" s="20" t="s">
        <v>333</v>
      </c>
      <c r="AC110" s="20"/>
      <c r="AD110" s="20" t="s">
        <v>333</v>
      </c>
      <c r="AE110" s="20" t="s">
        <v>333</v>
      </c>
      <c r="AF110" s="20" t="s">
        <v>333</v>
      </c>
      <c r="AG110" s="20" t="s">
        <v>344</v>
      </c>
      <c r="AH110" s="20" t="s">
        <v>344</v>
      </c>
      <c r="AI110" s="20" t="s">
        <v>333</v>
      </c>
      <c r="AJ110" s="20"/>
      <c r="AK110" s="20" t="s">
        <v>347</v>
      </c>
      <c r="AL110" s="20" t="s">
        <v>349</v>
      </c>
      <c r="AM110" s="20" t="s">
        <v>347</v>
      </c>
      <c r="AN110" s="20" t="s">
        <v>349</v>
      </c>
      <c r="AO110" s="20"/>
      <c r="AP110" s="20" t="s">
        <v>1682</v>
      </c>
      <c r="AQ110" s="20" t="s">
        <v>2262</v>
      </c>
      <c r="AR110" s="20"/>
      <c r="AS110" s="20"/>
    </row>
    <row r="111">
      <c r="A111" s="20" t="s">
        <v>2386</v>
      </c>
      <c r="B111" s="20" t="s">
        <v>1498</v>
      </c>
      <c r="C111" s="20" t="s">
        <v>1499</v>
      </c>
      <c r="D111" s="59" t="s">
        <v>69</v>
      </c>
      <c r="E111" s="20" t="s">
        <v>49</v>
      </c>
      <c r="F111" s="20" t="s">
        <v>1500</v>
      </c>
      <c r="G111" s="29" t="s">
        <v>69</v>
      </c>
      <c r="H111" s="20" t="s">
        <v>1502</v>
      </c>
      <c r="I111" s="20" t="s">
        <v>1503</v>
      </c>
      <c r="J111" s="20" t="s">
        <v>74</v>
      </c>
      <c r="K111" s="20" t="s">
        <v>55</v>
      </c>
      <c r="L111" s="20" t="s">
        <v>56</v>
      </c>
      <c r="M111" s="20" t="s">
        <v>57</v>
      </c>
      <c r="N111" s="20" t="s">
        <v>333</v>
      </c>
      <c r="O111" s="20" t="s">
        <v>1920</v>
      </c>
      <c r="P111" s="20" t="s">
        <v>348</v>
      </c>
      <c r="Q111" s="20" t="s">
        <v>59</v>
      </c>
      <c r="R111" s="20" t="s">
        <v>333</v>
      </c>
      <c r="S111" s="20" t="s">
        <v>333</v>
      </c>
      <c r="T111" s="20"/>
      <c r="U111" s="20"/>
      <c r="V111" s="20" t="s">
        <v>344</v>
      </c>
      <c r="W111" s="20" t="s">
        <v>333</v>
      </c>
      <c r="X111" s="20" t="s">
        <v>333</v>
      </c>
      <c r="Y111" s="20" t="s">
        <v>333</v>
      </c>
      <c r="Z111" s="20" t="s">
        <v>333</v>
      </c>
      <c r="AA111" s="20" t="s">
        <v>333</v>
      </c>
      <c r="AB111" s="20" t="s">
        <v>333</v>
      </c>
      <c r="AC111" s="20"/>
      <c r="AD111" s="20" t="s">
        <v>333</v>
      </c>
      <c r="AE111" s="20" t="s">
        <v>333</v>
      </c>
      <c r="AF111" s="20" t="s">
        <v>333</v>
      </c>
      <c r="AG111" s="20" t="s">
        <v>344</v>
      </c>
      <c r="AH111" s="20" t="s">
        <v>344</v>
      </c>
      <c r="AI111" s="20" t="s">
        <v>333</v>
      </c>
      <c r="AJ111" s="20"/>
      <c r="AK111" s="20" t="s">
        <v>1587</v>
      </c>
      <c r="AL111" s="20" t="s">
        <v>1245</v>
      </c>
      <c r="AM111" s="20" t="s">
        <v>1587</v>
      </c>
      <c r="AN111" s="20" t="s">
        <v>349</v>
      </c>
      <c r="AO111" s="20"/>
      <c r="AP111" s="20" t="s">
        <v>1920</v>
      </c>
      <c r="AQ111" s="20" t="s">
        <v>348</v>
      </c>
      <c r="AR111" s="29" t="s">
        <v>1951</v>
      </c>
      <c r="AS111" s="20"/>
    </row>
    <row r="112">
      <c r="A112" s="32" t="s">
        <v>2387</v>
      </c>
      <c r="B112" s="32" t="s">
        <v>1428</v>
      </c>
      <c r="C112" s="32" t="s">
        <v>1429</v>
      </c>
      <c r="D112" s="48" t="s">
        <v>2390</v>
      </c>
      <c r="E112" s="32" t="s">
        <v>49</v>
      </c>
      <c r="F112" s="32" t="s">
        <v>2391</v>
      </c>
      <c r="G112" s="32" t="s">
        <v>2392</v>
      </c>
      <c r="H112" s="32" t="s">
        <v>1385</v>
      </c>
      <c r="I112" s="32" t="s">
        <v>1386</v>
      </c>
      <c r="J112" s="32" t="s">
        <v>74</v>
      </c>
      <c r="K112" s="32" t="s">
        <v>55</v>
      </c>
      <c r="L112" s="32" t="s">
        <v>56</v>
      </c>
      <c r="M112" s="32" t="s">
        <v>57</v>
      </c>
      <c r="N112" s="32" t="s">
        <v>333</v>
      </c>
      <c r="O112" s="32" t="s">
        <v>1556</v>
      </c>
      <c r="P112" s="32"/>
      <c r="Q112" s="32" t="s">
        <v>59</v>
      </c>
      <c r="R112" s="32" t="s">
        <v>333</v>
      </c>
      <c r="S112" s="32" t="s">
        <v>333</v>
      </c>
      <c r="T112" s="32"/>
      <c r="U112" s="32"/>
      <c r="V112" s="32" t="s">
        <v>344</v>
      </c>
      <c r="W112" s="32" t="s">
        <v>333</v>
      </c>
      <c r="X112" s="32" t="s">
        <v>333</v>
      </c>
      <c r="Y112" s="32" t="s">
        <v>333</v>
      </c>
      <c r="Z112" s="32" t="s">
        <v>333</v>
      </c>
      <c r="AA112" s="32" t="s">
        <v>333</v>
      </c>
      <c r="AB112" s="32" t="s">
        <v>333</v>
      </c>
      <c r="AC112" s="32"/>
      <c r="AD112" s="32" t="s">
        <v>333</v>
      </c>
      <c r="AE112" s="32" t="s">
        <v>333</v>
      </c>
      <c r="AF112" s="32" t="s">
        <v>333</v>
      </c>
      <c r="AG112" s="32" t="s">
        <v>344</v>
      </c>
      <c r="AH112" s="32" t="s">
        <v>344</v>
      </c>
      <c r="AI112" s="32" t="s">
        <v>333</v>
      </c>
      <c r="AJ112" s="32"/>
      <c r="AK112" s="32" t="s">
        <v>347</v>
      </c>
      <c r="AL112" s="32" t="s">
        <v>1556</v>
      </c>
      <c r="AM112" s="32" t="s">
        <v>347</v>
      </c>
      <c r="AN112" s="32" t="s">
        <v>349</v>
      </c>
      <c r="AO112" s="32"/>
      <c r="AP112" s="32" t="s">
        <v>1556</v>
      </c>
      <c r="AQ112" s="32" t="s">
        <v>349</v>
      </c>
      <c r="AR112" s="21" t="s">
        <v>1931</v>
      </c>
      <c r="AS112" s="21">
        <v>2.0</v>
      </c>
    </row>
    <row r="113">
      <c r="A113" s="20" t="s">
        <v>2399</v>
      </c>
      <c r="B113" s="20" t="s">
        <v>1535</v>
      </c>
      <c r="C113" s="20" t="s">
        <v>1539</v>
      </c>
      <c r="D113" s="20" t="s">
        <v>1540</v>
      </c>
      <c r="E113" s="20" t="s">
        <v>49</v>
      </c>
      <c r="F113" s="29" t="s">
        <v>69</v>
      </c>
      <c r="G113" s="29" t="s">
        <v>69</v>
      </c>
      <c r="H113" s="20" t="s">
        <v>303</v>
      </c>
      <c r="I113" s="20" t="s">
        <v>303</v>
      </c>
      <c r="J113" s="20" t="s">
        <v>74</v>
      </c>
      <c r="K113" s="20" t="s">
        <v>55</v>
      </c>
      <c r="L113" s="20" t="s">
        <v>56</v>
      </c>
      <c r="M113" s="20" t="s">
        <v>57</v>
      </c>
      <c r="N113" s="20" t="s">
        <v>333</v>
      </c>
      <c r="O113" s="20" t="s">
        <v>2400</v>
      </c>
      <c r="P113" s="20" t="s">
        <v>335</v>
      </c>
      <c r="Q113" s="20" t="s">
        <v>59</v>
      </c>
      <c r="R113" s="20" t="s">
        <v>333</v>
      </c>
      <c r="S113" s="20" t="s">
        <v>333</v>
      </c>
      <c r="T113" s="20" t="s">
        <v>2401</v>
      </c>
      <c r="U113" s="20"/>
      <c r="V113" s="20" t="s">
        <v>344</v>
      </c>
      <c r="W113" s="20" t="s">
        <v>333</v>
      </c>
      <c r="X113" s="20" t="s">
        <v>333</v>
      </c>
      <c r="Y113" s="20" t="s">
        <v>333</v>
      </c>
      <c r="Z113" s="20" t="s">
        <v>333</v>
      </c>
      <c r="AA113" s="20" t="s">
        <v>333</v>
      </c>
      <c r="AB113" s="20" t="s">
        <v>333</v>
      </c>
      <c r="AC113" s="20"/>
      <c r="AD113" s="20" t="s">
        <v>333</v>
      </c>
      <c r="AE113" s="20" t="s">
        <v>333</v>
      </c>
      <c r="AF113" s="20" t="s">
        <v>333</v>
      </c>
      <c r="AG113" s="20" t="s">
        <v>344</v>
      </c>
      <c r="AH113" s="20" t="s">
        <v>344</v>
      </c>
      <c r="AI113" s="20" t="s">
        <v>333</v>
      </c>
      <c r="AJ113" s="20"/>
      <c r="AK113" s="20" t="s">
        <v>1595</v>
      </c>
      <c r="AL113" s="20" t="s">
        <v>1596</v>
      </c>
      <c r="AM113" s="20" t="s">
        <v>1595</v>
      </c>
      <c r="AN113" s="20" t="s">
        <v>349</v>
      </c>
      <c r="AO113" s="20"/>
      <c r="AP113" s="20" t="s">
        <v>2400</v>
      </c>
      <c r="AQ113" s="20" t="s">
        <v>335</v>
      </c>
      <c r="AR113" s="20"/>
      <c r="AS113" s="20"/>
    </row>
    <row r="114">
      <c r="A114" s="32" t="s">
        <v>2406</v>
      </c>
      <c r="B114" s="32" t="s">
        <v>380</v>
      </c>
      <c r="C114" s="32" t="s">
        <v>381</v>
      </c>
      <c r="D114" s="48" t="s">
        <v>2407</v>
      </c>
      <c r="E114" s="32" t="s">
        <v>49</v>
      </c>
      <c r="F114" s="32" t="s">
        <v>2408</v>
      </c>
      <c r="G114" s="32" t="s">
        <v>1100</v>
      </c>
      <c r="H114" s="32" t="s">
        <v>147</v>
      </c>
      <c r="I114" s="32" t="s">
        <v>148</v>
      </c>
      <c r="J114" s="32" t="s">
        <v>148</v>
      </c>
      <c r="K114" s="32" t="s">
        <v>55</v>
      </c>
      <c r="L114" s="32" t="s">
        <v>56</v>
      </c>
      <c r="M114" s="32" t="s">
        <v>57</v>
      </c>
      <c r="N114" s="32" t="s">
        <v>333</v>
      </c>
      <c r="O114" s="32" t="s">
        <v>2409</v>
      </c>
      <c r="P114" s="32" t="s">
        <v>1269</v>
      </c>
      <c r="Q114" s="32" t="s">
        <v>59</v>
      </c>
      <c r="R114" s="32" t="s">
        <v>333</v>
      </c>
      <c r="S114" s="32" t="s">
        <v>333</v>
      </c>
      <c r="T114" s="32"/>
      <c r="U114" s="32"/>
      <c r="V114" s="32" t="s">
        <v>344</v>
      </c>
      <c r="W114" s="32" t="s">
        <v>333</v>
      </c>
      <c r="X114" s="32" t="s">
        <v>333</v>
      </c>
      <c r="Y114" s="32" t="s">
        <v>333</v>
      </c>
      <c r="Z114" s="32" t="s">
        <v>333</v>
      </c>
      <c r="AA114" s="32" t="s">
        <v>333</v>
      </c>
      <c r="AB114" s="32" t="s">
        <v>333</v>
      </c>
      <c r="AC114" s="32"/>
      <c r="AD114" s="32" t="s">
        <v>333</v>
      </c>
      <c r="AE114" s="32" t="s">
        <v>333</v>
      </c>
      <c r="AF114" s="32" t="s">
        <v>333</v>
      </c>
      <c r="AG114" s="32" t="s">
        <v>344</v>
      </c>
      <c r="AH114" s="32" t="s">
        <v>344</v>
      </c>
      <c r="AI114" s="32" t="s">
        <v>333</v>
      </c>
      <c r="AJ114" s="32"/>
      <c r="AK114" s="32" t="s">
        <v>347</v>
      </c>
      <c r="AL114" s="32" t="s">
        <v>1596</v>
      </c>
      <c r="AM114" s="32" t="s">
        <v>347</v>
      </c>
      <c r="AN114" s="32" t="s">
        <v>349</v>
      </c>
      <c r="AO114" s="32"/>
      <c r="AP114" s="32" t="s">
        <v>2409</v>
      </c>
      <c r="AQ114" s="32" t="s">
        <v>1269</v>
      </c>
      <c r="AR114" s="21" t="s">
        <v>1931</v>
      </c>
      <c r="AS114" s="21">
        <v>2.0</v>
      </c>
    </row>
    <row r="115">
      <c r="A115" s="20" t="s">
        <v>2411</v>
      </c>
      <c r="B115" s="20" t="s">
        <v>1088</v>
      </c>
      <c r="C115" s="20" t="s">
        <v>1089</v>
      </c>
      <c r="D115" s="29" t="s">
        <v>1090</v>
      </c>
      <c r="E115" s="20" t="s">
        <v>49</v>
      </c>
      <c r="F115" s="80" t="s">
        <v>2412</v>
      </c>
      <c r="G115" s="29" t="s">
        <v>69</v>
      </c>
      <c r="H115" s="20" t="s">
        <v>1091</v>
      </c>
      <c r="I115" s="20" t="s">
        <v>1092</v>
      </c>
      <c r="J115" s="20" t="s">
        <v>74</v>
      </c>
      <c r="K115" s="20" t="s">
        <v>55</v>
      </c>
      <c r="L115" s="20" t="s">
        <v>56</v>
      </c>
      <c r="M115" s="20" t="s">
        <v>57</v>
      </c>
      <c r="N115" s="20" t="s">
        <v>333</v>
      </c>
      <c r="O115" s="20" t="s">
        <v>348</v>
      </c>
      <c r="P115" s="20" t="s">
        <v>2409</v>
      </c>
      <c r="Q115" s="20" t="s">
        <v>59</v>
      </c>
      <c r="R115" s="20" t="s">
        <v>333</v>
      </c>
      <c r="S115" s="20" t="s">
        <v>333</v>
      </c>
      <c r="T115" s="20"/>
      <c r="U115" s="20"/>
      <c r="V115" s="20" t="s">
        <v>344</v>
      </c>
      <c r="W115" s="20" t="s">
        <v>333</v>
      </c>
      <c r="X115" s="20" t="s">
        <v>333</v>
      </c>
      <c r="Y115" s="20" t="s">
        <v>333</v>
      </c>
      <c r="Z115" s="20" t="s">
        <v>333</v>
      </c>
      <c r="AA115" s="20" t="s">
        <v>333</v>
      </c>
      <c r="AB115" s="20" t="s">
        <v>333</v>
      </c>
      <c r="AC115" s="20"/>
      <c r="AD115" s="20" t="s">
        <v>333</v>
      </c>
      <c r="AE115" s="20" t="s">
        <v>333</v>
      </c>
      <c r="AF115" s="20" t="s">
        <v>333</v>
      </c>
      <c r="AG115" s="20" t="s">
        <v>344</v>
      </c>
      <c r="AH115" s="20" t="s">
        <v>344</v>
      </c>
      <c r="AI115" s="20" t="s">
        <v>333</v>
      </c>
      <c r="AJ115" s="20"/>
      <c r="AK115" s="20" t="s">
        <v>1244</v>
      </c>
      <c r="AL115" s="20" t="s">
        <v>1245</v>
      </c>
      <c r="AM115" s="20" t="s">
        <v>1244</v>
      </c>
      <c r="AN115" s="20" t="s">
        <v>349</v>
      </c>
      <c r="AO115" s="20"/>
      <c r="AP115" s="20" t="s">
        <v>348</v>
      </c>
      <c r="AQ115" s="20" t="s">
        <v>2409</v>
      </c>
      <c r="AR115" s="20"/>
      <c r="AS115" s="20"/>
    </row>
    <row r="116">
      <c r="A116" s="20" t="s">
        <v>2421</v>
      </c>
      <c r="B116" s="20" t="s">
        <v>1542</v>
      </c>
      <c r="C116" s="20" t="s">
        <v>1543</v>
      </c>
      <c r="D116" s="29" t="s">
        <v>2422</v>
      </c>
      <c r="E116" s="20" t="s">
        <v>49</v>
      </c>
      <c r="F116" s="80" t="s">
        <v>2423</v>
      </c>
      <c r="G116" s="95" t="s">
        <v>2424</v>
      </c>
      <c r="H116" s="20" t="s">
        <v>1385</v>
      </c>
      <c r="I116" s="20" t="s">
        <v>1386</v>
      </c>
      <c r="J116" s="20" t="s">
        <v>74</v>
      </c>
      <c r="K116" s="20" t="s">
        <v>55</v>
      </c>
      <c r="L116" s="20" t="s">
        <v>56</v>
      </c>
      <c r="M116" s="20" t="s">
        <v>57</v>
      </c>
      <c r="N116" s="20" t="s">
        <v>333</v>
      </c>
      <c r="O116" s="20" t="s">
        <v>2005</v>
      </c>
      <c r="P116" s="20" t="s">
        <v>2117</v>
      </c>
      <c r="Q116" s="20" t="s">
        <v>59</v>
      </c>
      <c r="R116" s="20" t="s">
        <v>333</v>
      </c>
      <c r="S116" s="20" t="s">
        <v>333</v>
      </c>
      <c r="T116" s="20"/>
      <c r="U116" s="20"/>
      <c r="V116" s="20" t="s">
        <v>344</v>
      </c>
      <c r="W116" s="20" t="s">
        <v>333</v>
      </c>
      <c r="X116" s="20" t="s">
        <v>333</v>
      </c>
      <c r="Y116" s="20" t="s">
        <v>333</v>
      </c>
      <c r="Z116" s="20" t="s">
        <v>333</v>
      </c>
      <c r="AA116" s="20" t="s">
        <v>333</v>
      </c>
      <c r="AB116" s="20" t="s">
        <v>333</v>
      </c>
      <c r="AC116" s="20"/>
      <c r="AD116" s="20" t="s">
        <v>333</v>
      </c>
      <c r="AE116" s="20" t="s">
        <v>333</v>
      </c>
      <c r="AF116" s="20" t="s">
        <v>333</v>
      </c>
      <c r="AG116" s="20" t="s">
        <v>344</v>
      </c>
      <c r="AH116" s="20" t="s">
        <v>344</v>
      </c>
      <c r="AI116" s="20" t="s">
        <v>333</v>
      </c>
      <c r="AJ116" s="20"/>
      <c r="AK116" s="20" t="s">
        <v>347</v>
      </c>
      <c r="AL116" s="20" t="s">
        <v>1245</v>
      </c>
      <c r="AM116" s="20" t="s">
        <v>347</v>
      </c>
      <c r="AN116" s="20" t="s">
        <v>349</v>
      </c>
      <c r="AO116" s="20"/>
      <c r="AP116" s="20" t="s">
        <v>2005</v>
      </c>
      <c r="AQ116" s="20" t="s">
        <v>2117</v>
      </c>
      <c r="AR116" s="20"/>
      <c r="AS116" s="20"/>
    </row>
    <row r="117">
      <c r="A117" s="20" t="s">
        <v>2428</v>
      </c>
      <c r="B117" s="20" t="s">
        <v>1316</v>
      </c>
      <c r="C117" s="20" t="s">
        <v>1317</v>
      </c>
      <c r="D117" s="20" t="s">
        <v>1318</v>
      </c>
      <c r="E117" s="20" t="s">
        <v>49</v>
      </c>
      <c r="F117" s="80" t="s">
        <v>2429</v>
      </c>
      <c r="G117" s="29" t="s">
        <v>69</v>
      </c>
      <c r="H117" s="20" t="s">
        <v>586</v>
      </c>
      <c r="I117" s="20" t="s">
        <v>587</v>
      </c>
      <c r="J117" s="20" t="s">
        <v>74</v>
      </c>
      <c r="K117" s="20" t="s">
        <v>55</v>
      </c>
      <c r="L117" s="20" t="s">
        <v>56</v>
      </c>
      <c r="M117" s="20" t="s">
        <v>57</v>
      </c>
      <c r="N117" s="20" t="s">
        <v>333</v>
      </c>
      <c r="O117" s="20" t="s">
        <v>1556</v>
      </c>
      <c r="P117" s="20" t="s">
        <v>1586</v>
      </c>
      <c r="Q117" s="20" t="s">
        <v>59</v>
      </c>
      <c r="R117" s="20" t="s">
        <v>333</v>
      </c>
      <c r="S117" s="20" t="s">
        <v>333</v>
      </c>
      <c r="T117" s="20" t="s">
        <v>1323</v>
      </c>
      <c r="U117" s="20"/>
      <c r="V117" s="20" t="s">
        <v>344</v>
      </c>
      <c r="W117" s="20" t="s">
        <v>333</v>
      </c>
      <c r="X117" s="20" t="s">
        <v>333</v>
      </c>
      <c r="Y117" s="20" t="s">
        <v>333</v>
      </c>
      <c r="Z117" s="20" t="s">
        <v>333</v>
      </c>
      <c r="AA117" s="20" t="s">
        <v>333</v>
      </c>
      <c r="AB117" s="20" t="s">
        <v>333</v>
      </c>
      <c r="AC117" s="20"/>
      <c r="AD117" s="20" t="s">
        <v>333</v>
      </c>
      <c r="AE117" s="20" t="s">
        <v>333</v>
      </c>
      <c r="AF117" s="20" t="s">
        <v>333</v>
      </c>
      <c r="AG117" s="20" t="s">
        <v>344</v>
      </c>
      <c r="AH117" s="20" t="s">
        <v>344</v>
      </c>
      <c r="AI117" s="20" t="s">
        <v>333</v>
      </c>
      <c r="AJ117" s="20"/>
      <c r="AK117" s="20" t="s">
        <v>1596</v>
      </c>
      <c r="AL117" s="20" t="s">
        <v>1245</v>
      </c>
      <c r="AM117" s="20" t="s">
        <v>1596</v>
      </c>
      <c r="AN117" s="20" t="s">
        <v>349</v>
      </c>
      <c r="AO117" s="20"/>
      <c r="AP117" s="20" t="s">
        <v>1556</v>
      </c>
      <c r="AQ117" s="20" t="s">
        <v>1586</v>
      </c>
      <c r="AR117" s="20"/>
      <c r="AS117" s="20"/>
    </row>
    <row r="118">
      <c r="A118" s="20" t="s">
        <v>2435</v>
      </c>
      <c r="B118" s="20" t="s">
        <v>1015</v>
      </c>
      <c r="C118" s="20" t="s">
        <v>1016</v>
      </c>
      <c r="D118" s="20" t="s">
        <v>1017</v>
      </c>
      <c r="E118" s="20" t="s">
        <v>49</v>
      </c>
      <c r="F118" s="29" t="s">
        <v>69</v>
      </c>
      <c r="G118" s="29" t="s">
        <v>69</v>
      </c>
      <c r="H118" s="20" t="s">
        <v>1020</v>
      </c>
      <c r="I118" s="20" t="s">
        <v>587</v>
      </c>
      <c r="J118" s="20" t="s">
        <v>74</v>
      </c>
      <c r="K118" s="20" t="s">
        <v>55</v>
      </c>
      <c r="L118" s="20" t="s">
        <v>56</v>
      </c>
      <c r="M118" s="20" t="s">
        <v>57</v>
      </c>
      <c r="N118" s="20" t="s">
        <v>333</v>
      </c>
      <c r="O118" s="20" t="s">
        <v>1596</v>
      </c>
      <c r="P118" s="20" t="s">
        <v>1682</v>
      </c>
      <c r="Q118" s="20" t="s">
        <v>59</v>
      </c>
      <c r="R118" s="20" t="s">
        <v>333</v>
      </c>
      <c r="S118" s="20" t="s">
        <v>333</v>
      </c>
      <c r="T118" s="20" t="s">
        <v>2439</v>
      </c>
      <c r="U118" s="20" t="s">
        <v>1027</v>
      </c>
      <c r="V118" s="20" t="s">
        <v>344</v>
      </c>
      <c r="W118" s="20" t="s">
        <v>333</v>
      </c>
      <c r="X118" s="20" t="s">
        <v>333</v>
      </c>
      <c r="Y118" s="20" t="s">
        <v>333</v>
      </c>
      <c r="Z118" s="20" t="s">
        <v>333</v>
      </c>
      <c r="AA118" s="20" t="s">
        <v>333</v>
      </c>
      <c r="AB118" s="20" t="s">
        <v>333</v>
      </c>
      <c r="AC118" s="20"/>
      <c r="AD118" s="20" t="s">
        <v>333</v>
      </c>
      <c r="AE118" s="20" t="s">
        <v>333</v>
      </c>
      <c r="AF118" s="20" t="s">
        <v>333</v>
      </c>
      <c r="AG118" s="20" t="s">
        <v>344</v>
      </c>
      <c r="AH118" s="20" t="s">
        <v>344</v>
      </c>
      <c r="AI118" s="20" t="s">
        <v>333</v>
      </c>
      <c r="AJ118" s="20"/>
      <c r="AK118" s="20" t="s">
        <v>1244</v>
      </c>
      <c r="AL118" s="20" t="s">
        <v>1245</v>
      </c>
      <c r="AM118" s="20" t="s">
        <v>1244</v>
      </c>
      <c r="AN118" s="20" t="s">
        <v>349</v>
      </c>
      <c r="AO118" s="20" t="s">
        <v>2441</v>
      </c>
      <c r="AP118" s="20" t="s">
        <v>1596</v>
      </c>
      <c r="AQ118" s="20" t="s">
        <v>1682</v>
      </c>
      <c r="AR118" s="20"/>
      <c r="AS118" s="20"/>
    </row>
    <row r="119">
      <c r="A119" s="20" t="s">
        <v>2442</v>
      </c>
      <c r="B119" s="20" t="s">
        <v>507</v>
      </c>
      <c r="C119" s="20" t="s">
        <v>509</v>
      </c>
      <c r="D119" s="29" t="s">
        <v>511</v>
      </c>
      <c r="E119" s="20" t="s">
        <v>49</v>
      </c>
      <c r="F119" s="80" t="s">
        <v>2443</v>
      </c>
      <c r="G119" s="29" t="s">
        <v>69</v>
      </c>
      <c r="H119" s="20" t="s">
        <v>53</v>
      </c>
      <c r="I119" s="20" t="s">
        <v>54</v>
      </c>
      <c r="J119" s="20" t="s">
        <v>54</v>
      </c>
      <c r="K119" s="20" t="s">
        <v>55</v>
      </c>
      <c r="L119" s="20" t="s">
        <v>56</v>
      </c>
      <c r="M119" s="20" t="s">
        <v>57</v>
      </c>
      <c r="N119" s="20" t="s">
        <v>333</v>
      </c>
      <c r="O119" s="20" t="s">
        <v>1586</v>
      </c>
      <c r="P119" s="20" t="s">
        <v>348</v>
      </c>
      <c r="Q119" s="20" t="s">
        <v>59</v>
      </c>
      <c r="R119" s="20" t="s">
        <v>333</v>
      </c>
      <c r="S119" s="20" t="s">
        <v>333</v>
      </c>
      <c r="T119" s="20"/>
      <c r="U119" s="20"/>
      <c r="V119" s="20" t="s">
        <v>344</v>
      </c>
      <c r="W119" s="20" t="s">
        <v>333</v>
      </c>
      <c r="X119" s="20" t="s">
        <v>333</v>
      </c>
      <c r="Y119" s="20" t="s">
        <v>333</v>
      </c>
      <c r="Z119" s="20" t="s">
        <v>333</v>
      </c>
      <c r="AA119" s="20" t="s">
        <v>333</v>
      </c>
      <c r="AB119" s="20" t="s">
        <v>333</v>
      </c>
      <c r="AC119" s="20"/>
      <c r="AD119" s="20" t="s">
        <v>333</v>
      </c>
      <c r="AE119" s="20" t="s">
        <v>333</v>
      </c>
      <c r="AF119" s="20" t="s">
        <v>333</v>
      </c>
      <c r="AG119" s="20" t="s">
        <v>344</v>
      </c>
      <c r="AH119" s="20" t="s">
        <v>344</v>
      </c>
      <c r="AI119" s="20" t="s">
        <v>333</v>
      </c>
      <c r="AJ119" s="20"/>
      <c r="AK119" s="20" t="s">
        <v>1595</v>
      </c>
      <c r="AL119" s="20" t="s">
        <v>1661</v>
      </c>
      <c r="AM119" s="20" t="s">
        <v>1595</v>
      </c>
      <c r="AN119" s="20" t="s">
        <v>349</v>
      </c>
      <c r="AO119" s="20"/>
      <c r="AP119" s="20" t="s">
        <v>1586</v>
      </c>
      <c r="AQ119" s="20" t="s">
        <v>348</v>
      </c>
      <c r="AR119" s="20"/>
      <c r="AS119" s="20"/>
    </row>
    <row r="120">
      <c r="A120" s="20" t="s">
        <v>2448</v>
      </c>
      <c r="B120" s="20" t="s">
        <v>1616</v>
      </c>
      <c r="C120" s="20" t="s">
        <v>1617</v>
      </c>
      <c r="D120" s="29" t="s">
        <v>2450</v>
      </c>
      <c r="E120" s="20" t="s">
        <v>49</v>
      </c>
      <c r="F120" s="29" t="s">
        <v>69</v>
      </c>
      <c r="G120" s="20" t="s">
        <v>1620</v>
      </c>
      <c r="H120" s="20" t="s">
        <v>72</v>
      </c>
      <c r="I120" s="20" t="s">
        <v>73</v>
      </c>
      <c r="J120" s="20" t="s">
        <v>74</v>
      </c>
      <c r="K120" s="20" t="s">
        <v>55</v>
      </c>
      <c r="L120" s="20" t="s">
        <v>56</v>
      </c>
      <c r="M120" s="20" t="s">
        <v>57</v>
      </c>
      <c r="N120" s="20" t="s">
        <v>333</v>
      </c>
      <c r="O120" s="20" t="s">
        <v>1745</v>
      </c>
      <c r="P120" s="20"/>
      <c r="Q120" s="20" t="s">
        <v>59</v>
      </c>
      <c r="R120" s="20" t="s">
        <v>333</v>
      </c>
      <c r="S120" s="20" t="s">
        <v>333</v>
      </c>
      <c r="T120" s="20"/>
      <c r="U120" s="20"/>
      <c r="V120" s="20" t="s">
        <v>344</v>
      </c>
      <c r="W120" s="20" t="s">
        <v>333</v>
      </c>
      <c r="X120" s="20" t="s">
        <v>333</v>
      </c>
      <c r="Y120" s="20" t="s">
        <v>333</v>
      </c>
      <c r="Z120" s="20" t="s">
        <v>333</v>
      </c>
      <c r="AA120" s="20" t="s">
        <v>333</v>
      </c>
      <c r="AB120" s="20" t="s">
        <v>333</v>
      </c>
      <c r="AC120" s="20"/>
      <c r="AD120" s="20" t="s">
        <v>333</v>
      </c>
      <c r="AE120" s="20" t="s">
        <v>333</v>
      </c>
      <c r="AF120" s="20" t="s">
        <v>333</v>
      </c>
      <c r="AG120" s="20" t="s">
        <v>344</v>
      </c>
      <c r="AH120" s="20" t="s">
        <v>344</v>
      </c>
      <c r="AI120" s="20" t="s">
        <v>333</v>
      </c>
      <c r="AJ120" s="20"/>
      <c r="AK120" s="20" t="s">
        <v>1244</v>
      </c>
      <c r="AL120" s="20" t="s">
        <v>1596</v>
      </c>
      <c r="AM120" s="20" t="s">
        <v>1244</v>
      </c>
      <c r="AN120" s="20" t="s">
        <v>349</v>
      </c>
      <c r="AO120" s="20"/>
      <c r="AP120" s="20" t="s">
        <v>1745</v>
      </c>
      <c r="AQ120" s="20" t="s">
        <v>349</v>
      </c>
      <c r="AR120" s="20"/>
      <c r="AS120" s="20"/>
    </row>
    <row r="121">
      <c r="A121" s="20" t="s">
        <v>2452</v>
      </c>
      <c r="B121" s="20" t="s">
        <v>364</v>
      </c>
      <c r="C121" s="20" t="s">
        <v>366</v>
      </c>
      <c r="D121" s="29" t="s">
        <v>1379</v>
      </c>
      <c r="E121" s="20" t="s">
        <v>49</v>
      </c>
      <c r="F121" s="29" t="s">
        <v>69</v>
      </c>
      <c r="G121" s="29" t="s">
        <v>69</v>
      </c>
      <c r="H121" s="20" t="s">
        <v>147</v>
      </c>
      <c r="I121" s="20" t="s">
        <v>148</v>
      </c>
      <c r="J121" s="20" t="s">
        <v>148</v>
      </c>
      <c r="K121" s="20" t="s">
        <v>55</v>
      </c>
      <c r="L121" s="20" t="s">
        <v>56</v>
      </c>
      <c r="M121" s="20" t="s">
        <v>57</v>
      </c>
      <c r="N121" s="20" t="s">
        <v>333</v>
      </c>
      <c r="O121" s="20" t="s">
        <v>1795</v>
      </c>
      <c r="P121" s="20"/>
      <c r="Q121" s="20" t="s">
        <v>59</v>
      </c>
      <c r="R121" s="20" t="s">
        <v>333</v>
      </c>
      <c r="S121" s="20" t="s">
        <v>333</v>
      </c>
      <c r="T121" s="20"/>
      <c r="U121" s="20"/>
      <c r="V121" s="20" t="s">
        <v>344</v>
      </c>
      <c r="W121" s="20" t="s">
        <v>333</v>
      </c>
      <c r="X121" s="20" t="s">
        <v>333</v>
      </c>
      <c r="Y121" s="20" t="s">
        <v>333</v>
      </c>
      <c r="Z121" s="20" t="s">
        <v>333</v>
      </c>
      <c r="AA121" s="20" t="s">
        <v>333</v>
      </c>
      <c r="AB121" s="20" t="s">
        <v>333</v>
      </c>
      <c r="AC121" s="20"/>
      <c r="AD121" s="20" t="s">
        <v>333</v>
      </c>
      <c r="AE121" s="20" t="s">
        <v>333</v>
      </c>
      <c r="AF121" s="20" t="s">
        <v>333</v>
      </c>
      <c r="AG121" s="20" t="s">
        <v>344</v>
      </c>
      <c r="AH121" s="20" t="s">
        <v>344</v>
      </c>
      <c r="AI121" s="20" t="s">
        <v>333</v>
      </c>
      <c r="AJ121" s="20"/>
      <c r="AK121" s="20" t="s">
        <v>347</v>
      </c>
      <c r="AL121" s="20" t="s">
        <v>1556</v>
      </c>
      <c r="AM121" s="20" t="s">
        <v>347</v>
      </c>
      <c r="AN121" s="20" t="s">
        <v>349</v>
      </c>
      <c r="AO121" s="20"/>
      <c r="AP121" s="20" t="s">
        <v>1795</v>
      </c>
      <c r="AQ121" s="20" t="s">
        <v>349</v>
      </c>
      <c r="AR121" s="20"/>
      <c r="AS121" s="20"/>
    </row>
    <row r="122">
      <c r="A122" s="20" t="s">
        <v>2454</v>
      </c>
      <c r="B122" s="20" t="s">
        <v>1240</v>
      </c>
      <c r="C122" s="20" t="s">
        <v>1241</v>
      </c>
      <c r="D122" s="20"/>
      <c r="E122" s="20" t="s">
        <v>49</v>
      </c>
      <c r="F122" s="80" t="s">
        <v>2455</v>
      </c>
      <c r="G122" s="76" t="s">
        <v>2459</v>
      </c>
      <c r="H122" s="20" t="s">
        <v>303</v>
      </c>
      <c r="I122" s="20" t="s">
        <v>303</v>
      </c>
      <c r="J122" s="20" t="s">
        <v>74</v>
      </c>
      <c r="K122" s="20" t="s">
        <v>55</v>
      </c>
      <c r="L122" s="20" t="s">
        <v>56</v>
      </c>
      <c r="M122" s="20" t="s">
        <v>57</v>
      </c>
      <c r="N122" s="20" t="s">
        <v>333</v>
      </c>
      <c r="O122" s="20" t="s">
        <v>2461</v>
      </c>
      <c r="P122" s="20" t="s">
        <v>1682</v>
      </c>
      <c r="Q122" s="20" t="s">
        <v>59</v>
      </c>
      <c r="R122" s="20" t="s">
        <v>333</v>
      </c>
      <c r="S122" s="20" t="s">
        <v>333</v>
      </c>
      <c r="T122" s="20"/>
      <c r="U122" s="20"/>
      <c r="V122" s="20" t="s">
        <v>344</v>
      </c>
      <c r="W122" s="20" t="s">
        <v>333</v>
      </c>
      <c r="X122" s="20" t="s">
        <v>333</v>
      </c>
      <c r="Y122" s="20" t="s">
        <v>333</v>
      </c>
      <c r="Z122" s="20" t="s">
        <v>333</v>
      </c>
      <c r="AA122" s="20" t="s">
        <v>333</v>
      </c>
      <c r="AB122" s="20" t="s">
        <v>333</v>
      </c>
      <c r="AC122" s="20"/>
      <c r="AD122" s="20" t="s">
        <v>333</v>
      </c>
      <c r="AE122" s="20" t="s">
        <v>333</v>
      </c>
      <c r="AF122" s="20" t="s">
        <v>333</v>
      </c>
      <c r="AG122" s="20" t="s">
        <v>344</v>
      </c>
      <c r="AH122" s="20" t="s">
        <v>344</v>
      </c>
      <c r="AI122" s="20" t="s">
        <v>333</v>
      </c>
      <c r="AJ122" s="20"/>
      <c r="AK122" s="20" t="s">
        <v>347</v>
      </c>
      <c r="AL122" s="20" t="s">
        <v>1661</v>
      </c>
      <c r="AM122" s="20" t="s">
        <v>347</v>
      </c>
      <c r="AN122" s="20" t="s">
        <v>349</v>
      </c>
      <c r="AO122" s="20"/>
      <c r="AP122" s="20" t="s">
        <v>2461</v>
      </c>
      <c r="AQ122" s="20" t="s">
        <v>1682</v>
      </c>
      <c r="AR122" s="20"/>
      <c r="AS122" s="20"/>
    </row>
    <row r="123">
      <c r="A123" s="32" t="s">
        <v>2462</v>
      </c>
      <c r="B123" s="32" t="s">
        <v>2463</v>
      </c>
      <c r="C123" s="32" t="s">
        <v>2464</v>
      </c>
      <c r="D123" s="48" t="s">
        <v>2465</v>
      </c>
      <c r="E123" s="32" t="s">
        <v>49</v>
      </c>
      <c r="F123" s="32" t="s">
        <v>2467</v>
      </c>
      <c r="G123" s="32" t="s">
        <v>2468</v>
      </c>
      <c r="H123" s="32" t="s">
        <v>513</v>
      </c>
      <c r="I123" s="32" t="s">
        <v>514</v>
      </c>
      <c r="J123" s="32" t="s">
        <v>74</v>
      </c>
      <c r="K123" s="32" t="s">
        <v>55</v>
      </c>
      <c r="L123" s="32" t="s">
        <v>56</v>
      </c>
      <c r="M123" s="32" t="s">
        <v>57</v>
      </c>
      <c r="N123" s="32" t="s">
        <v>333</v>
      </c>
      <c r="O123" s="32" t="s">
        <v>2472</v>
      </c>
      <c r="P123" s="32" t="s">
        <v>2472</v>
      </c>
      <c r="Q123" s="32" t="s">
        <v>59</v>
      </c>
      <c r="R123" s="32" t="s">
        <v>333</v>
      </c>
      <c r="S123" s="32" t="s">
        <v>333</v>
      </c>
      <c r="T123" s="32"/>
      <c r="U123" s="32"/>
      <c r="V123" s="32" t="s">
        <v>344</v>
      </c>
      <c r="W123" s="32" t="s">
        <v>333</v>
      </c>
      <c r="X123" s="32" t="s">
        <v>333</v>
      </c>
      <c r="Y123" s="32" t="s">
        <v>333</v>
      </c>
      <c r="Z123" s="32" t="s">
        <v>333</v>
      </c>
      <c r="AA123" s="32" t="s">
        <v>333</v>
      </c>
      <c r="AB123" s="32" t="s">
        <v>333</v>
      </c>
      <c r="AC123" s="32"/>
      <c r="AD123" s="32" t="s">
        <v>333</v>
      </c>
      <c r="AE123" s="32" t="s">
        <v>333</v>
      </c>
      <c r="AF123" s="32" t="s">
        <v>333</v>
      </c>
      <c r="AG123" s="32" t="s">
        <v>344</v>
      </c>
      <c r="AH123" s="32" t="s">
        <v>344</v>
      </c>
      <c r="AI123" s="32" t="s">
        <v>333</v>
      </c>
      <c r="AJ123" s="32"/>
      <c r="AK123" s="32" t="s">
        <v>347</v>
      </c>
      <c r="AL123" s="32" t="s">
        <v>348</v>
      </c>
      <c r="AM123" s="32" t="s">
        <v>347</v>
      </c>
      <c r="AN123" s="32" t="s">
        <v>349</v>
      </c>
      <c r="AO123" s="32"/>
      <c r="AP123" s="32" t="s">
        <v>2472</v>
      </c>
      <c r="AQ123" s="32" t="s">
        <v>2472</v>
      </c>
      <c r="AR123" s="21" t="s">
        <v>1931</v>
      </c>
      <c r="AS123" s="21">
        <v>2.0</v>
      </c>
    </row>
    <row r="124">
      <c r="A124" s="20" t="s">
        <v>2473</v>
      </c>
      <c r="B124" s="20" t="s">
        <v>1381</v>
      </c>
      <c r="C124" s="20" t="s">
        <v>1382</v>
      </c>
      <c r="D124" s="20"/>
      <c r="E124" s="20" t="s">
        <v>49</v>
      </c>
      <c r="F124" s="29" t="s">
        <v>69</v>
      </c>
      <c r="G124" s="29" t="s">
        <v>69</v>
      </c>
      <c r="H124" s="20" t="s">
        <v>1385</v>
      </c>
      <c r="I124" s="20" t="s">
        <v>1386</v>
      </c>
      <c r="J124" s="20" t="s">
        <v>74</v>
      </c>
      <c r="K124" s="20" t="s">
        <v>55</v>
      </c>
      <c r="L124" s="20" t="s">
        <v>56</v>
      </c>
      <c r="M124" s="20" t="s">
        <v>57</v>
      </c>
      <c r="N124" s="20" t="s">
        <v>333</v>
      </c>
      <c r="O124" s="20" t="s">
        <v>1256</v>
      </c>
      <c r="P124" s="20" t="s">
        <v>1556</v>
      </c>
      <c r="Q124" s="20" t="s">
        <v>59</v>
      </c>
      <c r="R124" s="20" t="s">
        <v>333</v>
      </c>
      <c r="S124" s="20" t="s">
        <v>333</v>
      </c>
      <c r="T124" s="20"/>
      <c r="U124" s="20"/>
      <c r="V124" s="20" t="s">
        <v>344</v>
      </c>
      <c r="W124" s="20" t="s">
        <v>333</v>
      </c>
      <c r="X124" s="20" t="s">
        <v>333</v>
      </c>
      <c r="Y124" s="20" t="s">
        <v>333</v>
      </c>
      <c r="Z124" s="20" t="s">
        <v>333</v>
      </c>
      <c r="AA124" s="20" t="s">
        <v>333</v>
      </c>
      <c r="AB124" s="20" t="s">
        <v>333</v>
      </c>
      <c r="AC124" s="20"/>
      <c r="AD124" s="20" t="s">
        <v>333</v>
      </c>
      <c r="AE124" s="20" t="s">
        <v>333</v>
      </c>
      <c r="AF124" s="20" t="s">
        <v>333</v>
      </c>
      <c r="AG124" s="20" t="s">
        <v>344</v>
      </c>
      <c r="AH124" s="20" t="s">
        <v>344</v>
      </c>
      <c r="AI124" s="20" t="s">
        <v>333</v>
      </c>
      <c r="AJ124" s="20"/>
      <c r="AK124" s="20" t="s">
        <v>347</v>
      </c>
      <c r="AL124" s="20" t="s">
        <v>348</v>
      </c>
      <c r="AM124" s="20" t="s">
        <v>347</v>
      </c>
      <c r="AN124" s="20" t="s">
        <v>349</v>
      </c>
      <c r="AO124" s="20"/>
      <c r="AP124" s="20" t="s">
        <v>1256</v>
      </c>
      <c r="AQ124" s="20" t="s">
        <v>1556</v>
      </c>
      <c r="AR124" s="20"/>
      <c r="AS124" s="20"/>
    </row>
    <row r="125">
      <c r="A125" s="20" t="s">
        <v>2475</v>
      </c>
      <c r="B125" s="20" t="s">
        <v>2476</v>
      </c>
      <c r="C125" s="20" t="s">
        <v>2477</v>
      </c>
      <c r="D125" s="20"/>
      <c r="E125" s="20" t="s">
        <v>49</v>
      </c>
      <c r="F125" s="80" t="s">
        <v>2478</v>
      </c>
      <c r="G125" s="81" t="s">
        <v>2479</v>
      </c>
      <c r="H125" s="20" t="s">
        <v>1385</v>
      </c>
      <c r="I125" s="20" t="s">
        <v>1386</v>
      </c>
      <c r="J125" s="20" t="s">
        <v>74</v>
      </c>
      <c r="K125" s="20" t="s">
        <v>55</v>
      </c>
      <c r="L125" s="20" t="s">
        <v>56</v>
      </c>
      <c r="M125" s="20" t="s">
        <v>57</v>
      </c>
      <c r="N125" s="20" t="s">
        <v>333</v>
      </c>
      <c r="O125" s="20" t="s">
        <v>1920</v>
      </c>
      <c r="P125" s="20" t="s">
        <v>1941</v>
      </c>
      <c r="Q125" s="20" t="s">
        <v>59</v>
      </c>
      <c r="R125" s="20" t="s">
        <v>333</v>
      </c>
      <c r="S125" s="20" t="s">
        <v>333</v>
      </c>
      <c r="T125" s="20"/>
      <c r="U125" s="20"/>
      <c r="V125" s="20" t="s">
        <v>344</v>
      </c>
      <c r="W125" s="20" t="s">
        <v>333</v>
      </c>
      <c r="X125" s="20" t="s">
        <v>333</v>
      </c>
      <c r="Y125" s="20" t="s">
        <v>333</v>
      </c>
      <c r="Z125" s="20" t="s">
        <v>333</v>
      </c>
      <c r="AA125" s="20" t="s">
        <v>333</v>
      </c>
      <c r="AB125" s="20" t="s">
        <v>333</v>
      </c>
      <c r="AC125" s="20"/>
      <c r="AD125" s="20" t="s">
        <v>333</v>
      </c>
      <c r="AE125" s="20" t="s">
        <v>333</v>
      </c>
      <c r="AF125" s="20" t="s">
        <v>333</v>
      </c>
      <c r="AG125" s="20" t="s">
        <v>344</v>
      </c>
      <c r="AH125" s="20" t="s">
        <v>344</v>
      </c>
      <c r="AI125" s="20" t="s">
        <v>333</v>
      </c>
      <c r="AJ125" s="20"/>
      <c r="AK125" s="20" t="s">
        <v>347</v>
      </c>
      <c r="AL125" s="20" t="s">
        <v>1673</v>
      </c>
      <c r="AM125" s="20" t="s">
        <v>347</v>
      </c>
      <c r="AN125" s="20" t="s">
        <v>349</v>
      </c>
      <c r="AO125" s="20"/>
      <c r="AP125" s="20" t="s">
        <v>1920</v>
      </c>
      <c r="AQ125" s="20" t="s">
        <v>1941</v>
      </c>
      <c r="AR125" s="20"/>
      <c r="AS125" s="20"/>
    </row>
    <row r="126">
      <c r="A126" s="20" t="s">
        <v>2480</v>
      </c>
      <c r="B126" s="20" t="s">
        <v>2481</v>
      </c>
      <c r="C126" s="20" t="s">
        <v>2482</v>
      </c>
      <c r="D126" s="20"/>
      <c r="E126" s="20" t="s">
        <v>49</v>
      </c>
      <c r="F126" s="80" t="s">
        <v>2485</v>
      </c>
      <c r="G126" s="81" t="s">
        <v>2488</v>
      </c>
      <c r="H126" s="20" t="s">
        <v>303</v>
      </c>
      <c r="I126" s="20" t="s">
        <v>303</v>
      </c>
      <c r="J126" s="20" t="s">
        <v>74</v>
      </c>
      <c r="K126" s="20" t="s">
        <v>55</v>
      </c>
      <c r="L126" s="20" t="s">
        <v>56</v>
      </c>
      <c r="M126" s="20" t="s">
        <v>57</v>
      </c>
      <c r="N126" s="20" t="s">
        <v>333</v>
      </c>
      <c r="O126" s="20" t="s">
        <v>1720</v>
      </c>
      <c r="P126" s="20"/>
      <c r="Q126" s="20" t="s">
        <v>59</v>
      </c>
      <c r="R126" s="20" t="s">
        <v>333</v>
      </c>
      <c r="S126" s="20" t="s">
        <v>333</v>
      </c>
      <c r="T126" s="20"/>
      <c r="U126" s="20"/>
      <c r="V126" s="20" t="s">
        <v>344</v>
      </c>
      <c r="W126" s="20" t="s">
        <v>333</v>
      </c>
      <c r="X126" s="20" t="s">
        <v>333</v>
      </c>
      <c r="Y126" s="20" t="s">
        <v>333</v>
      </c>
      <c r="Z126" s="20" t="s">
        <v>333</v>
      </c>
      <c r="AA126" s="20" t="s">
        <v>333</v>
      </c>
      <c r="AB126" s="20" t="s">
        <v>333</v>
      </c>
      <c r="AC126" s="20"/>
      <c r="AD126" s="20" t="s">
        <v>333</v>
      </c>
      <c r="AE126" s="20" t="s">
        <v>333</v>
      </c>
      <c r="AF126" s="20" t="s">
        <v>333</v>
      </c>
      <c r="AG126" s="20" t="s">
        <v>344</v>
      </c>
      <c r="AH126" s="20" t="s">
        <v>344</v>
      </c>
      <c r="AI126" s="20" t="s">
        <v>333</v>
      </c>
      <c r="AJ126" s="20"/>
      <c r="AK126" s="20" t="s">
        <v>1244</v>
      </c>
      <c r="AL126" s="20" t="s">
        <v>1245</v>
      </c>
      <c r="AM126" s="20" t="s">
        <v>1244</v>
      </c>
      <c r="AN126" s="20" t="s">
        <v>349</v>
      </c>
      <c r="AO126" s="20"/>
      <c r="AP126" s="20" t="s">
        <v>1720</v>
      </c>
      <c r="AQ126" s="20" t="s">
        <v>349</v>
      </c>
      <c r="AR126" s="20"/>
      <c r="AS126" s="20"/>
    </row>
    <row r="127">
      <c r="A127" s="20" t="s">
        <v>2490</v>
      </c>
      <c r="B127" s="20" t="s">
        <v>1227</v>
      </c>
      <c r="C127" s="20" t="s">
        <v>1228</v>
      </c>
      <c r="D127" s="20" t="s">
        <v>1229</v>
      </c>
      <c r="E127" s="20" t="s">
        <v>49</v>
      </c>
      <c r="F127" s="80" t="s">
        <v>2492</v>
      </c>
      <c r="G127" s="29" t="s">
        <v>69</v>
      </c>
      <c r="H127" s="20" t="s">
        <v>513</v>
      </c>
      <c r="I127" s="20" t="s">
        <v>514</v>
      </c>
      <c r="J127" s="20" t="s">
        <v>74</v>
      </c>
      <c r="K127" s="20" t="s">
        <v>55</v>
      </c>
      <c r="L127" s="20" t="s">
        <v>56</v>
      </c>
      <c r="M127" s="20" t="s">
        <v>57</v>
      </c>
      <c r="N127" s="20" t="s">
        <v>333</v>
      </c>
      <c r="O127" s="20" t="s">
        <v>1559</v>
      </c>
      <c r="P127" s="20" t="s">
        <v>1586</v>
      </c>
      <c r="Q127" s="20" t="s">
        <v>59</v>
      </c>
      <c r="R127" s="20" t="s">
        <v>333</v>
      </c>
      <c r="S127" s="20" t="s">
        <v>333</v>
      </c>
      <c r="T127" s="20" t="s">
        <v>1236</v>
      </c>
      <c r="U127" s="20"/>
      <c r="V127" s="20" t="s">
        <v>344</v>
      </c>
      <c r="W127" s="20" t="s">
        <v>333</v>
      </c>
      <c r="X127" s="20" t="s">
        <v>333</v>
      </c>
      <c r="Y127" s="20" t="s">
        <v>333</v>
      </c>
      <c r="Z127" s="20" t="s">
        <v>333</v>
      </c>
      <c r="AA127" s="20" t="s">
        <v>333</v>
      </c>
      <c r="AB127" s="20" t="s">
        <v>333</v>
      </c>
      <c r="AC127" s="20"/>
      <c r="AD127" s="20" t="s">
        <v>333</v>
      </c>
      <c r="AE127" s="20" t="s">
        <v>333</v>
      </c>
      <c r="AF127" s="20" t="s">
        <v>333</v>
      </c>
      <c r="AG127" s="20" t="s">
        <v>344</v>
      </c>
      <c r="AH127" s="20" t="s">
        <v>344</v>
      </c>
      <c r="AI127" s="20" t="s">
        <v>333</v>
      </c>
      <c r="AJ127" s="20"/>
      <c r="AK127" s="20" t="s">
        <v>1244</v>
      </c>
      <c r="AL127" s="20" t="s">
        <v>1261</v>
      </c>
      <c r="AM127" s="20" t="s">
        <v>1244</v>
      </c>
      <c r="AN127" s="20" t="s">
        <v>349</v>
      </c>
      <c r="AO127" s="20"/>
      <c r="AP127" s="20" t="s">
        <v>1559</v>
      </c>
      <c r="AQ127" s="20" t="s">
        <v>1586</v>
      </c>
      <c r="AR127" s="20"/>
      <c r="AS127" s="20"/>
    </row>
    <row r="128">
      <c r="A128" s="32" t="s">
        <v>2497</v>
      </c>
      <c r="B128" s="32" t="s">
        <v>2498</v>
      </c>
      <c r="C128" s="32" t="s">
        <v>2499</v>
      </c>
      <c r="D128" s="48" t="s">
        <v>2500</v>
      </c>
      <c r="E128" s="32" t="s">
        <v>49</v>
      </c>
      <c r="F128" s="32" t="s">
        <v>2501</v>
      </c>
      <c r="G128" s="32" t="s">
        <v>2502</v>
      </c>
      <c r="H128" s="32" t="s">
        <v>1464</v>
      </c>
      <c r="I128" s="32" t="s">
        <v>1465</v>
      </c>
      <c r="J128" s="32" t="s">
        <v>74</v>
      </c>
      <c r="K128" s="32" t="s">
        <v>55</v>
      </c>
      <c r="L128" s="32" t="s">
        <v>56</v>
      </c>
      <c r="M128" s="32" t="s">
        <v>57</v>
      </c>
      <c r="N128" s="32" t="s">
        <v>333</v>
      </c>
      <c r="O128" s="32" t="s">
        <v>1720</v>
      </c>
      <c r="P128" s="32" t="s">
        <v>1564</v>
      </c>
      <c r="Q128" s="32" t="s">
        <v>59</v>
      </c>
      <c r="R128" s="32" t="s">
        <v>333</v>
      </c>
      <c r="S128" s="32" t="s">
        <v>333</v>
      </c>
      <c r="T128" s="32"/>
      <c r="U128" s="32"/>
      <c r="V128" s="32" t="s">
        <v>344</v>
      </c>
      <c r="W128" s="32" t="s">
        <v>333</v>
      </c>
      <c r="X128" s="32" t="s">
        <v>333</v>
      </c>
      <c r="Y128" s="32" t="s">
        <v>333</v>
      </c>
      <c r="Z128" s="32" t="s">
        <v>333</v>
      </c>
      <c r="AA128" s="32" t="s">
        <v>333</v>
      </c>
      <c r="AB128" s="32" t="s">
        <v>333</v>
      </c>
      <c r="AC128" s="32"/>
      <c r="AD128" s="32" t="s">
        <v>333</v>
      </c>
      <c r="AE128" s="32" t="s">
        <v>333</v>
      </c>
      <c r="AF128" s="32" t="s">
        <v>333</v>
      </c>
      <c r="AG128" s="32" t="s">
        <v>344</v>
      </c>
      <c r="AH128" s="32" t="s">
        <v>344</v>
      </c>
      <c r="AI128" s="32" t="s">
        <v>333</v>
      </c>
      <c r="AJ128" s="32"/>
      <c r="AK128" s="32" t="s">
        <v>1244</v>
      </c>
      <c r="AL128" s="32" t="s">
        <v>1261</v>
      </c>
      <c r="AM128" s="32" t="s">
        <v>1244</v>
      </c>
      <c r="AN128" s="32" t="s">
        <v>349</v>
      </c>
      <c r="AO128" s="32"/>
      <c r="AP128" s="32" t="s">
        <v>1720</v>
      </c>
      <c r="AQ128" s="32" t="s">
        <v>1564</v>
      </c>
      <c r="AR128" s="21" t="s">
        <v>1931</v>
      </c>
      <c r="AS128" s="21">
        <v>2.0</v>
      </c>
    </row>
    <row r="129">
      <c r="A129" s="20" t="s">
        <v>2506</v>
      </c>
      <c r="B129" s="20" t="s">
        <v>2507</v>
      </c>
      <c r="C129" s="20" t="s">
        <v>2508</v>
      </c>
      <c r="D129" s="20"/>
      <c r="E129" s="20" t="s">
        <v>49</v>
      </c>
      <c r="F129" s="29" t="s">
        <v>69</v>
      </c>
      <c r="G129" s="29" t="s">
        <v>69</v>
      </c>
      <c r="H129" s="20" t="s">
        <v>303</v>
      </c>
      <c r="I129" s="20" t="s">
        <v>303</v>
      </c>
      <c r="J129" s="20" t="s">
        <v>74</v>
      </c>
      <c r="K129" s="20" t="s">
        <v>55</v>
      </c>
      <c r="L129" s="20" t="s">
        <v>56</v>
      </c>
      <c r="M129" s="20" t="s">
        <v>57</v>
      </c>
      <c r="N129" s="20" t="s">
        <v>333</v>
      </c>
      <c r="O129" s="20" t="s">
        <v>1238</v>
      </c>
      <c r="P129" s="20" t="s">
        <v>1682</v>
      </c>
      <c r="Q129" s="20" t="s">
        <v>59</v>
      </c>
      <c r="R129" s="20" t="s">
        <v>333</v>
      </c>
      <c r="S129" s="20" t="s">
        <v>333</v>
      </c>
      <c r="T129" s="20"/>
      <c r="U129" s="20"/>
      <c r="V129" s="20" t="s">
        <v>344</v>
      </c>
      <c r="W129" s="20" t="s">
        <v>333</v>
      </c>
      <c r="X129" s="20" t="s">
        <v>333</v>
      </c>
      <c r="Y129" s="20" t="s">
        <v>333</v>
      </c>
      <c r="Z129" s="20" t="s">
        <v>333</v>
      </c>
      <c r="AA129" s="20" t="s">
        <v>333</v>
      </c>
      <c r="AB129" s="20" t="s">
        <v>333</v>
      </c>
      <c r="AC129" s="20"/>
      <c r="AD129" s="20" t="s">
        <v>333</v>
      </c>
      <c r="AE129" s="20" t="s">
        <v>333</v>
      </c>
      <c r="AF129" s="20" t="s">
        <v>333</v>
      </c>
      <c r="AG129" s="20" t="s">
        <v>344</v>
      </c>
      <c r="AH129" s="20" t="s">
        <v>344</v>
      </c>
      <c r="AI129" s="20" t="s">
        <v>333</v>
      </c>
      <c r="AJ129" s="20"/>
      <c r="AK129" s="20" t="s">
        <v>347</v>
      </c>
      <c r="AL129" s="20" t="s">
        <v>348</v>
      </c>
      <c r="AM129" s="20" t="s">
        <v>347</v>
      </c>
      <c r="AN129" s="20" t="s">
        <v>349</v>
      </c>
      <c r="AO129" s="20"/>
      <c r="AP129" s="20" t="s">
        <v>1238</v>
      </c>
      <c r="AQ129" s="20" t="s">
        <v>1682</v>
      </c>
      <c r="AR129" s="20"/>
      <c r="AS129" s="20"/>
    </row>
    <row r="130">
      <c r="A130" s="20" t="s">
        <v>2512</v>
      </c>
      <c r="B130" s="20" t="s">
        <v>340</v>
      </c>
      <c r="C130" s="20" t="s">
        <v>343</v>
      </c>
      <c r="D130" s="20"/>
      <c r="E130" s="20" t="s">
        <v>49</v>
      </c>
      <c r="F130" s="80" t="s">
        <v>2513</v>
      </c>
      <c r="G130" s="29" t="s">
        <v>69</v>
      </c>
      <c r="H130" s="20" t="s">
        <v>147</v>
      </c>
      <c r="I130" s="20" t="s">
        <v>148</v>
      </c>
      <c r="J130" s="20" t="s">
        <v>148</v>
      </c>
      <c r="K130" s="20" t="s">
        <v>55</v>
      </c>
      <c r="L130" s="20" t="s">
        <v>56</v>
      </c>
      <c r="M130" s="20" t="s">
        <v>57</v>
      </c>
      <c r="N130" s="20" t="s">
        <v>333</v>
      </c>
      <c r="O130" s="20" t="s">
        <v>1682</v>
      </c>
      <c r="P130" s="20" t="s">
        <v>1559</v>
      </c>
      <c r="Q130" s="20" t="s">
        <v>59</v>
      </c>
      <c r="R130" s="20" t="s">
        <v>333</v>
      </c>
      <c r="S130" s="20" t="s">
        <v>333</v>
      </c>
      <c r="T130" s="20"/>
      <c r="U130" s="20"/>
      <c r="V130" s="20" t="s">
        <v>344</v>
      </c>
      <c r="W130" s="20" t="s">
        <v>333</v>
      </c>
      <c r="X130" s="20" t="s">
        <v>333</v>
      </c>
      <c r="Y130" s="20" t="s">
        <v>333</v>
      </c>
      <c r="Z130" s="20" t="s">
        <v>333</v>
      </c>
      <c r="AA130" s="20" t="s">
        <v>333</v>
      </c>
      <c r="AB130" s="20" t="s">
        <v>333</v>
      </c>
      <c r="AC130" s="20"/>
      <c r="AD130" s="20" t="s">
        <v>333</v>
      </c>
      <c r="AE130" s="20" t="s">
        <v>333</v>
      </c>
      <c r="AF130" s="20" t="s">
        <v>333</v>
      </c>
      <c r="AG130" s="20" t="s">
        <v>344</v>
      </c>
      <c r="AH130" s="20" t="s">
        <v>344</v>
      </c>
      <c r="AI130" s="20" t="s">
        <v>333</v>
      </c>
      <c r="AJ130" s="20"/>
      <c r="AK130" s="20" t="s">
        <v>1244</v>
      </c>
      <c r="AL130" s="20" t="s">
        <v>1245</v>
      </c>
      <c r="AM130" s="20" t="s">
        <v>1244</v>
      </c>
      <c r="AN130" s="20" t="s">
        <v>349</v>
      </c>
      <c r="AO130" s="20"/>
      <c r="AP130" s="20" t="s">
        <v>1682</v>
      </c>
      <c r="AQ130" s="20" t="s">
        <v>1559</v>
      </c>
      <c r="AR130" s="20"/>
      <c r="AS130" s="20"/>
    </row>
    <row r="131">
      <c r="A131" s="20" t="s">
        <v>2515</v>
      </c>
      <c r="B131" s="20" t="s">
        <v>1221</v>
      </c>
      <c r="C131" s="20" t="s">
        <v>1222</v>
      </c>
      <c r="D131" s="20" t="s">
        <v>1223</v>
      </c>
      <c r="E131" s="20" t="s">
        <v>49</v>
      </c>
      <c r="F131" s="80" t="s">
        <v>2516</v>
      </c>
      <c r="G131" s="82">
        <v>9.999143286E9</v>
      </c>
      <c r="H131" s="20" t="s">
        <v>142</v>
      </c>
      <c r="I131" s="20" t="s">
        <v>144</v>
      </c>
      <c r="J131" s="20" t="s">
        <v>74</v>
      </c>
      <c r="K131" s="20" t="s">
        <v>55</v>
      </c>
      <c r="L131" s="20" t="s">
        <v>56</v>
      </c>
      <c r="M131" s="20" t="s">
        <v>57</v>
      </c>
      <c r="N131" s="20" t="s">
        <v>333</v>
      </c>
      <c r="O131" s="20" t="s">
        <v>1586</v>
      </c>
      <c r="P131" s="20" t="s">
        <v>348</v>
      </c>
      <c r="Q131" s="20" t="s">
        <v>59</v>
      </c>
      <c r="R131" s="20" t="s">
        <v>333</v>
      </c>
      <c r="S131" s="20" t="s">
        <v>333</v>
      </c>
      <c r="T131" s="20"/>
      <c r="U131" s="20"/>
      <c r="V131" s="20" t="s">
        <v>344</v>
      </c>
      <c r="W131" s="20" t="s">
        <v>333</v>
      </c>
      <c r="X131" s="20" t="s">
        <v>333</v>
      </c>
      <c r="Y131" s="20" t="s">
        <v>333</v>
      </c>
      <c r="Z131" s="20" t="s">
        <v>333</v>
      </c>
      <c r="AA131" s="20" t="s">
        <v>333</v>
      </c>
      <c r="AB131" s="20" t="s">
        <v>333</v>
      </c>
      <c r="AC131" s="20"/>
      <c r="AD131" s="20" t="s">
        <v>333</v>
      </c>
      <c r="AE131" s="20" t="s">
        <v>333</v>
      </c>
      <c r="AF131" s="20" t="s">
        <v>333</v>
      </c>
      <c r="AG131" s="20" t="s">
        <v>344</v>
      </c>
      <c r="AH131" s="20" t="s">
        <v>344</v>
      </c>
      <c r="AI131" s="20" t="s">
        <v>333</v>
      </c>
      <c r="AJ131" s="20"/>
      <c r="AK131" s="20" t="s">
        <v>347</v>
      </c>
      <c r="AL131" s="20" t="s">
        <v>1245</v>
      </c>
      <c r="AM131" s="20" t="s">
        <v>347</v>
      </c>
      <c r="AN131" s="20" t="s">
        <v>349</v>
      </c>
      <c r="AO131" s="20"/>
      <c r="AP131" s="20" t="s">
        <v>1586</v>
      </c>
      <c r="AQ131" s="20" t="s">
        <v>348</v>
      </c>
      <c r="AR131" s="20"/>
      <c r="AS131" s="20"/>
    </row>
    <row r="132">
      <c r="A132" s="32" t="s">
        <v>2517</v>
      </c>
      <c r="B132" s="32" t="s">
        <v>403</v>
      </c>
      <c r="C132" s="32" t="s">
        <v>404</v>
      </c>
      <c r="D132" s="48" t="s">
        <v>1331</v>
      </c>
      <c r="E132" s="32" t="s">
        <v>49</v>
      </c>
      <c r="F132" s="32" t="s">
        <v>406</v>
      </c>
      <c r="G132" s="32" t="s">
        <v>409</v>
      </c>
      <c r="H132" s="32" t="s">
        <v>147</v>
      </c>
      <c r="I132" s="32" t="s">
        <v>148</v>
      </c>
      <c r="J132" s="32" t="s">
        <v>148</v>
      </c>
      <c r="K132" s="32" t="s">
        <v>55</v>
      </c>
      <c r="L132" s="32" t="s">
        <v>56</v>
      </c>
      <c r="M132" s="32" t="s">
        <v>57</v>
      </c>
      <c r="N132" s="32" t="s">
        <v>333</v>
      </c>
      <c r="O132" s="32" t="s">
        <v>1745</v>
      </c>
      <c r="P132" s="32" t="s">
        <v>1591</v>
      </c>
      <c r="Q132" s="32" t="s">
        <v>59</v>
      </c>
      <c r="R132" s="32" t="s">
        <v>333</v>
      </c>
      <c r="S132" s="32" t="s">
        <v>333</v>
      </c>
      <c r="T132" s="32"/>
      <c r="U132" s="32"/>
      <c r="V132" s="32" t="s">
        <v>344</v>
      </c>
      <c r="W132" s="32" t="s">
        <v>333</v>
      </c>
      <c r="X132" s="32" t="s">
        <v>333</v>
      </c>
      <c r="Y132" s="32" t="s">
        <v>333</v>
      </c>
      <c r="Z132" s="32" t="s">
        <v>333</v>
      </c>
      <c r="AA132" s="32" t="s">
        <v>333</v>
      </c>
      <c r="AB132" s="32" t="s">
        <v>333</v>
      </c>
      <c r="AC132" s="32"/>
      <c r="AD132" s="32" t="s">
        <v>333</v>
      </c>
      <c r="AE132" s="32" t="s">
        <v>333</v>
      </c>
      <c r="AF132" s="32" t="s">
        <v>333</v>
      </c>
      <c r="AG132" s="32" t="s">
        <v>344</v>
      </c>
      <c r="AH132" s="32" t="s">
        <v>344</v>
      </c>
      <c r="AI132" s="32" t="s">
        <v>333</v>
      </c>
      <c r="AJ132" s="32"/>
      <c r="AK132" s="32" t="s">
        <v>1595</v>
      </c>
      <c r="AL132" s="32" t="s">
        <v>1245</v>
      </c>
      <c r="AM132" s="32" t="s">
        <v>1595</v>
      </c>
      <c r="AN132" s="32" t="s">
        <v>349</v>
      </c>
      <c r="AO132" s="32"/>
      <c r="AP132" s="32" t="s">
        <v>1745</v>
      </c>
      <c r="AQ132" s="32" t="s">
        <v>1591</v>
      </c>
      <c r="AR132" s="21" t="s">
        <v>1931</v>
      </c>
      <c r="AS132" s="21">
        <v>2.0</v>
      </c>
    </row>
    <row r="133">
      <c r="A133" s="20" t="s">
        <v>2519</v>
      </c>
      <c r="B133" s="20" t="s">
        <v>1689</v>
      </c>
      <c r="C133" s="20" t="s">
        <v>1690</v>
      </c>
      <c r="D133" s="20" t="s">
        <v>1691</v>
      </c>
      <c r="E133" s="20" t="s">
        <v>49</v>
      </c>
      <c r="F133" s="29" t="s">
        <v>69</v>
      </c>
      <c r="G133" s="29" t="s">
        <v>69</v>
      </c>
      <c r="H133" s="20" t="s">
        <v>123</v>
      </c>
      <c r="I133" s="20" t="s">
        <v>124</v>
      </c>
      <c r="J133" s="20" t="s">
        <v>74</v>
      </c>
      <c r="K133" s="20" t="s">
        <v>55</v>
      </c>
      <c r="L133" s="20" t="s">
        <v>56</v>
      </c>
      <c r="M133" s="20" t="s">
        <v>57</v>
      </c>
      <c r="N133" s="20" t="s">
        <v>333</v>
      </c>
      <c r="O133" s="20" t="s">
        <v>1269</v>
      </c>
      <c r="P133" s="20" t="s">
        <v>1261</v>
      </c>
      <c r="Q133" s="20" t="s">
        <v>59</v>
      </c>
      <c r="R133" s="20" t="s">
        <v>333</v>
      </c>
      <c r="S133" s="20" t="s">
        <v>344</v>
      </c>
      <c r="T133" s="20" t="s">
        <v>2520</v>
      </c>
      <c r="U133" s="20" t="s">
        <v>2520</v>
      </c>
      <c r="V133" s="20" t="s">
        <v>344</v>
      </c>
      <c r="W133" s="20" t="s">
        <v>333</v>
      </c>
      <c r="X133" s="20" t="s">
        <v>333</v>
      </c>
      <c r="Y133" s="20" t="s">
        <v>333</v>
      </c>
      <c r="Z133" s="20" t="s">
        <v>333</v>
      </c>
      <c r="AA133" s="20" t="s">
        <v>333</v>
      </c>
      <c r="AB133" s="20" t="s">
        <v>344</v>
      </c>
      <c r="AC133" s="20"/>
      <c r="AD133" s="20" t="s">
        <v>333</v>
      </c>
      <c r="AE133" s="20" t="s">
        <v>333</v>
      </c>
      <c r="AF133" s="20" t="s">
        <v>333</v>
      </c>
      <c r="AG133" s="20" t="s">
        <v>344</v>
      </c>
      <c r="AH133" s="20" t="s">
        <v>344</v>
      </c>
      <c r="AI133" s="20" t="s">
        <v>333</v>
      </c>
      <c r="AJ133" s="20"/>
      <c r="AK133" s="20" t="s">
        <v>347</v>
      </c>
      <c r="AL133" s="20" t="s">
        <v>1556</v>
      </c>
      <c r="AM133" s="20" t="s">
        <v>347</v>
      </c>
      <c r="AN133" s="20" t="s">
        <v>349</v>
      </c>
      <c r="AO133" s="20"/>
      <c r="AP133" s="20" t="s">
        <v>1269</v>
      </c>
      <c r="AQ133" s="20" t="s">
        <v>1261</v>
      </c>
      <c r="AR133" s="20"/>
      <c r="AS133" s="20"/>
    </row>
    <row r="134">
      <c r="A134" s="20" t="s">
        <v>2525</v>
      </c>
      <c r="B134" s="20" t="s">
        <v>922</v>
      </c>
      <c r="C134" s="20" t="s">
        <v>923</v>
      </c>
      <c r="D134" s="20"/>
      <c r="E134" s="20" t="s">
        <v>49</v>
      </c>
      <c r="F134" s="29" t="s">
        <v>69</v>
      </c>
      <c r="G134" s="29" t="s">
        <v>69</v>
      </c>
      <c r="H134" s="20" t="s">
        <v>513</v>
      </c>
      <c r="I134" s="20" t="s">
        <v>514</v>
      </c>
      <c r="J134" s="20" t="s">
        <v>74</v>
      </c>
      <c r="K134" s="20" t="s">
        <v>55</v>
      </c>
      <c r="L134" s="20" t="s">
        <v>56</v>
      </c>
      <c r="M134" s="20" t="s">
        <v>57</v>
      </c>
      <c r="N134" s="20" t="s">
        <v>333</v>
      </c>
      <c r="O134" s="20" t="s">
        <v>1717</v>
      </c>
      <c r="P134" s="20" t="s">
        <v>1695</v>
      </c>
      <c r="Q134" s="20" t="s">
        <v>59</v>
      </c>
      <c r="R134" s="20" t="s">
        <v>333</v>
      </c>
      <c r="S134" s="20" t="s">
        <v>333</v>
      </c>
      <c r="T134" s="20"/>
      <c r="U134" s="20"/>
      <c r="V134" s="20" t="s">
        <v>344</v>
      </c>
      <c r="W134" s="20" t="s">
        <v>333</v>
      </c>
      <c r="X134" s="20" t="s">
        <v>333</v>
      </c>
      <c r="Y134" s="20" t="s">
        <v>333</v>
      </c>
      <c r="Z134" s="20" t="s">
        <v>333</v>
      </c>
      <c r="AA134" s="20" t="s">
        <v>333</v>
      </c>
      <c r="AB134" s="20" t="s">
        <v>333</v>
      </c>
      <c r="AC134" s="20"/>
      <c r="AD134" s="20" t="s">
        <v>333</v>
      </c>
      <c r="AE134" s="20" t="s">
        <v>333</v>
      </c>
      <c r="AF134" s="20" t="s">
        <v>333</v>
      </c>
      <c r="AG134" s="20" t="s">
        <v>344</v>
      </c>
      <c r="AH134" s="20" t="s">
        <v>344</v>
      </c>
      <c r="AI134" s="20" t="s">
        <v>333</v>
      </c>
      <c r="AJ134" s="20"/>
      <c r="AK134" s="20" t="s">
        <v>1260</v>
      </c>
      <c r="AL134" s="20" t="s">
        <v>1673</v>
      </c>
      <c r="AM134" s="20" t="s">
        <v>1260</v>
      </c>
      <c r="AN134" s="20" t="s">
        <v>349</v>
      </c>
      <c r="AO134" s="20"/>
      <c r="AP134" s="20" t="s">
        <v>1717</v>
      </c>
      <c r="AQ134" s="20" t="s">
        <v>1695</v>
      </c>
      <c r="AR134" s="20"/>
      <c r="AS134" s="20"/>
    </row>
    <row r="135">
      <c r="A135" s="20" t="s">
        <v>2527</v>
      </c>
      <c r="B135" s="20" t="s">
        <v>1803</v>
      </c>
      <c r="C135" s="20" t="s">
        <v>1804</v>
      </c>
      <c r="D135" s="20"/>
      <c r="E135" s="20" t="s">
        <v>49</v>
      </c>
      <c r="F135" s="29" t="s">
        <v>69</v>
      </c>
      <c r="G135" s="29" t="s">
        <v>69</v>
      </c>
      <c r="H135" s="20" t="s">
        <v>303</v>
      </c>
      <c r="I135" s="20" t="s">
        <v>303</v>
      </c>
      <c r="J135" s="20" t="s">
        <v>74</v>
      </c>
      <c r="K135" s="20" t="s">
        <v>55</v>
      </c>
      <c r="L135" s="20" t="s">
        <v>56</v>
      </c>
      <c r="M135" s="20" t="s">
        <v>57</v>
      </c>
      <c r="N135" s="20" t="s">
        <v>333</v>
      </c>
      <c r="O135" s="20" t="s">
        <v>1238</v>
      </c>
      <c r="P135" s="20" t="s">
        <v>1556</v>
      </c>
      <c r="Q135" s="20" t="s">
        <v>59</v>
      </c>
      <c r="R135" s="20" t="s">
        <v>333</v>
      </c>
      <c r="S135" s="20" t="s">
        <v>333</v>
      </c>
      <c r="T135" s="20"/>
      <c r="U135" s="20"/>
      <c r="V135" s="20" t="s">
        <v>344</v>
      </c>
      <c r="W135" s="20" t="s">
        <v>333</v>
      </c>
      <c r="X135" s="20" t="s">
        <v>333</v>
      </c>
      <c r="Y135" s="20" t="s">
        <v>333</v>
      </c>
      <c r="Z135" s="20" t="s">
        <v>333</v>
      </c>
      <c r="AA135" s="20" t="s">
        <v>333</v>
      </c>
      <c r="AB135" s="20" t="s">
        <v>333</v>
      </c>
      <c r="AC135" s="20"/>
      <c r="AD135" s="20" t="s">
        <v>333</v>
      </c>
      <c r="AE135" s="20" t="s">
        <v>333</v>
      </c>
      <c r="AF135" s="20" t="s">
        <v>333</v>
      </c>
      <c r="AG135" s="20" t="s">
        <v>344</v>
      </c>
      <c r="AH135" s="20" t="s">
        <v>344</v>
      </c>
      <c r="AI135" s="20" t="s">
        <v>333</v>
      </c>
      <c r="AJ135" s="20"/>
      <c r="AK135" s="20" t="s">
        <v>347</v>
      </c>
      <c r="AL135" s="20" t="s">
        <v>1245</v>
      </c>
      <c r="AM135" s="20" t="s">
        <v>347</v>
      </c>
      <c r="AN135" s="20" t="s">
        <v>349</v>
      </c>
      <c r="AO135" s="20"/>
      <c r="AP135" s="20" t="s">
        <v>1238</v>
      </c>
      <c r="AQ135" s="20" t="s">
        <v>1556</v>
      </c>
      <c r="AR135" s="20"/>
      <c r="AS135" s="20"/>
    </row>
    <row r="136">
      <c r="A136" s="20" t="s">
        <v>2533</v>
      </c>
      <c r="B136" s="20" t="s">
        <v>1683</v>
      </c>
      <c r="C136" s="20" t="s">
        <v>1684</v>
      </c>
      <c r="D136" s="20"/>
      <c r="E136" s="20" t="s">
        <v>49</v>
      </c>
      <c r="F136" s="29" t="s">
        <v>69</v>
      </c>
      <c r="G136" s="29" t="s">
        <v>69</v>
      </c>
      <c r="H136" s="20" t="s">
        <v>123</v>
      </c>
      <c r="I136" s="20" t="s">
        <v>124</v>
      </c>
      <c r="J136" s="20" t="s">
        <v>74</v>
      </c>
      <c r="K136" s="20" t="s">
        <v>55</v>
      </c>
      <c r="L136" s="20" t="s">
        <v>56</v>
      </c>
      <c r="M136" s="20" t="s">
        <v>57</v>
      </c>
      <c r="N136" s="20" t="s">
        <v>333</v>
      </c>
      <c r="O136" s="20" t="s">
        <v>1238</v>
      </c>
      <c r="P136" s="20" t="s">
        <v>1239</v>
      </c>
      <c r="Q136" s="20" t="s">
        <v>59</v>
      </c>
      <c r="R136" s="20" t="s">
        <v>333</v>
      </c>
      <c r="S136" s="20" t="s">
        <v>333</v>
      </c>
      <c r="T136" s="20"/>
      <c r="U136" s="20"/>
      <c r="V136" s="20" t="s">
        <v>344</v>
      </c>
      <c r="W136" s="20" t="s">
        <v>333</v>
      </c>
      <c r="X136" s="20" t="s">
        <v>333</v>
      </c>
      <c r="Y136" s="20" t="s">
        <v>333</v>
      </c>
      <c r="Z136" s="20" t="s">
        <v>333</v>
      </c>
      <c r="AA136" s="20" t="s">
        <v>333</v>
      </c>
      <c r="AB136" s="20" t="s">
        <v>333</v>
      </c>
      <c r="AC136" s="20"/>
      <c r="AD136" s="20" t="s">
        <v>333</v>
      </c>
      <c r="AE136" s="20" t="s">
        <v>333</v>
      </c>
      <c r="AF136" s="20" t="s">
        <v>333</v>
      </c>
      <c r="AG136" s="20" t="s">
        <v>344</v>
      </c>
      <c r="AH136" s="20" t="s">
        <v>344</v>
      </c>
      <c r="AI136" s="20" t="s">
        <v>333</v>
      </c>
      <c r="AJ136" s="20"/>
      <c r="AK136" s="20" t="s">
        <v>1581</v>
      </c>
      <c r="AL136" s="20" t="s">
        <v>1673</v>
      </c>
      <c r="AM136" s="20" t="s">
        <v>1581</v>
      </c>
      <c r="AN136" s="20" t="s">
        <v>349</v>
      </c>
      <c r="AO136" s="20"/>
      <c r="AP136" s="20" t="s">
        <v>1238</v>
      </c>
      <c r="AQ136" s="20" t="s">
        <v>1239</v>
      </c>
      <c r="AR136" s="20"/>
      <c r="AS136" s="20"/>
    </row>
    <row r="137">
      <c r="A137" s="20" t="s">
        <v>2534</v>
      </c>
      <c r="B137" s="20" t="s">
        <v>2535</v>
      </c>
      <c r="C137" s="20" t="s">
        <v>2536</v>
      </c>
      <c r="D137" s="20" t="s">
        <v>2537</v>
      </c>
      <c r="E137" s="20" t="s">
        <v>49</v>
      </c>
      <c r="F137" s="80" t="s">
        <v>2538</v>
      </c>
      <c r="G137" s="82" t="s">
        <v>2540</v>
      </c>
      <c r="H137" s="20" t="s">
        <v>2541</v>
      </c>
      <c r="I137" s="20" t="s">
        <v>2542</v>
      </c>
      <c r="J137" s="20" t="s">
        <v>74</v>
      </c>
      <c r="K137" s="20" t="s">
        <v>55</v>
      </c>
      <c r="L137" s="20" t="s">
        <v>56</v>
      </c>
      <c r="M137" s="20" t="s">
        <v>57</v>
      </c>
      <c r="N137" s="20" t="s">
        <v>333</v>
      </c>
      <c r="O137" s="20" t="s">
        <v>2544</v>
      </c>
      <c r="P137" s="20" t="s">
        <v>1710</v>
      </c>
      <c r="Q137" s="20" t="s">
        <v>59</v>
      </c>
      <c r="R137" s="20" t="s">
        <v>333</v>
      </c>
      <c r="S137" s="20" t="s">
        <v>333</v>
      </c>
      <c r="T137" s="20" t="s">
        <v>2545</v>
      </c>
      <c r="U137" s="20"/>
      <c r="V137" s="20" t="s">
        <v>344</v>
      </c>
      <c r="W137" s="20" t="s">
        <v>333</v>
      </c>
      <c r="X137" s="20" t="s">
        <v>333</v>
      </c>
      <c r="Y137" s="20" t="s">
        <v>333</v>
      </c>
      <c r="Z137" s="20" t="s">
        <v>333</v>
      </c>
      <c r="AA137" s="20" t="s">
        <v>333</v>
      </c>
      <c r="AB137" s="20" t="s">
        <v>333</v>
      </c>
      <c r="AC137" s="20"/>
      <c r="AD137" s="20" t="s">
        <v>333</v>
      </c>
      <c r="AE137" s="20" t="s">
        <v>333</v>
      </c>
      <c r="AF137" s="20" t="s">
        <v>333</v>
      </c>
      <c r="AG137" s="20" t="s">
        <v>344</v>
      </c>
      <c r="AH137" s="20" t="s">
        <v>344</v>
      </c>
      <c r="AI137" s="20" t="s">
        <v>333</v>
      </c>
      <c r="AJ137" s="20"/>
      <c r="AK137" s="20" t="s">
        <v>347</v>
      </c>
      <c r="AL137" s="20" t="s">
        <v>1556</v>
      </c>
      <c r="AM137" s="20" t="s">
        <v>347</v>
      </c>
      <c r="AN137" s="20" t="s">
        <v>349</v>
      </c>
      <c r="AO137" s="20"/>
      <c r="AP137" s="20" t="s">
        <v>2544</v>
      </c>
      <c r="AQ137" s="20" t="s">
        <v>1710</v>
      </c>
      <c r="AR137" s="20"/>
      <c r="AS137" s="20"/>
    </row>
    <row r="138">
      <c r="A138" s="20" t="s">
        <v>2550</v>
      </c>
      <c r="B138" s="20" t="s">
        <v>2551</v>
      </c>
      <c r="C138" s="20" t="s">
        <v>2552</v>
      </c>
      <c r="D138" s="20"/>
      <c r="E138" s="20" t="s">
        <v>49</v>
      </c>
      <c r="F138" s="80" t="s">
        <v>2553</v>
      </c>
      <c r="G138" s="81" t="s">
        <v>2555</v>
      </c>
      <c r="H138" s="20" t="s">
        <v>303</v>
      </c>
      <c r="I138" s="20" t="s">
        <v>303</v>
      </c>
      <c r="J138" s="20" t="s">
        <v>74</v>
      </c>
      <c r="K138" s="20" t="s">
        <v>55</v>
      </c>
      <c r="L138" s="20" t="s">
        <v>56</v>
      </c>
      <c r="M138" s="20" t="s">
        <v>57</v>
      </c>
      <c r="N138" s="20" t="s">
        <v>333</v>
      </c>
      <c r="O138" s="20" t="s">
        <v>348</v>
      </c>
      <c r="P138" s="20" t="s">
        <v>2354</v>
      </c>
      <c r="Q138" s="20" t="s">
        <v>59</v>
      </c>
      <c r="R138" s="20" t="s">
        <v>333</v>
      </c>
      <c r="S138" s="20" t="s">
        <v>333</v>
      </c>
      <c r="T138" s="20"/>
      <c r="U138" s="20"/>
      <c r="V138" s="20" t="s">
        <v>344</v>
      </c>
      <c r="W138" s="20" t="s">
        <v>333</v>
      </c>
      <c r="X138" s="20" t="s">
        <v>333</v>
      </c>
      <c r="Y138" s="20" t="s">
        <v>333</v>
      </c>
      <c r="Z138" s="20" t="s">
        <v>333</v>
      </c>
      <c r="AA138" s="20" t="s">
        <v>333</v>
      </c>
      <c r="AB138" s="20" t="s">
        <v>333</v>
      </c>
      <c r="AC138" s="20"/>
      <c r="AD138" s="20" t="s">
        <v>333</v>
      </c>
      <c r="AE138" s="20" t="s">
        <v>333</v>
      </c>
      <c r="AF138" s="20" t="s">
        <v>333</v>
      </c>
      <c r="AG138" s="20" t="s">
        <v>344</v>
      </c>
      <c r="AH138" s="20" t="s">
        <v>344</v>
      </c>
      <c r="AI138" s="20" t="s">
        <v>333</v>
      </c>
      <c r="AJ138" s="20"/>
      <c r="AK138" s="20" t="s">
        <v>1581</v>
      </c>
      <c r="AL138" s="20" t="s">
        <v>1673</v>
      </c>
      <c r="AM138" s="20" t="s">
        <v>1581</v>
      </c>
      <c r="AN138" s="20" t="s">
        <v>349</v>
      </c>
      <c r="AO138" s="20"/>
      <c r="AP138" s="20" t="s">
        <v>348</v>
      </c>
      <c r="AQ138" s="20" t="s">
        <v>2354</v>
      </c>
      <c r="AR138" s="20"/>
      <c r="AS138" s="20"/>
    </row>
    <row r="139">
      <c r="A139" s="20" t="s">
        <v>2557</v>
      </c>
      <c r="B139" s="20" t="s">
        <v>612</v>
      </c>
      <c r="C139" s="20" t="s">
        <v>613</v>
      </c>
      <c r="D139" s="20"/>
      <c r="E139" s="20" t="s">
        <v>49</v>
      </c>
      <c r="F139" s="29" t="s">
        <v>69</v>
      </c>
      <c r="G139" s="29" t="s">
        <v>69</v>
      </c>
      <c r="H139" s="20" t="s">
        <v>623</v>
      </c>
      <c r="I139" s="20" t="s">
        <v>624</v>
      </c>
      <c r="J139" s="20" t="s">
        <v>624</v>
      </c>
      <c r="K139" s="20" t="s">
        <v>55</v>
      </c>
      <c r="L139" s="20" t="s">
        <v>56</v>
      </c>
      <c r="M139" s="20" t="s">
        <v>57</v>
      </c>
      <c r="N139" s="20" t="s">
        <v>333</v>
      </c>
      <c r="O139" s="20" t="s">
        <v>1556</v>
      </c>
      <c r="P139" s="20" t="s">
        <v>1670</v>
      </c>
      <c r="Q139" s="20" t="s">
        <v>59</v>
      </c>
      <c r="R139" s="20" t="s">
        <v>333</v>
      </c>
      <c r="S139" s="20" t="s">
        <v>333</v>
      </c>
      <c r="T139" s="20"/>
      <c r="U139" s="20"/>
      <c r="V139" s="20" t="s">
        <v>344</v>
      </c>
      <c r="W139" s="20" t="s">
        <v>333</v>
      </c>
      <c r="X139" s="20" t="s">
        <v>333</v>
      </c>
      <c r="Y139" s="20" t="s">
        <v>333</v>
      </c>
      <c r="Z139" s="20" t="s">
        <v>333</v>
      </c>
      <c r="AA139" s="20" t="s">
        <v>333</v>
      </c>
      <c r="AB139" s="20" t="s">
        <v>333</v>
      </c>
      <c r="AC139" s="20"/>
      <c r="AD139" s="20" t="s">
        <v>333</v>
      </c>
      <c r="AE139" s="20" t="s">
        <v>333</v>
      </c>
      <c r="AF139" s="20" t="s">
        <v>333</v>
      </c>
      <c r="AG139" s="20" t="s">
        <v>344</v>
      </c>
      <c r="AH139" s="20" t="s">
        <v>344</v>
      </c>
      <c r="AI139" s="20" t="s">
        <v>333</v>
      </c>
      <c r="AJ139" s="20"/>
      <c r="AK139" s="20" t="s">
        <v>1581</v>
      </c>
      <c r="AL139" s="20" t="s">
        <v>1245</v>
      </c>
      <c r="AM139" s="20" t="s">
        <v>1581</v>
      </c>
      <c r="AN139" s="20" t="s">
        <v>349</v>
      </c>
      <c r="AO139" s="20"/>
      <c r="AP139" s="20" t="s">
        <v>1556</v>
      </c>
      <c r="AQ139" s="20" t="s">
        <v>1670</v>
      </c>
      <c r="AR139" s="20"/>
      <c r="AS139" s="20"/>
    </row>
    <row r="140">
      <c r="A140" s="20" t="s">
        <v>2562</v>
      </c>
      <c r="B140" s="20" t="s">
        <v>1552</v>
      </c>
      <c r="C140" s="20" t="s">
        <v>1553</v>
      </c>
      <c r="D140" s="20"/>
      <c r="E140" s="20" t="s">
        <v>49</v>
      </c>
      <c r="F140" s="80" t="s">
        <v>1555</v>
      </c>
      <c r="G140" s="82">
        <v>8.588885757E9</v>
      </c>
      <c r="H140" s="20" t="s">
        <v>303</v>
      </c>
      <c r="I140" s="20" t="s">
        <v>303</v>
      </c>
      <c r="J140" s="20" t="s">
        <v>74</v>
      </c>
      <c r="K140" s="20" t="s">
        <v>55</v>
      </c>
      <c r="L140" s="20" t="s">
        <v>56</v>
      </c>
      <c r="M140" s="20" t="s">
        <v>57</v>
      </c>
      <c r="N140" s="20" t="s">
        <v>333</v>
      </c>
      <c r="O140" s="20" t="s">
        <v>348</v>
      </c>
      <c r="P140" s="20" t="s">
        <v>1867</v>
      </c>
      <c r="Q140" s="20" t="s">
        <v>59</v>
      </c>
      <c r="R140" s="20" t="s">
        <v>333</v>
      </c>
      <c r="S140" s="20" t="s">
        <v>333</v>
      </c>
      <c r="T140" s="20"/>
      <c r="U140" s="20"/>
      <c r="V140" s="20" t="s">
        <v>344</v>
      </c>
      <c r="W140" s="20" t="s">
        <v>333</v>
      </c>
      <c r="X140" s="20" t="s">
        <v>333</v>
      </c>
      <c r="Y140" s="20" t="s">
        <v>333</v>
      </c>
      <c r="Z140" s="20" t="s">
        <v>333</v>
      </c>
      <c r="AA140" s="20" t="s">
        <v>333</v>
      </c>
      <c r="AB140" s="20" t="s">
        <v>333</v>
      </c>
      <c r="AC140" s="20"/>
      <c r="AD140" s="20" t="s">
        <v>333</v>
      </c>
      <c r="AE140" s="20" t="s">
        <v>333</v>
      </c>
      <c r="AF140" s="20" t="s">
        <v>333</v>
      </c>
      <c r="AG140" s="20" t="s">
        <v>344</v>
      </c>
      <c r="AH140" s="20" t="s">
        <v>344</v>
      </c>
      <c r="AI140" s="20" t="s">
        <v>333</v>
      </c>
      <c r="AJ140" s="20"/>
      <c r="AK140" s="20" t="s">
        <v>1244</v>
      </c>
      <c r="AL140" s="20" t="s">
        <v>1673</v>
      </c>
      <c r="AM140" s="20" t="s">
        <v>1244</v>
      </c>
      <c r="AN140" s="20" t="s">
        <v>349</v>
      </c>
      <c r="AO140" s="20"/>
      <c r="AP140" s="20" t="s">
        <v>348</v>
      </c>
      <c r="AQ140" s="20" t="s">
        <v>1867</v>
      </c>
      <c r="AR140" s="20"/>
      <c r="AS140" s="20"/>
    </row>
    <row r="141">
      <c r="A141" s="20" t="s">
        <v>2566</v>
      </c>
      <c r="B141" s="20" t="s">
        <v>493</v>
      </c>
      <c r="C141" s="20" t="s">
        <v>499</v>
      </c>
      <c r="D141" s="20"/>
      <c r="E141" s="20" t="s">
        <v>49</v>
      </c>
      <c r="F141" s="29" t="s">
        <v>69</v>
      </c>
      <c r="G141" s="29" t="s">
        <v>69</v>
      </c>
      <c r="H141" s="20" t="s">
        <v>147</v>
      </c>
      <c r="I141" s="20" t="s">
        <v>148</v>
      </c>
      <c r="J141" s="20" t="s">
        <v>148</v>
      </c>
      <c r="K141" s="20" t="s">
        <v>55</v>
      </c>
      <c r="L141" s="20" t="s">
        <v>56</v>
      </c>
      <c r="M141" s="20" t="s">
        <v>57</v>
      </c>
      <c r="N141" s="20" t="s">
        <v>333</v>
      </c>
      <c r="O141" s="20" t="s">
        <v>2568</v>
      </c>
      <c r="P141" s="20" t="s">
        <v>2569</v>
      </c>
      <c r="Q141" s="20" t="s">
        <v>59</v>
      </c>
      <c r="R141" s="20" t="s">
        <v>333</v>
      </c>
      <c r="S141" s="20" t="s">
        <v>333</v>
      </c>
      <c r="T141" s="20"/>
      <c r="U141" s="20"/>
      <c r="V141" s="20" t="s">
        <v>344</v>
      </c>
      <c r="W141" s="20" t="s">
        <v>333</v>
      </c>
      <c r="X141" s="20" t="s">
        <v>333</v>
      </c>
      <c r="Y141" s="20" t="s">
        <v>333</v>
      </c>
      <c r="Z141" s="20" t="s">
        <v>333</v>
      </c>
      <c r="AA141" s="20" t="s">
        <v>333</v>
      </c>
      <c r="AB141" s="20" t="s">
        <v>333</v>
      </c>
      <c r="AC141" s="20"/>
      <c r="AD141" s="20" t="s">
        <v>333</v>
      </c>
      <c r="AE141" s="20" t="s">
        <v>333</v>
      </c>
      <c r="AF141" s="20" t="s">
        <v>333</v>
      </c>
      <c r="AG141" s="20" t="s">
        <v>344</v>
      </c>
      <c r="AH141" s="20" t="s">
        <v>344</v>
      </c>
      <c r="AI141" s="20" t="s">
        <v>333</v>
      </c>
      <c r="AJ141" s="20"/>
      <c r="AK141" s="20" t="s">
        <v>1595</v>
      </c>
      <c r="AL141" s="20" t="s">
        <v>1596</v>
      </c>
      <c r="AM141" s="20" t="s">
        <v>1595</v>
      </c>
      <c r="AN141" s="20" t="s">
        <v>349</v>
      </c>
      <c r="AO141" s="20"/>
      <c r="AP141" s="20" t="s">
        <v>2568</v>
      </c>
      <c r="AQ141" s="20" t="s">
        <v>2569</v>
      </c>
      <c r="AR141" s="20"/>
      <c r="AS141" s="20"/>
    </row>
    <row r="142">
      <c r="A142" s="20" t="s">
        <v>2571</v>
      </c>
      <c r="B142" s="20" t="s">
        <v>1732</v>
      </c>
      <c r="C142" s="20" t="s">
        <v>1733</v>
      </c>
      <c r="D142" s="20" t="s">
        <v>1734</v>
      </c>
      <c r="E142" s="20" t="s">
        <v>49</v>
      </c>
      <c r="F142" s="80" t="s">
        <v>1735</v>
      </c>
      <c r="G142" s="81" t="s">
        <v>2572</v>
      </c>
      <c r="H142" s="20" t="s">
        <v>513</v>
      </c>
      <c r="I142" s="20" t="s">
        <v>514</v>
      </c>
      <c r="J142" s="20" t="s">
        <v>74</v>
      </c>
      <c r="K142" s="20" t="s">
        <v>55</v>
      </c>
      <c r="L142" s="20" t="s">
        <v>56</v>
      </c>
      <c r="M142" s="20" t="s">
        <v>57</v>
      </c>
      <c r="N142" s="20" t="s">
        <v>333</v>
      </c>
      <c r="O142" s="20" t="s">
        <v>1239</v>
      </c>
      <c r="P142" s="20" t="s">
        <v>1670</v>
      </c>
      <c r="Q142" s="20" t="s">
        <v>59</v>
      </c>
      <c r="R142" s="20" t="s">
        <v>333</v>
      </c>
      <c r="S142" s="20" t="s">
        <v>333</v>
      </c>
      <c r="T142" s="20" t="s">
        <v>2573</v>
      </c>
      <c r="U142" s="20"/>
      <c r="V142" s="20" t="s">
        <v>344</v>
      </c>
      <c r="W142" s="20" t="s">
        <v>333</v>
      </c>
      <c r="X142" s="20" t="s">
        <v>333</v>
      </c>
      <c r="Y142" s="20" t="s">
        <v>333</v>
      </c>
      <c r="Z142" s="20" t="s">
        <v>333</v>
      </c>
      <c r="AA142" s="20" t="s">
        <v>333</v>
      </c>
      <c r="AB142" s="20" t="s">
        <v>333</v>
      </c>
      <c r="AC142" s="20"/>
      <c r="AD142" s="20" t="s">
        <v>333</v>
      </c>
      <c r="AE142" s="20" t="s">
        <v>333</v>
      </c>
      <c r="AF142" s="20" t="s">
        <v>333</v>
      </c>
      <c r="AG142" s="20" t="s">
        <v>344</v>
      </c>
      <c r="AH142" s="20" t="s">
        <v>344</v>
      </c>
      <c r="AI142" s="20" t="s">
        <v>333</v>
      </c>
      <c r="AJ142" s="20"/>
      <c r="AK142" s="20" t="s">
        <v>1581</v>
      </c>
      <c r="AL142" s="20" t="s">
        <v>1245</v>
      </c>
      <c r="AM142" s="20" t="s">
        <v>1581</v>
      </c>
      <c r="AN142" s="20" t="s">
        <v>349</v>
      </c>
      <c r="AO142" s="20"/>
      <c r="AP142" s="20" t="s">
        <v>1239</v>
      </c>
      <c r="AQ142" s="20" t="s">
        <v>1670</v>
      </c>
      <c r="AR142" s="20"/>
      <c r="AS142" s="20"/>
    </row>
    <row r="143">
      <c r="A143" s="20" t="s">
        <v>1663</v>
      </c>
      <c r="B143" s="20" t="s">
        <v>2491</v>
      </c>
      <c r="C143" s="20" t="s">
        <v>2493</v>
      </c>
      <c r="D143" s="20"/>
      <c r="E143" s="20" t="s">
        <v>49</v>
      </c>
      <c r="F143" s="29" t="s">
        <v>69</v>
      </c>
      <c r="G143" s="20" t="s">
        <v>2578</v>
      </c>
      <c r="H143" s="20" t="s">
        <v>1385</v>
      </c>
      <c r="I143" s="20" t="s">
        <v>1386</v>
      </c>
      <c r="J143" s="20" t="s">
        <v>74</v>
      </c>
      <c r="K143" s="20" t="s">
        <v>55</v>
      </c>
      <c r="L143" s="20" t="s">
        <v>56</v>
      </c>
      <c r="M143" s="20" t="s">
        <v>57</v>
      </c>
      <c r="N143" s="20" t="s">
        <v>333</v>
      </c>
      <c r="O143" s="20" t="s">
        <v>1720</v>
      </c>
      <c r="P143" s="20" t="s">
        <v>1269</v>
      </c>
      <c r="Q143" s="20" t="s">
        <v>59</v>
      </c>
      <c r="R143" s="20" t="s">
        <v>333</v>
      </c>
      <c r="S143" s="20" t="s">
        <v>333</v>
      </c>
      <c r="T143" s="20"/>
      <c r="U143" s="20"/>
      <c r="V143" s="20" t="s">
        <v>344</v>
      </c>
      <c r="W143" s="20" t="s">
        <v>333</v>
      </c>
      <c r="X143" s="20" t="s">
        <v>333</v>
      </c>
      <c r="Y143" s="20" t="s">
        <v>333</v>
      </c>
      <c r="Z143" s="20" t="s">
        <v>333</v>
      </c>
      <c r="AA143" s="20" t="s">
        <v>333</v>
      </c>
      <c r="AB143" s="20" t="s">
        <v>333</v>
      </c>
      <c r="AC143" s="20"/>
      <c r="AD143" s="20" t="s">
        <v>333</v>
      </c>
      <c r="AE143" s="20" t="s">
        <v>333</v>
      </c>
      <c r="AF143" s="20" t="s">
        <v>333</v>
      </c>
      <c r="AG143" s="20" t="s">
        <v>344</v>
      </c>
      <c r="AH143" s="20" t="s">
        <v>344</v>
      </c>
      <c r="AI143" s="20" t="s">
        <v>333</v>
      </c>
      <c r="AJ143" s="20"/>
      <c r="AK143" s="20" t="s">
        <v>1595</v>
      </c>
      <c r="AL143" s="20" t="s">
        <v>1269</v>
      </c>
      <c r="AM143" s="20" t="s">
        <v>1595</v>
      </c>
      <c r="AN143" s="20" t="s">
        <v>349</v>
      </c>
      <c r="AO143" s="20"/>
      <c r="AP143" s="20" t="s">
        <v>1720</v>
      </c>
      <c r="AQ143" s="20" t="s">
        <v>1269</v>
      </c>
      <c r="AR143" s="20"/>
      <c r="AS143" s="20"/>
    </row>
    <row r="144">
      <c r="A144" s="20" t="s">
        <v>2580</v>
      </c>
      <c r="B144" s="20" t="s">
        <v>1060</v>
      </c>
      <c r="C144" s="20" t="s">
        <v>1061</v>
      </c>
      <c r="D144" s="20"/>
      <c r="E144" s="20" t="s">
        <v>49</v>
      </c>
      <c r="F144" s="29" t="s">
        <v>69</v>
      </c>
      <c r="G144" s="29" t="s">
        <v>69</v>
      </c>
      <c r="H144" s="20" t="s">
        <v>1067</v>
      </c>
      <c r="I144" s="20" t="s">
        <v>1068</v>
      </c>
      <c r="J144" s="20" t="s">
        <v>74</v>
      </c>
      <c r="K144" s="20" t="s">
        <v>55</v>
      </c>
      <c r="L144" s="20" t="s">
        <v>56</v>
      </c>
      <c r="M144" s="20" t="s">
        <v>57</v>
      </c>
      <c r="N144" s="20" t="s">
        <v>333</v>
      </c>
      <c r="O144" s="20" t="s">
        <v>1269</v>
      </c>
      <c r="P144" s="20" t="s">
        <v>2109</v>
      </c>
      <c r="Q144" s="20" t="s">
        <v>59</v>
      </c>
      <c r="R144" s="20" t="s">
        <v>333</v>
      </c>
      <c r="S144" s="20" t="s">
        <v>333</v>
      </c>
      <c r="T144" s="20"/>
      <c r="U144" s="20"/>
      <c r="V144" s="20" t="s">
        <v>344</v>
      </c>
      <c r="W144" s="20" t="s">
        <v>333</v>
      </c>
      <c r="X144" s="20" t="s">
        <v>333</v>
      </c>
      <c r="Y144" s="20" t="s">
        <v>333</v>
      </c>
      <c r="Z144" s="20" t="s">
        <v>333</v>
      </c>
      <c r="AA144" s="20" t="s">
        <v>333</v>
      </c>
      <c r="AB144" s="20" t="s">
        <v>333</v>
      </c>
      <c r="AC144" s="20"/>
      <c r="AD144" s="20" t="s">
        <v>333</v>
      </c>
      <c r="AE144" s="20" t="s">
        <v>333</v>
      </c>
      <c r="AF144" s="20" t="s">
        <v>333</v>
      </c>
      <c r="AG144" s="20" t="s">
        <v>344</v>
      </c>
      <c r="AH144" s="20" t="s">
        <v>344</v>
      </c>
      <c r="AI144" s="20" t="s">
        <v>333</v>
      </c>
      <c r="AJ144" s="20"/>
      <c r="AK144" s="20" t="s">
        <v>1244</v>
      </c>
      <c r="AL144" s="20" t="s">
        <v>1245</v>
      </c>
      <c r="AM144" s="20" t="s">
        <v>1244</v>
      </c>
      <c r="AN144" s="20" t="s">
        <v>349</v>
      </c>
      <c r="AO144" s="20"/>
      <c r="AP144" s="20" t="s">
        <v>1269</v>
      </c>
      <c r="AQ144" s="20" t="s">
        <v>2109</v>
      </c>
      <c r="AR144" s="20"/>
      <c r="AS144" s="20"/>
    </row>
    <row r="145">
      <c r="A145" s="20" t="s">
        <v>2582</v>
      </c>
      <c r="B145" s="20" t="s">
        <v>1048</v>
      </c>
      <c r="C145" s="20" t="s">
        <v>1049</v>
      </c>
      <c r="D145" s="20"/>
      <c r="E145" s="20" t="s">
        <v>49</v>
      </c>
      <c r="F145" s="80" t="s">
        <v>2583</v>
      </c>
      <c r="G145" s="82">
        <v>7.500520067E9</v>
      </c>
      <c r="H145" s="20" t="s">
        <v>1055</v>
      </c>
      <c r="I145" s="20" t="s">
        <v>1057</v>
      </c>
      <c r="J145" s="20" t="s">
        <v>74</v>
      </c>
      <c r="K145" s="20" t="s">
        <v>55</v>
      </c>
      <c r="L145" s="20" t="s">
        <v>56</v>
      </c>
      <c r="M145" s="20" t="s">
        <v>57</v>
      </c>
      <c r="N145" s="20" t="s">
        <v>333</v>
      </c>
      <c r="O145" s="20" t="s">
        <v>1559</v>
      </c>
      <c r="P145" s="20" t="s">
        <v>348</v>
      </c>
      <c r="Q145" s="20" t="s">
        <v>59</v>
      </c>
      <c r="R145" s="20" t="s">
        <v>333</v>
      </c>
      <c r="S145" s="20" t="s">
        <v>333</v>
      </c>
      <c r="T145" s="20"/>
      <c r="U145" s="20"/>
      <c r="V145" s="20" t="s">
        <v>344</v>
      </c>
      <c r="W145" s="20" t="s">
        <v>333</v>
      </c>
      <c r="X145" s="20" t="s">
        <v>333</v>
      </c>
      <c r="Y145" s="20" t="s">
        <v>333</v>
      </c>
      <c r="Z145" s="20" t="s">
        <v>333</v>
      </c>
      <c r="AA145" s="20" t="s">
        <v>333</v>
      </c>
      <c r="AB145" s="20" t="s">
        <v>333</v>
      </c>
      <c r="AC145" s="20"/>
      <c r="AD145" s="20" t="s">
        <v>333</v>
      </c>
      <c r="AE145" s="20" t="s">
        <v>333</v>
      </c>
      <c r="AF145" s="20" t="s">
        <v>333</v>
      </c>
      <c r="AG145" s="20" t="s">
        <v>344</v>
      </c>
      <c r="AH145" s="20" t="s">
        <v>344</v>
      </c>
      <c r="AI145" s="20" t="s">
        <v>333</v>
      </c>
      <c r="AJ145" s="20"/>
      <c r="AK145" s="20" t="s">
        <v>1663</v>
      </c>
      <c r="AL145" s="20" t="s">
        <v>2584</v>
      </c>
      <c r="AM145" s="20" t="s">
        <v>1663</v>
      </c>
      <c r="AN145" s="20" t="s">
        <v>349</v>
      </c>
      <c r="AO145" s="20"/>
      <c r="AP145" s="20" t="s">
        <v>1559</v>
      </c>
      <c r="AQ145" s="20" t="s">
        <v>348</v>
      </c>
      <c r="AR145" s="20"/>
      <c r="AS145" s="20"/>
    </row>
    <row r="146">
      <c r="A146" s="20" t="s">
        <v>2585</v>
      </c>
      <c r="B146" s="20" t="s">
        <v>1624</v>
      </c>
      <c r="C146" s="20" t="s">
        <v>1625</v>
      </c>
      <c r="D146" s="20"/>
      <c r="E146" s="20" t="s">
        <v>49</v>
      </c>
      <c r="F146" s="80" t="s">
        <v>2588</v>
      </c>
      <c r="G146" s="29" t="s">
        <v>69</v>
      </c>
      <c r="H146" s="20" t="s">
        <v>513</v>
      </c>
      <c r="I146" s="20" t="s">
        <v>514</v>
      </c>
      <c r="J146" s="20" t="s">
        <v>74</v>
      </c>
      <c r="K146" s="20" t="s">
        <v>55</v>
      </c>
      <c r="L146" s="20" t="s">
        <v>56</v>
      </c>
      <c r="M146" s="20" t="s">
        <v>57</v>
      </c>
      <c r="N146" s="20" t="s">
        <v>333</v>
      </c>
      <c r="O146" s="20" t="s">
        <v>1559</v>
      </c>
      <c r="P146" s="20" t="s">
        <v>1920</v>
      </c>
      <c r="Q146" s="20" t="s">
        <v>59</v>
      </c>
      <c r="R146" s="20" t="s">
        <v>333</v>
      </c>
      <c r="S146" s="20" t="s">
        <v>333</v>
      </c>
      <c r="T146" s="20"/>
      <c r="U146" s="20"/>
      <c r="V146" s="20" t="s">
        <v>344</v>
      </c>
      <c r="W146" s="20" t="s">
        <v>333</v>
      </c>
      <c r="X146" s="20" t="s">
        <v>333</v>
      </c>
      <c r="Y146" s="20" t="s">
        <v>333</v>
      </c>
      <c r="Z146" s="20" t="s">
        <v>333</v>
      </c>
      <c r="AA146" s="20" t="s">
        <v>333</v>
      </c>
      <c r="AB146" s="20" t="s">
        <v>333</v>
      </c>
      <c r="AC146" s="20"/>
      <c r="AD146" s="20" t="s">
        <v>333</v>
      </c>
      <c r="AE146" s="20" t="s">
        <v>333</v>
      </c>
      <c r="AF146" s="20" t="s">
        <v>333</v>
      </c>
      <c r="AG146" s="20" t="s">
        <v>344</v>
      </c>
      <c r="AH146" s="20" t="s">
        <v>344</v>
      </c>
      <c r="AI146" s="20" t="s">
        <v>333</v>
      </c>
      <c r="AJ146" s="20"/>
      <c r="AK146" s="20" t="s">
        <v>1244</v>
      </c>
      <c r="AL146" s="20" t="s">
        <v>1261</v>
      </c>
      <c r="AM146" s="20" t="s">
        <v>1244</v>
      </c>
      <c r="AN146" s="20" t="s">
        <v>349</v>
      </c>
      <c r="AO146" s="20"/>
      <c r="AP146" s="20" t="s">
        <v>1559</v>
      </c>
      <c r="AQ146" s="20" t="s">
        <v>1920</v>
      </c>
      <c r="AR146" s="20"/>
      <c r="AS146" s="20"/>
    </row>
    <row r="147">
      <c r="A147" s="20" t="s">
        <v>2590</v>
      </c>
      <c r="B147" s="20" t="s">
        <v>561</v>
      </c>
      <c r="C147" s="20" t="s">
        <v>562</v>
      </c>
      <c r="D147" s="20" t="s">
        <v>563</v>
      </c>
      <c r="E147" s="20" t="s">
        <v>49</v>
      </c>
      <c r="F147" s="80" t="s">
        <v>2591</v>
      </c>
      <c r="G147" s="81" t="s">
        <v>2592</v>
      </c>
      <c r="H147" s="20" t="s">
        <v>53</v>
      </c>
      <c r="I147" s="20" t="s">
        <v>54</v>
      </c>
      <c r="J147" s="20" t="s">
        <v>54</v>
      </c>
      <c r="K147" s="20" t="s">
        <v>55</v>
      </c>
      <c r="L147" s="20" t="s">
        <v>56</v>
      </c>
      <c r="M147" s="20" t="s">
        <v>57</v>
      </c>
      <c r="N147" s="20" t="s">
        <v>333</v>
      </c>
      <c r="O147" s="20" t="s">
        <v>1720</v>
      </c>
      <c r="P147" s="20" t="s">
        <v>1559</v>
      </c>
      <c r="Q147" s="20" t="s">
        <v>59</v>
      </c>
      <c r="R147" s="20" t="s">
        <v>333</v>
      </c>
      <c r="S147" s="20" t="s">
        <v>333</v>
      </c>
      <c r="T147" s="20" t="s">
        <v>568</v>
      </c>
      <c r="U147" s="20" t="s">
        <v>2593</v>
      </c>
      <c r="V147" s="20" t="s">
        <v>344</v>
      </c>
      <c r="W147" s="20" t="s">
        <v>333</v>
      </c>
      <c r="X147" s="20" t="s">
        <v>333</v>
      </c>
      <c r="Y147" s="20" t="s">
        <v>333</v>
      </c>
      <c r="Z147" s="20" t="s">
        <v>333</v>
      </c>
      <c r="AA147" s="20" t="s">
        <v>333</v>
      </c>
      <c r="AB147" s="20" t="s">
        <v>333</v>
      </c>
      <c r="AC147" s="20"/>
      <c r="AD147" s="20" t="s">
        <v>333</v>
      </c>
      <c r="AE147" s="20" t="s">
        <v>344</v>
      </c>
      <c r="AF147" s="20" t="s">
        <v>333</v>
      </c>
      <c r="AG147" s="20" t="s">
        <v>344</v>
      </c>
      <c r="AH147" s="20" t="s">
        <v>344</v>
      </c>
      <c r="AI147" s="20" t="s">
        <v>333</v>
      </c>
      <c r="AJ147" s="20"/>
      <c r="AK147" s="20" t="s">
        <v>1717</v>
      </c>
      <c r="AL147" s="20" t="s">
        <v>1269</v>
      </c>
      <c r="AM147" s="20" t="s">
        <v>1717</v>
      </c>
      <c r="AN147" s="20" t="s">
        <v>349</v>
      </c>
      <c r="AO147" s="20"/>
      <c r="AP147" s="20" t="s">
        <v>1720</v>
      </c>
      <c r="AQ147" s="20" t="s">
        <v>1559</v>
      </c>
      <c r="AR147" s="20"/>
      <c r="AS147" s="20"/>
    </row>
    <row r="148">
      <c r="A148" s="20" t="s">
        <v>2598</v>
      </c>
      <c r="B148" s="20" t="s">
        <v>1592</v>
      </c>
      <c r="C148" s="20" t="s">
        <v>1593</v>
      </c>
      <c r="D148" s="20"/>
      <c r="E148" s="20" t="s">
        <v>49</v>
      </c>
      <c r="F148" s="80" t="s">
        <v>2599</v>
      </c>
      <c r="G148" s="81" t="s">
        <v>1598</v>
      </c>
      <c r="H148" s="20" t="s">
        <v>1599</v>
      </c>
      <c r="I148" s="20" t="s">
        <v>1601</v>
      </c>
      <c r="J148" s="20" t="s">
        <v>74</v>
      </c>
      <c r="K148" s="20" t="s">
        <v>55</v>
      </c>
      <c r="L148" s="20" t="s">
        <v>56</v>
      </c>
      <c r="M148" s="20" t="s">
        <v>57</v>
      </c>
      <c r="N148" s="20" t="s">
        <v>333</v>
      </c>
      <c r="O148" s="20" t="s">
        <v>1556</v>
      </c>
      <c r="P148" s="20" t="s">
        <v>1688</v>
      </c>
      <c r="Q148" s="20" t="s">
        <v>59</v>
      </c>
      <c r="R148" s="20" t="s">
        <v>333</v>
      </c>
      <c r="S148" s="20" t="s">
        <v>333</v>
      </c>
      <c r="T148" s="20"/>
      <c r="U148" s="20"/>
      <c r="V148" s="20" t="s">
        <v>344</v>
      </c>
      <c r="W148" s="20" t="s">
        <v>333</v>
      </c>
      <c r="X148" s="20" t="s">
        <v>333</v>
      </c>
      <c r="Y148" s="20" t="s">
        <v>333</v>
      </c>
      <c r="Z148" s="20" t="s">
        <v>333</v>
      </c>
      <c r="AA148" s="20" t="s">
        <v>333</v>
      </c>
      <c r="AB148" s="20" t="s">
        <v>333</v>
      </c>
      <c r="AC148" s="20"/>
      <c r="AD148" s="20" t="s">
        <v>333</v>
      </c>
      <c r="AE148" s="20" t="s">
        <v>333</v>
      </c>
      <c r="AF148" s="20" t="s">
        <v>333</v>
      </c>
      <c r="AG148" s="20" t="s">
        <v>344</v>
      </c>
      <c r="AH148" s="20" t="s">
        <v>344</v>
      </c>
      <c r="AI148" s="20" t="s">
        <v>333</v>
      </c>
      <c r="AJ148" s="20"/>
      <c r="AK148" s="20" t="s">
        <v>1581</v>
      </c>
      <c r="AL148" s="20" t="s">
        <v>1556</v>
      </c>
      <c r="AM148" s="20" t="s">
        <v>1581</v>
      </c>
      <c r="AN148" s="20" t="s">
        <v>349</v>
      </c>
      <c r="AO148" s="20"/>
      <c r="AP148" s="20" t="s">
        <v>1556</v>
      </c>
      <c r="AQ148" s="20" t="s">
        <v>1688</v>
      </c>
      <c r="AR148" s="20"/>
      <c r="AS148" s="20"/>
    </row>
    <row r="149">
      <c r="A149" s="20" t="s">
        <v>2601</v>
      </c>
      <c r="B149" s="20" t="s">
        <v>1504</v>
      </c>
      <c r="C149" s="20" t="s">
        <v>1506</v>
      </c>
      <c r="D149" s="20"/>
      <c r="E149" s="20" t="s">
        <v>49</v>
      </c>
      <c r="F149" s="29" t="s">
        <v>69</v>
      </c>
      <c r="G149" s="54" t="s">
        <v>69</v>
      </c>
      <c r="H149" s="20" t="s">
        <v>303</v>
      </c>
      <c r="I149" s="20" t="s">
        <v>303</v>
      </c>
      <c r="J149" s="20" t="s">
        <v>74</v>
      </c>
      <c r="K149" s="20" t="s">
        <v>55</v>
      </c>
      <c r="L149" s="20" t="s">
        <v>56</v>
      </c>
      <c r="M149" s="20" t="s">
        <v>57</v>
      </c>
      <c r="N149" s="20" t="s">
        <v>333</v>
      </c>
      <c r="O149" s="20" t="s">
        <v>1559</v>
      </c>
      <c r="P149" s="20" t="s">
        <v>1586</v>
      </c>
      <c r="Q149" s="20" t="s">
        <v>59</v>
      </c>
      <c r="R149" s="20" t="s">
        <v>333</v>
      </c>
      <c r="S149" s="20" t="s">
        <v>333</v>
      </c>
      <c r="T149" s="20"/>
      <c r="U149" s="20"/>
      <c r="V149" s="20" t="s">
        <v>344</v>
      </c>
      <c r="W149" s="20" t="s">
        <v>333</v>
      </c>
      <c r="X149" s="20" t="s">
        <v>333</v>
      </c>
      <c r="Y149" s="20" t="s">
        <v>333</v>
      </c>
      <c r="Z149" s="20" t="s">
        <v>333</v>
      </c>
      <c r="AA149" s="20" t="s">
        <v>333</v>
      </c>
      <c r="AB149" s="20" t="s">
        <v>333</v>
      </c>
      <c r="AC149" s="20"/>
      <c r="AD149" s="20" t="s">
        <v>333</v>
      </c>
      <c r="AE149" s="20" t="s">
        <v>333</v>
      </c>
      <c r="AF149" s="20" t="s">
        <v>333</v>
      </c>
      <c r="AG149" s="20" t="s">
        <v>344</v>
      </c>
      <c r="AH149" s="20" t="s">
        <v>344</v>
      </c>
      <c r="AI149" s="20" t="s">
        <v>333</v>
      </c>
      <c r="AJ149" s="20"/>
      <c r="AK149" s="20" t="s">
        <v>349</v>
      </c>
      <c r="AL149" s="20" t="s">
        <v>349</v>
      </c>
      <c r="AM149" s="20" t="s">
        <v>349</v>
      </c>
      <c r="AN149" s="20" t="s">
        <v>349</v>
      </c>
      <c r="AO149" s="20"/>
      <c r="AP149" s="20" t="s">
        <v>1559</v>
      </c>
      <c r="AQ149" s="20" t="s">
        <v>1586</v>
      </c>
      <c r="AR149" s="20"/>
      <c r="AS149" s="20"/>
    </row>
    <row r="150">
      <c r="A150" s="20" t="s">
        <v>2603</v>
      </c>
      <c r="B150" s="20" t="s">
        <v>960</v>
      </c>
      <c r="C150" s="20" t="s">
        <v>961</v>
      </c>
      <c r="D150" s="20"/>
      <c r="E150" s="20" t="s">
        <v>49</v>
      </c>
      <c r="F150" s="80" t="s">
        <v>2604</v>
      </c>
      <c r="G150" s="29" t="s">
        <v>69</v>
      </c>
      <c r="H150" s="20" t="s">
        <v>142</v>
      </c>
      <c r="I150" s="20" t="s">
        <v>144</v>
      </c>
      <c r="J150" s="20" t="s">
        <v>74</v>
      </c>
      <c r="K150" s="20" t="s">
        <v>55</v>
      </c>
      <c r="L150" s="20" t="s">
        <v>56</v>
      </c>
      <c r="M150" s="20" t="s">
        <v>57</v>
      </c>
      <c r="N150" s="20" t="s">
        <v>333</v>
      </c>
      <c r="O150" s="20" t="s">
        <v>1253</v>
      </c>
      <c r="P150" s="20"/>
      <c r="Q150" s="20" t="s">
        <v>59</v>
      </c>
      <c r="R150" s="20" t="s">
        <v>333</v>
      </c>
      <c r="S150" s="20" t="s">
        <v>333</v>
      </c>
      <c r="T150" s="20"/>
      <c r="U150" s="20"/>
      <c r="V150" s="20" t="s">
        <v>344</v>
      </c>
      <c r="W150" s="20" t="s">
        <v>333</v>
      </c>
      <c r="X150" s="20" t="s">
        <v>333</v>
      </c>
      <c r="Y150" s="20" t="s">
        <v>333</v>
      </c>
      <c r="Z150" s="20" t="s">
        <v>333</v>
      </c>
      <c r="AA150" s="20" t="s">
        <v>333</v>
      </c>
      <c r="AB150" s="20" t="s">
        <v>333</v>
      </c>
      <c r="AC150" s="20"/>
      <c r="AD150" s="20" t="s">
        <v>333</v>
      </c>
      <c r="AE150" s="20" t="s">
        <v>333</v>
      </c>
      <c r="AF150" s="20" t="s">
        <v>333</v>
      </c>
      <c r="AG150" s="20" t="s">
        <v>344</v>
      </c>
      <c r="AH150" s="20" t="s">
        <v>344</v>
      </c>
      <c r="AI150" s="20" t="s">
        <v>333</v>
      </c>
      <c r="AJ150" s="20"/>
      <c r="AK150" s="20" t="s">
        <v>347</v>
      </c>
      <c r="AL150" s="20" t="s">
        <v>348</v>
      </c>
      <c r="AM150" s="20" t="s">
        <v>347</v>
      </c>
      <c r="AN150" s="20" t="s">
        <v>349</v>
      </c>
      <c r="AO150" s="20"/>
      <c r="AP150" s="20" t="s">
        <v>1253</v>
      </c>
      <c r="AQ150" s="20" t="s">
        <v>349</v>
      </c>
      <c r="AR150" s="20"/>
      <c r="AS150" s="20"/>
    </row>
    <row r="151">
      <c r="A151" s="20" t="s">
        <v>2611</v>
      </c>
      <c r="B151" s="20" t="s">
        <v>1131</v>
      </c>
      <c r="C151" s="20" t="s">
        <v>1132</v>
      </c>
      <c r="D151" s="20" t="s">
        <v>1133</v>
      </c>
      <c r="E151" s="20" t="s">
        <v>49</v>
      </c>
      <c r="F151" s="80" t="s">
        <v>2612</v>
      </c>
      <c r="G151" s="29" t="s">
        <v>69</v>
      </c>
      <c r="H151" s="20" t="s">
        <v>203</v>
      </c>
      <c r="I151" s="20" t="s">
        <v>204</v>
      </c>
      <c r="J151" s="20" t="s">
        <v>74</v>
      </c>
      <c r="K151" s="20" t="s">
        <v>55</v>
      </c>
      <c r="L151" s="20" t="s">
        <v>56</v>
      </c>
      <c r="M151" s="20" t="s">
        <v>57</v>
      </c>
      <c r="N151" s="20" t="s">
        <v>333</v>
      </c>
      <c r="O151" s="20" t="s">
        <v>1239</v>
      </c>
      <c r="P151" s="20" t="s">
        <v>1559</v>
      </c>
      <c r="Q151" s="20" t="s">
        <v>59</v>
      </c>
      <c r="R151" s="20" t="s">
        <v>333</v>
      </c>
      <c r="S151" s="20" t="s">
        <v>333</v>
      </c>
      <c r="T151" s="20" t="s">
        <v>2616</v>
      </c>
      <c r="U151" s="20"/>
      <c r="V151" s="20" t="s">
        <v>344</v>
      </c>
      <c r="W151" s="20" t="s">
        <v>333</v>
      </c>
      <c r="X151" s="20" t="s">
        <v>333</v>
      </c>
      <c r="Y151" s="20" t="s">
        <v>333</v>
      </c>
      <c r="Z151" s="20" t="s">
        <v>333</v>
      </c>
      <c r="AA151" s="20" t="s">
        <v>333</v>
      </c>
      <c r="AB151" s="20" t="s">
        <v>333</v>
      </c>
      <c r="AC151" s="20"/>
      <c r="AD151" s="20" t="s">
        <v>333</v>
      </c>
      <c r="AE151" s="20" t="s">
        <v>333</v>
      </c>
      <c r="AF151" s="20" t="s">
        <v>333</v>
      </c>
      <c r="AG151" s="20" t="s">
        <v>344</v>
      </c>
      <c r="AH151" s="20" t="s">
        <v>344</v>
      </c>
      <c r="AI151" s="20" t="s">
        <v>333</v>
      </c>
      <c r="AJ151" s="20"/>
      <c r="AK151" s="20" t="s">
        <v>347</v>
      </c>
      <c r="AL151" s="20" t="s">
        <v>1245</v>
      </c>
      <c r="AM151" s="20" t="s">
        <v>347</v>
      </c>
      <c r="AN151" s="20" t="s">
        <v>349</v>
      </c>
      <c r="AO151" s="20" t="s">
        <v>2617</v>
      </c>
      <c r="AP151" s="20" t="s">
        <v>1239</v>
      </c>
      <c r="AQ151" s="20" t="s">
        <v>1559</v>
      </c>
      <c r="AR151" s="20"/>
      <c r="AS151" s="20"/>
    </row>
    <row r="152">
      <c r="A152" s="20" t="s">
        <v>2618</v>
      </c>
      <c r="B152" s="20" t="s">
        <v>262</v>
      </c>
      <c r="C152" s="20" t="s">
        <v>263</v>
      </c>
      <c r="D152" s="20" t="s">
        <v>264</v>
      </c>
      <c r="E152" s="20" t="s">
        <v>49</v>
      </c>
      <c r="F152" s="80" t="s">
        <v>2619</v>
      </c>
      <c r="G152" s="29" t="s">
        <v>69</v>
      </c>
      <c r="H152" s="20" t="s">
        <v>266</v>
      </c>
      <c r="I152" s="20" t="s">
        <v>267</v>
      </c>
      <c r="J152" s="20" t="s">
        <v>267</v>
      </c>
      <c r="K152" s="20" t="s">
        <v>55</v>
      </c>
      <c r="L152" s="20" t="s">
        <v>56</v>
      </c>
      <c r="M152" s="20" t="s">
        <v>57</v>
      </c>
      <c r="N152" s="20" t="s">
        <v>333</v>
      </c>
      <c r="O152" s="20" t="s">
        <v>1920</v>
      </c>
      <c r="P152" s="20"/>
      <c r="Q152" s="20" t="s">
        <v>59</v>
      </c>
      <c r="R152" s="20" t="s">
        <v>333</v>
      </c>
      <c r="S152" s="20" t="s">
        <v>333</v>
      </c>
      <c r="T152" s="20" t="s">
        <v>275</v>
      </c>
      <c r="U152" s="20"/>
      <c r="V152" s="20" t="s">
        <v>344</v>
      </c>
      <c r="W152" s="20" t="s">
        <v>333</v>
      </c>
      <c r="X152" s="20" t="s">
        <v>333</v>
      </c>
      <c r="Y152" s="20" t="s">
        <v>333</v>
      </c>
      <c r="Z152" s="20" t="s">
        <v>333</v>
      </c>
      <c r="AA152" s="20" t="s">
        <v>333</v>
      </c>
      <c r="AB152" s="20" t="s">
        <v>333</v>
      </c>
      <c r="AC152" s="20"/>
      <c r="AD152" s="20" t="s">
        <v>333</v>
      </c>
      <c r="AE152" s="20" t="s">
        <v>333</v>
      </c>
      <c r="AF152" s="20" t="s">
        <v>333</v>
      </c>
      <c r="AG152" s="20" t="s">
        <v>344</v>
      </c>
      <c r="AH152" s="20" t="s">
        <v>344</v>
      </c>
      <c r="AI152" s="20" t="s">
        <v>333</v>
      </c>
      <c r="AJ152" s="20"/>
      <c r="AK152" s="20" t="s">
        <v>1260</v>
      </c>
      <c r="AL152" s="20" t="s">
        <v>1245</v>
      </c>
      <c r="AM152" s="20" t="s">
        <v>1260</v>
      </c>
      <c r="AN152" s="20" t="s">
        <v>349</v>
      </c>
      <c r="AO152" s="20"/>
      <c r="AP152" s="20" t="s">
        <v>1920</v>
      </c>
      <c r="AQ152" s="20" t="s">
        <v>349</v>
      </c>
      <c r="AR152" s="20"/>
      <c r="AS152" s="20"/>
    </row>
    <row r="153">
      <c r="A153" s="20" t="s">
        <v>2624</v>
      </c>
      <c r="B153" s="20" t="s">
        <v>572</v>
      </c>
      <c r="C153" s="20" t="s">
        <v>574</v>
      </c>
      <c r="D153" s="20"/>
      <c r="E153" s="20" t="s">
        <v>49</v>
      </c>
      <c r="F153" s="80" t="s">
        <v>2625</v>
      </c>
      <c r="G153" s="99" t="s">
        <v>2627</v>
      </c>
      <c r="H153" s="20" t="s">
        <v>75</v>
      </c>
      <c r="I153" s="20" t="s">
        <v>76</v>
      </c>
      <c r="J153" s="20" t="s">
        <v>76</v>
      </c>
      <c r="K153" s="20" t="s">
        <v>55</v>
      </c>
      <c r="L153" s="20" t="s">
        <v>56</v>
      </c>
      <c r="M153" s="20" t="s">
        <v>57</v>
      </c>
      <c r="N153" s="20" t="s">
        <v>333</v>
      </c>
      <c r="O153" s="20" t="s">
        <v>1682</v>
      </c>
      <c r="P153" s="20" t="s">
        <v>1556</v>
      </c>
      <c r="Q153" s="20" t="s">
        <v>59</v>
      </c>
      <c r="R153" s="20" t="s">
        <v>333</v>
      </c>
      <c r="S153" s="20" t="s">
        <v>333</v>
      </c>
      <c r="T153" s="20"/>
      <c r="U153" s="20"/>
      <c r="V153" s="20" t="s">
        <v>344</v>
      </c>
      <c r="W153" s="20" t="s">
        <v>333</v>
      </c>
      <c r="X153" s="20" t="s">
        <v>333</v>
      </c>
      <c r="Y153" s="20" t="s">
        <v>333</v>
      </c>
      <c r="Z153" s="20" t="s">
        <v>333</v>
      </c>
      <c r="AA153" s="20" t="s">
        <v>333</v>
      </c>
      <c r="AB153" s="20" t="s">
        <v>333</v>
      </c>
      <c r="AC153" s="20"/>
      <c r="AD153" s="20" t="s">
        <v>333</v>
      </c>
      <c r="AE153" s="20" t="s">
        <v>333</v>
      </c>
      <c r="AF153" s="20" t="s">
        <v>333</v>
      </c>
      <c r="AG153" s="20" t="s">
        <v>344</v>
      </c>
      <c r="AH153" s="20" t="s">
        <v>344</v>
      </c>
      <c r="AI153" s="20" t="s">
        <v>333</v>
      </c>
      <c r="AJ153" s="20"/>
      <c r="AK153" s="20" t="s">
        <v>347</v>
      </c>
      <c r="AL153" s="20" t="s">
        <v>348</v>
      </c>
      <c r="AM153" s="20" t="s">
        <v>347</v>
      </c>
      <c r="AN153" s="20" t="s">
        <v>349</v>
      </c>
      <c r="AO153" s="20"/>
      <c r="AP153" s="20" t="s">
        <v>1682</v>
      </c>
      <c r="AQ153" s="20" t="s">
        <v>1556</v>
      </c>
      <c r="AR153" s="20"/>
      <c r="AS153" s="20"/>
    </row>
    <row r="154">
      <c r="A154" s="20" t="s">
        <v>2631</v>
      </c>
      <c r="B154" s="20" t="s">
        <v>200</v>
      </c>
      <c r="C154" s="20" t="s">
        <v>202</v>
      </c>
      <c r="D154" s="20"/>
      <c r="E154" s="20" t="s">
        <v>49</v>
      </c>
      <c r="F154" s="80" t="s">
        <v>2632</v>
      </c>
      <c r="G154" s="29" t="s">
        <v>69</v>
      </c>
      <c r="H154" s="20" t="s">
        <v>147</v>
      </c>
      <c r="I154" s="20" t="s">
        <v>148</v>
      </c>
      <c r="J154" s="20" t="s">
        <v>148</v>
      </c>
      <c r="K154" s="20" t="s">
        <v>55</v>
      </c>
      <c r="L154" s="20" t="s">
        <v>56</v>
      </c>
      <c r="M154" s="20" t="s">
        <v>57</v>
      </c>
      <c r="N154" s="20" t="s">
        <v>333</v>
      </c>
      <c r="O154" s="20" t="s">
        <v>1564</v>
      </c>
      <c r="P154" s="20" t="s">
        <v>1920</v>
      </c>
      <c r="Q154" s="20" t="s">
        <v>59</v>
      </c>
      <c r="R154" s="20" t="s">
        <v>333</v>
      </c>
      <c r="S154" s="20" t="s">
        <v>333</v>
      </c>
      <c r="T154" s="20"/>
      <c r="U154" s="20"/>
      <c r="V154" s="20" t="s">
        <v>344</v>
      </c>
      <c r="W154" s="20" t="s">
        <v>333</v>
      </c>
      <c r="X154" s="20" t="s">
        <v>333</v>
      </c>
      <c r="Y154" s="20" t="s">
        <v>333</v>
      </c>
      <c r="Z154" s="20" t="s">
        <v>333</v>
      </c>
      <c r="AA154" s="20" t="s">
        <v>333</v>
      </c>
      <c r="AB154" s="20" t="s">
        <v>333</v>
      </c>
      <c r="AC154" s="20"/>
      <c r="AD154" s="20" t="s">
        <v>333</v>
      </c>
      <c r="AE154" s="20" t="s">
        <v>333</v>
      </c>
      <c r="AF154" s="20" t="s">
        <v>333</v>
      </c>
      <c r="AG154" s="20" t="s">
        <v>344</v>
      </c>
      <c r="AH154" s="20" t="s">
        <v>344</v>
      </c>
      <c r="AI154" s="20" t="s">
        <v>333</v>
      </c>
      <c r="AJ154" s="20"/>
      <c r="AK154" s="20" t="s">
        <v>1244</v>
      </c>
      <c r="AL154" s="20" t="s">
        <v>1245</v>
      </c>
      <c r="AM154" s="20" t="s">
        <v>1244</v>
      </c>
      <c r="AN154" s="20" t="s">
        <v>349</v>
      </c>
      <c r="AO154" s="20"/>
      <c r="AP154" s="20" t="s">
        <v>1564</v>
      </c>
      <c r="AQ154" s="20" t="s">
        <v>1920</v>
      </c>
      <c r="AR154" s="20"/>
      <c r="AS154" s="20"/>
    </row>
    <row r="155">
      <c r="A155" s="20" t="s">
        <v>2634</v>
      </c>
      <c r="B155" s="20" t="s">
        <v>1526</v>
      </c>
      <c r="C155" s="20" t="s">
        <v>1527</v>
      </c>
      <c r="D155" s="20" t="s">
        <v>1528</v>
      </c>
      <c r="E155" s="20" t="s">
        <v>49</v>
      </c>
      <c r="F155" s="100" t="s">
        <v>1529</v>
      </c>
      <c r="G155" s="20"/>
      <c r="H155" s="20" t="s">
        <v>303</v>
      </c>
      <c r="I155" s="20" t="s">
        <v>303</v>
      </c>
      <c r="J155" s="20" t="s">
        <v>74</v>
      </c>
      <c r="K155" s="20" t="s">
        <v>55</v>
      </c>
      <c r="L155" s="20" t="s">
        <v>56</v>
      </c>
      <c r="M155" s="20" t="s">
        <v>57</v>
      </c>
      <c r="N155" s="20" t="s">
        <v>333</v>
      </c>
      <c r="O155" s="20" t="s">
        <v>1586</v>
      </c>
      <c r="P155" s="20"/>
      <c r="Q155" s="20" t="s">
        <v>59</v>
      </c>
      <c r="R155" s="20" t="s">
        <v>333</v>
      </c>
      <c r="S155" s="20" t="s">
        <v>333</v>
      </c>
      <c r="T155" s="20" t="s">
        <v>1533</v>
      </c>
      <c r="U155" s="20" t="s">
        <v>2635</v>
      </c>
      <c r="V155" s="20" t="s">
        <v>344</v>
      </c>
      <c r="W155" s="20" t="s">
        <v>333</v>
      </c>
      <c r="X155" s="20" t="s">
        <v>333</v>
      </c>
      <c r="Y155" s="20" t="s">
        <v>333</v>
      </c>
      <c r="Z155" s="20" t="s">
        <v>333</v>
      </c>
      <c r="AA155" s="20" t="s">
        <v>333</v>
      </c>
      <c r="AB155" s="20" t="s">
        <v>333</v>
      </c>
      <c r="AC155" s="20"/>
      <c r="AD155" s="20" t="s">
        <v>333</v>
      </c>
      <c r="AE155" s="20" t="s">
        <v>333</v>
      </c>
      <c r="AF155" s="20" t="s">
        <v>333</v>
      </c>
      <c r="AG155" s="20" t="s">
        <v>344</v>
      </c>
      <c r="AH155" s="20" t="s">
        <v>344</v>
      </c>
      <c r="AI155" s="20" t="s">
        <v>333</v>
      </c>
      <c r="AJ155" s="20"/>
      <c r="AK155" s="20" t="s">
        <v>347</v>
      </c>
      <c r="AL155" s="20" t="s">
        <v>348</v>
      </c>
      <c r="AM155" s="20" t="s">
        <v>347</v>
      </c>
      <c r="AN155" s="20" t="s">
        <v>349</v>
      </c>
      <c r="AO155" s="20"/>
      <c r="AP155" s="20" t="s">
        <v>1586</v>
      </c>
      <c r="AQ155" s="20" t="s">
        <v>349</v>
      </c>
      <c r="AR155" s="20"/>
      <c r="AS155" s="20"/>
    </row>
    <row r="156">
      <c r="A156" s="32" t="s">
        <v>2637</v>
      </c>
      <c r="B156" s="32" t="s">
        <v>2638</v>
      </c>
      <c r="C156" s="32" t="s">
        <v>2639</v>
      </c>
      <c r="D156" s="48" t="s">
        <v>2641</v>
      </c>
      <c r="E156" s="32" t="s">
        <v>49</v>
      </c>
      <c r="F156" s="32" t="s">
        <v>2643</v>
      </c>
      <c r="G156" s="32" t="s">
        <v>2645</v>
      </c>
      <c r="H156" s="32" t="s">
        <v>123</v>
      </c>
      <c r="I156" s="32" t="s">
        <v>124</v>
      </c>
      <c r="J156" s="32" t="s">
        <v>74</v>
      </c>
      <c r="K156" s="32" t="s">
        <v>55</v>
      </c>
      <c r="L156" s="32" t="s">
        <v>56</v>
      </c>
      <c r="M156" s="32" t="s">
        <v>57</v>
      </c>
      <c r="N156" s="32" t="s">
        <v>333</v>
      </c>
      <c r="O156" s="32" t="s">
        <v>1695</v>
      </c>
      <c r="P156" s="32" t="s">
        <v>1682</v>
      </c>
      <c r="Q156" s="32" t="s">
        <v>59</v>
      </c>
      <c r="R156" s="32" t="s">
        <v>333</v>
      </c>
      <c r="S156" s="32" t="s">
        <v>333</v>
      </c>
      <c r="T156" s="32"/>
      <c r="U156" s="32"/>
      <c r="V156" s="32" t="s">
        <v>344</v>
      </c>
      <c r="W156" s="32" t="s">
        <v>333</v>
      </c>
      <c r="X156" s="32" t="s">
        <v>333</v>
      </c>
      <c r="Y156" s="32" t="s">
        <v>333</v>
      </c>
      <c r="Z156" s="32" t="s">
        <v>333</v>
      </c>
      <c r="AA156" s="32" t="s">
        <v>333</v>
      </c>
      <c r="AB156" s="32" t="s">
        <v>333</v>
      </c>
      <c r="AC156" s="32"/>
      <c r="AD156" s="32" t="s">
        <v>333</v>
      </c>
      <c r="AE156" s="32" t="s">
        <v>333</v>
      </c>
      <c r="AF156" s="32" t="s">
        <v>333</v>
      </c>
      <c r="AG156" s="32" t="s">
        <v>344</v>
      </c>
      <c r="AH156" s="32" t="s">
        <v>344</v>
      </c>
      <c r="AI156" s="32" t="s">
        <v>333</v>
      </c>
      <c r="AJ156" s="32"/>
      <c r="AK156" s="32" t="s">
        <v>1587</v>
      </c>
      <c r="AL156" s="32" t="s">
        <v>1586</v>
      </c>
      <c r="AM156" s="32" t="s">
        <v>1587</v>
      </c>
      <c r="AN156" s="32" t="s">
        <v>349</v>
      </c>
      <c r="AO156" s="32"/>
      <c r="AP156" s="32" t="s">
        <v>1695</v>
      </c>
      <c r="AQ156" s="32" t="s">
        <v>1682</v>
      </c>
      <c r="AR156" s="21" t="s">
        <v>1931</v>
      </c>
      <c r="AS156" s="21">
        <v>2.0</v>
      </c>
    </row>
    <row r="157">
      <c r="A157" s="20" t="s">
        <v>2647</v>
      </c>
      <c r="B157" s="20" t="s">
        <v>2648</v>
      </c>
      <c r="C157" s="20" t="s">
        <v>2649</v>
      </c>
      <c r="D157" s="20"/>
      <c r="E157" s="20" t="s">
        <v>49</v>
      </c>
      <c r="F157" s="80" t="s">
        <v>2650</v>
      </c>
      <c r="G157" s="81" t="s">
        <v>2654</v>
      </c>
      <c r="H157" s="20" t="s">
        <v>586</v>
      </c>
      <c r="I157" s="20" t="s">
        <v>587</v>
      </c>
      <c r="J157" s="20" t="s">
        <v>74</v>
      </c>
      <c r="K157" s="20" t="s">
        <v>55</v>
      </c>
      <c r="L157" s="20" t="s">
        <v>56</v>
      </c>
      <c r="M157" s="20" t="s">
        <v>57</v>
      </c>
      <c r="N157" s="20" t="s">
        <v>333</v>
      </c>
      <c r="O157" s="20" t="s">
        <v>1720</v>
      </c>
      <c r="P157" s="20" t="s">
        <v>1688</v>
      </c>
      <c r="Q157" s="20" t="s">
        <v>59</v>
      </c>
      <c r="R157" s="20" t="s">
        <v>333</v>
      </c>
      <c r="S157" s="20" t="s">
        <v>333</v>
      </c>
      <c r="T157" s="20"/>
      <c r="U157" s="20"/>
      <c r="V157" s="20" t="s">
        <v>344</v>
      </c>
      <c r="W157" s="20" t="s">
        <v>333</v>
      </c>
      <c r="X157" s="20" t="s">
        <v>333</v>
      </c>
      <c r="Y157" s="20" t="s">
        <v>333</v>
      </c>
      <c r="Z157" s="20" t="s">
        <v>333</v>
      </c>
      <c r="AA157" s="20" t="s">
        <v>333</v>
      </c>
      <c r="AB157" s="20" t="s">
        <v>333</v>
      </c>
      <c r="AC157" s="20"/>
      <c r="AD157" s="20" t="s">
        <v>333</v>
      </c>
      <c r="AE157" s="20" t="s">
        <v>333</v>
      </c>
      <c r="AF157" s="20" t="s">
        <v>333</v>
      </c>
      <c r="AG157" s="20" t="s">
        <v>344</v>
      </c>
      <c r="AH157" s="20" t="s">
        <v>344</v>
      </c>
      <c r="AI157" s="20" t="s">
        <v>333</v>
      </c>
      <c r="AJ157" s="20"/>
      <c r="AK157" s="20" t="s">
        <v>1595</v>
      </c>
      <c r="AL157" s="20" t="s">
        <v>1736</v>
      </c>
      <c r="AM157" s="20" t="s">
        <v>1595</v>
      </c>
      <c r="AN157" s="20" t="s">
        <v>349</v>
      </c>
      <c r="AO157" s="20"/>
      <c r="AP157" s="20" t="s">
        <v>1720</v>
      </c>
      <c r="AQ157" s="20" t="s">
        <v>1688</v>
      </c>
      <c r="AR157" s="20"/>
      <c r="AS157" s="20"/>
    </row>
    <row r="158">
      <c r="A158" s="20" t="s">
        <v>2655</v>
      </c>
      <c r="B158" s="20" t="s">
        <v>1210</v>
      </c>
      <c r="C158" s="20" t="s">
        <v>1212</v>
      </c>
      <c r="D158" s="20"/>
      <c r="E158" s="20" t="s">
        <v>49</v>
      </c>
      <c r="F158" s="29" t="s">
        <v>69</v>
      </c>
      <c r="G158" s="29" t="s">
        <v>69</v>
      </c>
      <c r="H158" s="20" t="s">
        <v>303</v>
      </c>
      <c r="I158" s="20" t="s">
        <v>303</v>
      </c>
      <c r="J158" s="20" t="s">
        <v>74</v>
      </c>
      <c r="K158" s="20" t="s">
        <v>55</v>
      </c>
      <c r="L158" s="20" t="s">
        <v>56</v>
      </c>
      <c r="M158" s="20" t="s">
        <v>57</v>
      </c>
      <c r="N158" s="20" t="s">
        <v>333</v>
      </c>
      <c r="O158" s="20" t="s">
        <v>1556</v>
      </c>
      <c r="P158" s="20"/>
      <c r="Q158" s="20" t="s">
        <v>59</v>
      </c>
      <c r="R158" s="20" t="s">
        <v>333</v>
      </c>
      <c r="S158" s="20" t="s">
        <v>333</v>
      </c>
      <c r="T158" s="20"/>
      <c r="U158" s="20"/>
      <c r="V158" s="20" t="s">
        <v>344</v>
      </c>
      <c r="W158" s="20" t="s">
        <v>333</v>
      </c>
      <c r="X158" s="20" t="s">
        <v>333</v>
      </c>
      <c r="Y158" s="20" t="s">
        <v>333</v>
      </c>
      <c r="Z158" s="20" t="s">
        <v>333</v>
      </c>
      <c r="AA158" s="20" t="s">
        <v>333</v>
      </c>
      <c r="AB158" s="20" t="s">
        <v>333</v>
      </c>
      <c r="AC158" s="20"/>
      <c r="AD158" s="20" t="s">
        <v>333</v>
      </c>
      <c r="AE158" s="20" t="s">
        <v>333</v>
      </c>
      <c r="AF158" s="20" t="s">
        <v>333</v>
      </c>
      <c r="AG158" s="20" t="s">
        <v>344</v>
      </c>
      <c r="AH158" s="20" t="s">
        <v>344</v>
      </c>
      <c r="AI158" s="20" t="s">
        <v>333</v>
      </c>
      <c r="AJ158" s="20"/>
      <c r="AK158" s="20" t="s">
        <v>349</v>
      </c>
      <c r="AL158" s="20" t="s">
        <v>1245</v>
      </c>
      <c r="AM158" s="20" t="s">
        <v>349</v>
      </c>
      <c r="AN158" s="20" t="s">
        <v>349</v>
      </c>
      <c r="AO158" s="20"/>
      <c r="AP158" s="20" t="s">
        <v>1556</v>
      </c>
      <c r="AQ158" s="20" t="s">
        <v>349</v>
      </c>
      <c r="AR158" s="20"/>
      <c r="AS158" s="20"/>
    </row>
    <row r="159">
      <c r="A159" s="20" t="s">
        <v>2661</v>
      </c>
      <c r="B159" s="20" t="s">
        <v>940</v>
      </c>
      <c r="C159" s="20" t="s">
        <v>941</v>
      </c>
      <c r="D159" s="20" t="s">
        <v>942</v>
      </c>
      <c r="E159" s="20" t="s">
        <v>49</v>
      </c>
      <c r="F159" s="80" t="s">
        <v>2662</v>
      </c>
      <c r="G159" s="29" t="s">
        <v>69</v>
      </c>
      <c r="H159" s="20" t="s">
        <v>303</v>
      </c>
      <c r="I159" s="20" t="s">
        <v>303</v>
      </c>
      <c r="J159" s="20" t="s">
        <v>74</v>
      </c>
      <c r="K159" s="20" t="s">
        <v>55</v>
      </c>
      <c r="L159" s="20" t="s">
        <v>56</v>
      </c>
      <c r="M159" s="20" t="s">
        <v>57</v>
      </c>
      <c r="N159" s="20" t="s">
        <v>333</v>
      </c>
      <c r="O159" s="20" t="s">
        <v>1596</v>
      </c>
      <c r="P159" s="20" t="s">
        <v>1238</v>
      </c>
      <c r="Q159" s="20" t="s">
        <v>59</v>
      </c>
      <c r="R159" s="20" t="s">
        <v>333</v>
      </c>
      <c r="S159" s="20" t="s">
        <v>333</v>
      </c>
      <c r="T159" s="20" t="s">
        <v>948</v>
      </c>
      <c r="U159" s="20"/>
      <c r="V159" s="20" t="s">
        <v>344</v>
      </c>
      <c r="W159" s="20" t="s">
        <v>333</v>
      </c>
      <c r="X159" s="20" t="s">
        <v>333</v>
      </c>
      <c r="Y159" s="20" t="s">
        <v>333</v>
      </c>
      <c r="Z159" s="20" t="s">
        <v>333</v>
      </c>
      <c r="AA159" s="20" t="s">
        <v>333</v>
      </c>
      <c r="AB159" s="20" t="s">
        <v>333</v>
      </c>
      <c r="AC159" s="20"/>
      <c r="AD159" s="20" t="s">
        <v>333</v>
      </c>
      <c r="AE159" s="20" t="s">
        <v>333</v>
      </c>
      <c r="AF159" s="20" t="s">
        <v>333</v>
      </c>
      <c r="AG159" s="20" t="s">
        <v>344</v>
      </c>
      <c r="AH159" s="20" t="s">
        <v>344</v>
      </c>
      <c r="AI159" s="20" t="s">
        <v>333</v>
      </c>
      <c r="AJ159" s="20"/>
      <c r="AK159" s="20" t="s">
        <v>347</v>
      </c>
      <c r="AL159" s="20" t="s">
        <v>1673</v>
      </c>
      <c r="AM159" s="20" t="s">
        <v>347</v>
      </c>
      <c r="AN159" s="20" t="s">
        <v>349</v>
      </c>
      <c r="AO159" s="20"/>
      <c r="AP159" s="20" t="s">
        <v>1596</v>
      </c>
      <c r="AQ159" s="20" t="s">
        <v>1238</v>
      </c>
      <c r="AR159" s="20"/>
      <c r="AS159" s="20"/>
    </row>
    <row r="160">
      <c r="A160" s="20" t="s">
        <v>2666</v>
      </c>
      <c r="B160" s="20" t="s">
        <v>2328</v>
      </c>
      <c r="C160" s="20" t="s">
        <v>2329</v>
      </c>
      <c r="D160" s="20" t="s">
        <v>2331</v>
      </c>
      <c r="E160" s="20" t="s">
        <v>49</v>
      </c>
      <c r="F160" s="80" t="s">
        <v>2667</v>
      </c>
      <c r="G160" s="29" t="s">
        <v>69</v>
      </c>
      <c r="H160" s="20" t="s">
        <v>303</v>
      </c>
      <c r="I160" s="20" t="s">
        <v>303</v>
      </c>
      <c r="J160" s="20" t="s">
        <v>74</v>
      </c>
      <c r="K160" s="20" t="s">
        <v>55</v>
      </c>
      <c r="L160" s="20" t="s">
        <v>56</v>
      </c>
      <c r="M160" s="20" t="s">
        <v>57</v>
      </c>
      <c r="N160" s="20" t="s">
        <v>333</v>
      </c>
      <c r="O160" s="20" t="s">
        <v>1253</v>
      </c>
      <c r="P160" s="20"/>
      <c r="Q160" s="20" t="s">
        <v>59</v>
      </c>
      <c r="R160" s="20" t="s">
        <v>333</v>
      </c>
      <c r="S160" s="20" t="s">
        <v>333</v>
      </c>
      <c r="T160" s="20" t="s">
        <v>2671</v>
      </c>
      <c r="U160" s="20"/>
      <c r="V160" s="20" t="s">
        <v>344</v>
      </c>
      <c r="W160" s="20" t="s">
        <v>333</v>
      </c>
      <c r="X160" s="20" t="s">
        <v>333</v>
      </c>
      <c r="Y160" s="20" t="s">
        <v>333</v>
      </c>
      <c r="Z160" s="20" t="s">
        <v>333</v>
      </c>
      <c r="AA160" s="20" t="s">
        <v>333</v>
      </c>
      <c r="AB160" s="20" t="s">
        <v>333</v>
      </c>
      <c r="AC160" s="20"/>
      <c r="AD160" s="20" t="s">
        <v>333</v>
      </c>
      <c r="AE160" s="20" t="s">
        <v>333</v>
      </c>
      <c r="AF160" s="20" t="s">
        <v>333</v>
      </c>
      <c r="AG160" s="20" t="s">
        <v>344</v>
      </c>
      <c r="AH160" s="20" t="s">
        <v>344</v>
      </c>
      <c r="AI160" s="20" t="s">
        <v>333</v>
      </c>
      <c r="AJ160" s="20"/>
      <c r="AK160" s="20" t="s">
        <v>349</v>
      </c>
      <c r="AL160" s="20" t="s">
        <v>349</v>
      </c>
      <c r="AM160" s="20" t="s">
        <v>349</v>
      </c>
      <c r="AN160" s="20" t="s">
        <v>349</v>
      </c>
      <c r="AO160" s="20"/>
      <c r="AP160" s="20" t="s">
        <v>1253</v>
      </c>
      <c r="AQ160" s="20" t="s">
        <v>349</v>
      </c>
      <c r="AR160" s="20"/>
      <c r="AS160" s="20"/>
    </row>
    <row r="161">
      <c r="A161" s="20" t="s">
        <v>2672</v>
      </c>
      <c r="B161" s="20" t="s">
        <v>1784</v>
      </c>
      <c r="C161" s="20" t="s">
        <v>1785</v>
      </c>
      <c r="D161" s="20" t="s">
        <v>1786</v>
      </c>
      <c r="E161" s="20" t="s">
        <v>49</v>
      </c>
      <c r="F161" s="80" t="s">
        <v>2667</v>
      </c>
      <c r="G161" s="29" t="s">
        <v>69</v>
      </c>
      <c r="H161" s="20" t="s">
        <v>142</v>
      </c>
      <c r="I161" s="20" t="s">
        <v>144</v>
      </c>
      <c r="J161" s="20" t="s">
        <v>74</v>
      </c>
      <c r="K161" s="20" t="s">
        <v>55</v>
      </c>
      <c r="L161" s="20" t="s">
        <v>56</v>
      </c>
      <c r="M161" s="20" t="s">
        <v>57</v>
      </c>
      <c r="N161" s="20" t="s">
        <v>333</v>
      </c>
      <c r="O161" s="20" t="s">
        <v>1238</v>
      </c>
      <c r="P161" s="20" t="s">
        <v>1239</v>
      </c>
      <c r="Q161" s="20" t="s">
        <v>59</v>
      </c>
      <c r="R161" s="20" t="s">
        <v>333</v>
      </c>
      <c r="S161" s="20" t="s">
        <v>333</v>
      </c>
      <c r="T161" s="20" t="s">
        <v>2674</v>
      </c>
      <c r="U161" s="20" t="s">
        <v>2676</v>
      </c>
      <c r="V161" s="20" t="s">
        <v>344</v>
      </c>
      <c r="W161" s="20" t="s">
        <v>333</v>
      </c>
      <c r="X161" s="20" t="s">
        <v>333</v>
      </c>
      <c r="Y161" s="20" t="s">
        <v>333</v>
      </c>
      <c r="Z161" s="20" t="s">
        <v>333</v>
      </c>
      <c r="AA161" s="20" t="s">
        <v>333</v>
      </c>
      <c r="AB161" s="20" t="s">
        <v>333</v>
      </c>
      <c r="AC161" s="20"/>
      <c r="AD161" s="20" t="s">
        <v>333</v>
      </c>
      <c r="AE161" s="20" t="s">
        <v>333</v>
      </c>
      <c r="AF161" s="20" t="s">
        <v>333</v>
      </c>
      <c r="AG161" s="20" t="s">
        <v>344</v>
      </c>
      <c r="AH161" s="20" t="s">
        <v>344</v>
      </c>
      <c r="AI161" s="20" t="s">
        <v>333</v>
      </c>
      <c r="AJ161" s="20"/>
      <c r="AK161" s="20" t="s">
        <v>1581</v>
      </c>
      <c r="AL161" s="20" t="s">
        <v>1586</v>
      </c>
      <c r="AM161" s="20" t="s">
        <v>1581</v>
      </c>
      <c r="AN161" s="20" t="s">
        <v>349</v>
      </c>
      <c r="AO161" s="20"/>
      <c r="AP161" s="20" t="s">
        <v>1238</v>
      </c>
      <c r="AQ161" s="20" t="s">
        <v>1239</v>
      </c>
      <c r="AR161" s="20"/>
      <c r="AS161" s="20"/>
    </row>
    <row r="162">
      <c r="A162" s="20" t="s">
        <v>2678</v>
      </c>
      <c r="B162" s="20" t="s">
        <v>1656</v>
      </c>
      <c r="C162" s="20" t="s">
        <v>1657</v>
      </c>
      <c r="D162" s="20"/>
      <c r="E162" s="20" t="s">
        <v>49</v>
      </c>
      <c r="F162" s="80" t="s">
        <v>2679</v>
      </c>
      <c r="G162" s="29" t="s">
        <v>69</v>
      </c>
      <c r="H162" s="20" t="s">
        <v>303</v>
      </c>
      <c r="I162" s="20" t="s">
        <v>303</v>
      </c>
      <c r="J162" s="20" t="s">
        <v>74</v>
      </c>
      <c r="K162" s="20" t="s">
        <v>55</v>
      </c>
      <c r="L162" s="20" t="s">
        <v>56</v>
      </c>
      <c r="M162" s="20" t="s">
        <v>57</v>
      </c>
      <c r="N162" s="20" t="s">
        <v>333</v>
      </c>
      <c r="O162" s="20" t="s">
        <v>1695</v>
      </c>
      <c r="P162" s="20" t="s">
        <v>1239</v>
      </c>
      <c r="Q162" s="20" t="s">
        <v>59</v>
      </c>
      <c r="R162" s="20" t="s">
        <v>333</v>
      </c>
      <c r="S162" s="20" t="s">
        <v>333</v>
      </c>
      <c r="T162" s="20"/>
      <c r="U162" s="20"/>
      <c r="V162" s="20" t="s">
        <v>344</v>
      </c>
      <c r="W162" s="20" t="s">
        <v>333</v>
      </c>
      <c r="X162" s="20" t="s">
        <v>333</v>
      </c>
      <c r="Y162" s="20" t="s">
        <v>333</v>
      </c>
      <c r="Z162" s="20" t="s">
        <v>333</v>
      </c>
      <c r="AA162" s="20" t="s">
        <v>333</v>
      </c>
      <c r="AB162" s="20" t="s">
        <v>333</v>
      </c>
      <c r="AC162" s="20"/>
      <c r="AD162" s="20" t="s">
        <v>333</v>
      </c>
      <c r="AE162" s="20" t="s">
        <v>333</v>
      </c>
      <c r="AF162" s="20" t="s">
        <v>333</v>
      </c>
      <c r="AG162" s="20" t="s">
        <v>344</v>
      </c>
      <c r="AH162" s="20" t="s">
        <v>344</v>
      </c>
      <c r="AI162" s="20" t="s">
        <v>333</v>
      </c>
      <c r="AJ162" s="20"/>
      <c r="AK162" s="20" t="s">
        <v>1244</v>
      </c>
      <c r="AL162" s="20" t="s">
        <v>347</v>
      </c>
      <c r="AM162" s="20" t="s">
        <v>1244</v>
      </c>
      <c r="AN162" s="20" t="s">
        <v>349</v>
      </c>
      <c r="AO162" s="20"/>
      <c r="AP162" s="20" t="s">
        <v>1695</v>
      </c>
      <c r="AQ162" s="20" t="s">
        <v>1239</v>
      </c>
      <c r="AR162" s="20"/>
      <c r="AS162" s="20"/>
    </row>
    <row r="163">
      <c r="A163" s="32" t="s">
        <v>2681</v>
      </c>
      <c r="B163" s="32" t="s">
        <v>1424</v>
      </c>
      <c r="C163" s="32" t="s">
        <v>1425</v>
      </c>
      <c r="D163" s="48" t="s">
        <v>2682</v>
      </c>
      <c r="E163" s="32" t="s">
        <v>49</v>
      </c>
      <c r="F163" s="32" t="s">
        <v>2683</v>
      </c>
      <c r="G163" s="32" t="s">
        <v>2684</v>
      </c>
      <c r="H163" s="32" t="s">
        <v>303</v>
      </c>
      <c r="I163" s="32" t="s">
        <v>303</v>
      </c>
      <c r="J163" s="32" t="s">
        <v>74</v>
      </c>
      <c r="K163" s="32" t="s">
        <v>55</v>
      </c>
      <c r="L163" s="32" t="s">
        <v>56</v>
      </c>
      <c r="M163" s="32" t="s">
        <v>57</v>
      </c>
      <c r="N163" s="32" t="s">
        <v>333</v>
      </c>
      <c r="O163" s="32" t="s">
        <v>1720</v>
      </c>
      <c r="P163" s="32"/>
      <c r="Q163" s="32" t="s">
        <v>59</v>
      </c>
      <c r="R163" s="32" t="s">
        <v>333</v>
      </c>
      <c r="S163" s="32" t="s">
        <v>333</v>
      </c>
      <c r="T163" s="32"/>
      <c r="U163" s="32"/>
      <c r="V163" s="32" t="s">
        <v>344</v>
      </c>
      <c r="W163" s="32" t="s">
        <v>333</v>
      </c>
      <c r="X163" s="32" t="s">
        <v>333</v>
      </c>
      <c r="Y163" s="32" t="s">
        <v>333</v>
      </c>
      <c r="Z163" s="32" t="s">
        <v>333</v>
      </c>
      <c r="AA163" s="32" t="s">
        <v>333</v>
      </c>
      <c r="AB163" s="32" t="s">
        <v>333</v>
      </c>
      <c r="AC163" s="32"/>
      <c r="AD163" s="32" t="s">
        <v>333</v>
      </c>
      <c r="AE163" s="32" t="s">
        <v>333</v>
      </c>
      <c r="AF163" s="32" t="s">
        <v>333</v>
      </c>
      <c r="AG163" s="32" t="s">
        <v>344</v>
      </c>
      <c r="AH163" s="32" t="s">
        <v>344</v>
      </c>
      <c r="AI163" s="32" t="s">
        <v>333</v>
      </c>
      <c r="AJ163" s="32"/>
      <c r="AK163" s="32" t="s">
        <v>1581</v>
      </c>
      <c r="AL163" s="32" t="s">
        <v>348</v>
      </c>
      <c r="AM163" s="32" t="s">
        <v>1581</v>
      </c>
      <c r="AN163" s="32" t="s">
        <v>349</v>
      </c>
      <c r="AO163" s="32"/>
      <c r="AP163" s="32" t="s">
        <v>1720</v>
      </c>
      <c r="AQ163" s="32" t="s">
        <v>349</v>
      </c>
      <c r="AR163" s="21" t="s">
        <v>1931</v>
      </c>
      <c r="AS163" s="21">
        <v>2.0</v>
      </c>
    </row>
    <row r="164">
      <c r="A164" s="20" t="s">
        <v>2687</v>
      </c>
      <c r="B164" s="20" t="s">
        <v>1796</v>
      </c>
      <c r="C164" s="20" t="s">
        <v>1797</v>
      </c>
      <c r="D164" s="20"/>
      <c r="E164" s="20" t="s">
        <v>49</v>
      </c>
      <c r="F164" s="80" t="s">
        <v>1799</v>
      </c>
      <c r="G164" s="81" t="s">
        <v>1801</v>
      </c>
      <c r="H164" s="20" t="s">
        <v>142</v>
      </c>
      <c r="I164" s="20" t="s">
        <v>144</v>
      </c>
      <c r="J164" s="20" t="s">
        <v>74</v>
      </c>
      <c r="K164" s="20" t="s">
        <v>55</v>
      </c>
      <c r="L164" s="20" t="s">
        <v>56</v>
      </c>
      <c r="M164" s="20" t="s">
        <v>57</v>
      </c>
      <c r="N164" s="20" t="s">
        <v>333</v>
      </c>
      <c r="O164" s="20" t="s">
        <v>1920</v>
      </c>
      <c r="P164" s="20" t="s">
        <v>1559</v>
      </c>
      <c r="Q164" s="20" t="s">
        <v>59</v>
      </c>
      <c r="R164" s="20" t="s">
        <v>333</v>
      </c>
      <c r="S164" s="20" t="s">
        <v>333</v>
      </c>
      <c r="T164" s="20"/>
      <c r="U164" s="20"/>
      <c r="V164" s="20" t="s">
        <v>344</v>
      </c>
      <c r="W164" s="20" t="s">
        <v>333</v>
      </c>
      <c r="X164" s="20" t="s">
        <v>333</v>
      </c>
      <c r="Y164" s="20" t="s">
        <v>333</v>
      </c>
      <c r="Z164" s="20" t="s">
        <v>333</v>
      </c>
      <c r="AA164" s="20" t="s">
        <v>333</v>
      </c>
      <c r="AB164" s="20" t="s">
        <v>333</v>
      </c>
      <c r="AC164" s="20"/>
      <c r="AD164" s="20" t="s">
        <v>333</v>
      </c>
      <c r="AE164" s="20" t="s">
        <v>333</v>
      </c>
      <c r="AF164" s="20" t="s">
        <v>333</v>
      </c>
      <c r="AG164" s="20" t="s">
        <v>344</v>
      </c>
      <c r="AH164" s="20" t="s">
        <v>344</v>
      </c>
      <c r="AI164" s="20" t="s">
        <v>333</v>
      </c>
      <c r="AJ164" s="20"/>
      <c r="AK164" s="20" t="s">
        <v>1244</v>
      </c>
      <c r="AL164" s="20" t="s">
        <v>348</v>
      </c>
      <c r="AM164" s="20" t="s">
        <v>1244</v>
      </c>
      <c r="AN164" s="20" t="s">
        <v>349</v>
      </c>
      <c r="AO164" s="20"/>
      <c r="AP164" s="20" t="s">
        <v>1920</v>
      </c>
      <c r="AQ164" s="20" t="s">
        <v>1559</v>
      </c>
      <c r="AR164" s="20"/>
      <c r="AS164" s="20"/>
    </row>
    <row r="165">
      <c r="A165" s="20" t="s">
        <v>2690</v>
      </c>
      <c r="B165" s="20" t="s">
        <v>2691</v>
      </c>
      <c r="C165" s="20" t="s">
        <v>2692</v>
      </c>
      <c r="D165" s="20"/>
      <c r="E165" s="20" t="s">
        <v>49</v>
      </c>
      <c r="F165" s="80" t="s">
        <v>2693</v>
      </c>
      <c r="G165" s="29" t="s">
        <v>69</v>
      </c>
      <c r="H165" s="20" t="s">
        <v>123</v>
      </c>
      <c r="I165" s="20" t="s">
        <v>124</v>
      </c>
      <c r="J165" s="20" t="s">
        <v>74</v>
      </c>
      <c r="K165" s="20" t="s">
        <v>55</v>
      </c>
      <c r="L165" s="20" t="s">
        <v>56</v>
      </c>
      <c r="M165" s="20" t="s">
        <v>57</v>
      </c>
      <c r="N165" s="20" t="s">
        <v>333</v>
      </c>
      <c r="O165" s="20" t="s">
        <v>1586</v>
      </c>
      <c r="P165" s="20" t="s">
        <v>1941</v>
      </c>
      <c r="Q165" s="20" t="s">
        <v>59</v>
      </c>
      <c r="R165" s="20" t="s">
        <v>333</v>
      </c>
      <c r="S165" s="20" t="s">
        <v>333</v>
      </c>
      <c r="T165" s="20"/>
      <c r="U165" s="20"/>
      <c r="V165" s="20" t="s">
        <v>344</v>
      </c>
      <c r="W165" s="20" t="s">
        <v>333</v>
      </c>
      <c r="X165" s="20" t="s">
        <v>333</v>
      </c>
      <c r="Y165" s="20" t="s">
        <v>333</v>
      </c>
      <c r="Z165" s="20" t="s">
        <v>333</v>
      </c>
      <c r="AA165" s="20" t="s">
        <v>333</v>
      </c>
      <c r="AB165" s="20" t="s">
        <v>333</v>
      </c>
      <c r="AC165" s="20"/>
      <c r="AD165" s="20" t="s">
        <v>333</v>
      </c>
      <c r="AE165" s="20" t="s">
        <v>333</v>
      </c>
      <c r="AF165" s="20" t="s">
        <v>333</v>
      </c>
      <c r="AG165" s="20" t="s">
        <v>344</v>
      </c>
      <c r="AH165" s="20" t="s">
        <v>344</v>
      </c>
      <c r="AI165" s="20" t="s">
        <v>333</v>
      </c>
      <c r="AJ165" s="20"/>
      <c r="AK165" s="20" t="s">
        <v>1663</v>
      </c>
      <c r="AL165" s="20" t="s">
        <v>2052</v>
      </c>
      <c r="AM165" s="20" t="s">
        <v>1663</v>
      </c>
      <c r="AN165" s="20" t="s">
        <v>349</v>
      </c>
      <c r="AO165" s="20"/>
      <c r="AP165" s="20" t="s">
        <v>1586</v>
      </c>
      <c r="AQ165" s="20" t="s">
        <v>1941</v>
      </c>
      <c r="AR165" s="20"/>
      <c r="AS165" s="20"/>
    </row>
    <row r="166">
      <c r="A166" s="20" t="s">
        <v>2696</v>
      </c>
      <c r="B166" s="20" t="s">
        <v>2698</v>
      </c>
      <c r="C166" s="20" t="s">
        <v>2699</v>
      </c>
      <c r="D166" s="20" t="s">
        <v>2701</v>
      </c>
      <c r="E166" s="20" t="s">
        <v>49</v>
      </c>
      <c r="F166" s="80" t="s">
        <v>2702</v>
      </c>
      <c r="G166" s="29" t="s">
        <v>69</v>
      </c>
      <c r="H166" s="20" t="s">
        <v>727</v>
      </c>
      <c r="I166" s="20" t="s">
        <v>729</v>
      </c>
      <c r="J166" s="20" t="s">
        <v>74</v>
      </c>
      <c r="K166" s="20" t="s">
        <v>55</v>
      </c>
      <c r="L166" s="20" t="s">
        <v>56</v>
      </c>
      <c r="M166" s="20" t="s">
        <v>57</v>
      </c>
      <c r="N166" s="20" t="s">
        <v>333</v>
      </c>
      <c r="O166" s="20" t="s">
        <v>1261</v>
      </c>
      <c r="P166" s="20" t="s">
        <v>2705</v>
      </c>
      <c r="Q166" s="20" t="s">
        <v>59</v>
      </c>
      <c r="R166" s="20" t="s">
        <v>333</v>
      </c>
      <c r="S166" s="20" t="s">
        <v>333</v>
      </c>
      <c r="T166" s="20" t="s">
        <v>275</v>
      </c>
      <c r="U166" s="20"/>
      <c r="V166" s="20" t="s">
        <v>344</v>
      </c>
      <c r="W166" s="20" t="s">
        <v>333</v>
      </c>
      <c r="X166" s="20" t="s">
        <v>333</v>
      </c>
      <c r="Y166" s="20" t="s">
        <v>333</v>
      </c>
      <c r="Z166" s="20" t="s">
        <v>333</v>
      </c>
      <c r="AA166" s="20" t="s">
        <v>333</v>
      </c>
      <c r="AB166" s="20" t="s">
        <v>333</v>
      </c>
      <c r="AC166" s="20"/>
      <c r="AD166" s="20" t="s">
        <v>333</v>
      </c>
      <c r="AE166" s="20" t="s">
        <v>333</v>
      </c>
      <c r="AF166" s="20" t="s">
        <v>333</v>
      </c>
      <c r="AG166" s="20" t="s">
        <v>344</v>
      </c>
      <c r="AH166" s="20" t="s">
        <v>344</v>
      </c>
      <c r="AI166" s="20" t="s">
        <v>333</v>
      </c>
      <c r="AJ166" s="20"/>
      <c r="AK166" s="20" t="s">
        <v>1663</v>
      </c>
      <c r="AL166" s="20" t="s">
        <v>1673</v>
      </c>
      <c r="AM166" s="20" t="s">
        <v>1663</v>
      </c>
      <c r="AN166" s="20" t="s">
        <v>349</v>
      </c>
      <c r="AO166" s="20"/>
      <c r="AP166" s="20" t="s">
        <v>1261</v>
      </c>
      <c r="AQ166" s="20" t="s">
        <v>2705</v>
      </c>
      <c r="AR166" s="20"/>
      <c r="AS166" s="20"/>
    </row>
    <row r="167">
      <c r="A167" s="20" t="s">
        <v>2706</v>
      </c>
      <c r="B167" s="20" t="s">
        <v>231</v>
      </c>
      <c r="C167" s="20" t="s">
        <v>232</v>
      </c>
      <c r="D167" s="20"/>
      <c r="E167" s="20" t="s">
        <v>49</v>
      </c>
      <c r="F167" s="29" t="s">
        <v>69</v>
      </c>
      <c r="G167" s="29" t="s">
        <v>69</v>
      </c>
      <c r="H167" s="20" t="s">
        <v>75</v>
      </c>
      <c r="I167" s="20" t="s">
        <v>76</v>
      </c>
      <c r="J167" s="20" t="s">
        <v>76</v>
      </c>
      <c r="K167" s="20" t="s">
        <v>55</v>
      </c>
      <c r="L167" s="20" t="s">
        <v>56</v>
      </c>
      <c r="M167" s="20" t="s">
        <v>57</v>
      </c>
      <c r="N167" s="20" t="s">
        <v>333</v>
      </c>
      <c r="O167" s="20" t="s">
        <v>1571</v>
      </c>
      <c r="P167" s="20" t="s">
        <v>1239</v>
      </c>
      <c r="Q167" s="20" t="s">
        <v>59</v>
      </c>
      <c r="R167" s="20" t="s">
        <v>333</v>
      </c>
      <c r="S167" s="20" t="s">
        <v>333</v>
      </c>
      <c r="T167" s="20"/>
      <c r="U167" s="20"/>
      <c r="V167" s="20" t="s">
        <v>344</v>
      </c>
      <c r="W167" s="20" t="s">
        <v>333</v>
      </c>
      <c r="X167" s="20" t="s">
        <v>333</v>
      </c>
      <c r="Y167" s="20" t="s">
        <v>333</v>
      </c>
      <c r="Z167" s="20" t="s">
        <v>333</v>
      </c>
      <c r="AA167" s="20" t="s">
        <v>333</v>
      </c>
      <c r="AB167" s="20" t="s">
        <v>333</v>
      </c>
      <c r="AC167" s="20"/>
      <c r="AD167" s="20" t="s">
        <v>333</v>
      </c>
      <c r="AE167" s="20" t="s">
        <v>333</v>
      </c>
      <c r="AF167" s="20" t="s">
        <v>333</v>
      </c>
      <c r="AG167" s="20" t="s">
        <v>344</v>
      </c>
      <c r="AH167" s="20" t="s">
        <v>344</v>
      </c>
      <c r="AI167" s="20" t="s">
        <v>333</v>
      </c>
      <c r="AJ167" s="20"/>
      <c r="AK167" s="20" t="s">
        <v>347</v>
      </c>
      <c r="AL167" s="20" t="s">
        <v>1556</v>
      </c>
      <c r="AM167" s="20" t="s">
        <v>347</v>
      </c>
      <c r="AN167" s="20" t="s">
        <v>349</v>
      </c>
      <c r="AO167" s="20"/>
      <c r="AP167" s="20" t="s">
        <v>1571</v>
      </c>
      <c r="AQ167" s="20" t="s">
        <v>1239</v>
      </c>
      <c r="AR167" s="20"/>
      <c r="AS167" s="20"/>
    </row>
    <row r="168">
      <c r="A168" s="20" t="s">
        <v>1846</v>
      </c>
      <c r="B168" s="20" t="s">
        <v>1387</v>
      </c>
      <c r="C168" s="20" t="s">
        <v>1388</v>
      </c>
      <c r="D168" s="20"/>
      <c r="E168" s="20" t="s">
        <v>49</v>
      </c>
      <c r="F168" s="29" t="s">
        <v>69</v>
      </c>
      <c r="G168" s="29" t="s">
        <v>69</v>
      </c>
      <c r="H168" s="20" t="s">
        <v>303</v>
      </c>
      <c r="I168" s="20" t="s">
        <v>303</v>
      </c>
      <c r="J168" s="20" t="s">
        <v>74</v>
      </c>
      <c r="K168" s="20" t="s">
        <v>55</v>
      </c>
      <c r="L168" s="20" t="s">
        <v>56</v>
      </c>
      <c r="M168" s="20" t="s">
        <v>57</v>
      </c>
      <c r="N168" s="20" t="s">
        <v>333</v>
      </c>
      <c r="O168" s="20" t="s">
        <v>1571</v>
      </c>
      <c r="P168" s="20" t="s">
        <v>1559</v>
      </c>
      <c r="Q168" s="20" t="s">
        <v>59</v>
      </c>
      <c r="R168" s="20" t="s">
        <v>333</v>
      </c>
      <c r="S168" s="20" t="s">
        <v>333</v>
      </c>
      <c r="T168" s="20"/>
      <c r="U168" s="20"/>
      <c r="V168" s="20" t="s">
        <v>344</v>
      </c>
      <c r="W168" s="20" t="s">
        <v>333</v>
      </c>
      <c r="X168" s="20" t="s">
        <v>333</v>
      </c>
      <c r="Y168" s="20" t="s">
        <v>333</v>
      </c>
      <c r="Z168" s="20" t="s">
        <v>333</v>
      </c>
      <c r="AA168" s="20" t="s">
        <v>333</v>
      </c>
      <c r="AB168" s="20" t="s">
        <v>333</v>
      </c>
      <c r="AC168" s="20"/>
      <c r="AD168" s="20" t="s">
        <v>333</v>
      </c>
      <c r="AE168" s="20" t="s">
        <v>333</v>
      </c>
      <c r="AF168" s="20" t="s">
        <v>333</v>
      </c>
      <c r="AG168" s="20" t="s">
        <v>344</v>
      </c>
      <c r="AH168" s="20" t="s">
        <v>344</v>
      </c>
      <c r="AI168" s="20" t="s">
        <v>333</v>
      </c>
      <c r="AJ168" s="20"/>
      <c r="AK168" s="20" t="s">
        <v>1244</v>
      </c>
      <c r="AL168" s="20" t="s">
        <v>1673</v>
      </c>
      <c r="AM168" s="20" t="s">
        <v>1244</v>
      </c>
      <c r="AN168" s="20" t="s">
        <v>349</v>
      </c>
      <c r="AO168" s="20"/>
      <c r="AP168" s="20" t="s">
        <v>1571</v>
      </c>
      <c r="AQ168" s="20" t="s">
        <v>1559</v>
      </c>
      <c r="AR168" s="20"/>
      <c r="AS168" s="20"/>
    </row>
    <row r="169">
      <c r="A169" s="20" t="s">
        <v>2709</v>
      </c>
      <c r="B169" s="20" t="s">
        <v>979</v>
      </c>
      <c r="C169" s="20" t="s">
        <v>980</v>
      </c>
      <c r="D169" s="20" t="s">
        <v>981</v>
      </c>
      <c r="E169" s="20" t="s">
        <v>49</v>
      </c>
      <c r="F169" s="80" t="s">
        <v>2710</v>
      </c>
      <c r="G169" s="29" t="s">
        <v>69</v>
      </c>
      <c r="H169" s="20" t="s">
        <v>123</v>
      </c>
      <c r="I169" s="20" t="s">
        <v>124</v>
      </c>
      <c r="J169" s="20" t="s">
        <v>74</v>
      </c>
      <c r="K169" s="20" t="s">
        <v>55</v>
      </c>
      <c r="L169" s="20" t="s">
        <v>56</v>
      </c>
      <c r="M169" s="20" t="s">
        <v>57</v>
      </c>
      <c r="N169" s="20" t="s">
        <v>333</v>
      </c>
      <c r="O169" s="20" t="s">
        <v>1682</v>
      </c>
      <c r="P169" s="20" t="s">
        <v>1556</v>
      </c>
      <c r="Q169" s="20" t="s">
        <v>59</v>
      </c>
      <c r="R169" s="20" t="s">
        <v>333</v>
      </c>
      <c r="S169" s="20" t="s">
        <v>333</v>
      </c>
      <c r="T169" s="20"/>
      <c r="U169" s="20"/>
      <c r="V169" s="20" t="s">
        <v>344</v>
      </c>
      <c r="W169" s="20" t="s">
        <v>333</v>
      </c>
      <c r="X169" s="20" t="s">
        <v>333</v>
      </c>
      <c r="Y169" s="20" t="s">
        <v>333</v>
      </c>
      <c r="Z169" s="20" t="s">
        <v>333</v>
      </c>
      <c r="AA169" s="20" t="s">
        <v>333</v>
      </c>
      <c r="AB169" s="20" t="s">
        <v>333</v>
      </c>
      <c r="AC169" s="20"/>
      <c r="AD169" s="20" t="s">
        <v>333</v>
      </c>
      <c r="AE169" s="20" t="s">
        <v>333</v>
      </c>
      <c r="AF169" s="20" t="s">
        <v>333</v>
      </c>
      <c r="AG169" s="20" t="s">
        <v>344</v>
      </c>
      <c r="AH169" s="20" t="s">
        <v>344</v>
      </c>
      <c r="AI169" s="20" t="s">
        <v>333</v>
      </c>
      <c r="AJ169" s="20"/>
      <c r="AK169" s="20" t="s">
        <v>1244</v>
      </c>
      <c r="AL169" s="20" t="s">
        <v>348</v>
      </c>
      <c r="AM169" s="20" t="s">
        <v>1244</v>
      </c>
      <c r="AN169" s="20" t="s">
        <v>349</v>
      </c>
      <c r="AO169" s="20"/>
      <c r="AP169" s="20" t="s">
        <v>1682</v>
      </c>
      <c r="AQ169" s="20" t="s">
        <v>1556</v>
      </c>
      <c r="AR169" s="20"/>
      <c r="AS169" s="20"/>
    </row>
    <row r="170">
      <c r="A170" s="20" t="s">
        <v>2714</v>
      </c>
      <c r="B170" s="20" t="s">
        <v>1629</v>
      </c>
      <c r="C170" s="20" t="s">
        <v>1630</v>
      </c>
      <c r="D170" s="20" t="s">
        <v>1631</v>
      </c>
      <c r="E170" s="20" t="s">
        <v>49</v>
      </c>
      <c r="F170" s="29" t="s">
        <v>69</v>
      </c>
      <c r="G170" s="29" t="s">
        <v>69</v>
      </c>
      <c r="H170" s="20" t="s">
        <v>1608</v>
      </c>
      <c r="I170" s="20" t="s">
        <v>1609</v>
      </c>
      <c r="J170" s="20" t="s">
        <v>74</v>
      </c>
      <c r="K170" s="20" t="s">
        <v>55</v>
      </c>
      <c r="L170" s="20" t="s">
        <v>56</v>
      </c>
      <c r="M170" s="20" t="s">
        <v>57</v>
      </c>
      <c r="N170" s="20" t="s">
        <v>333</v>
      </c>
      <c r="O170" s="20" t="s">
        <v>1941</v>
      </c>
      <c r="P170" s="20" t="s">
        <v>2717</v>
      </c>
      <c r="Q170" s="20" t="s">
        <v>59</v>
      </c>
      <c r="R170" s="20" t="s">
        <v>333</v>
      </c>
      <c r="S170" s="20" t="s">
        <v>333</v>
      </c>
      <c r="T170" s="20" t="s">
        <v>1634</v>
      </c>
      <c r="U170" s="20"/>
      <c r="V170" s="20" t="s">
        <v>344</v>
      </c>
      <c r="W170" s="20" t="s">
        <v>333</v>
      </c>
      <c r="X170" s="20" t="s">
        <v>333</v>
      </c>
      <c r="Y170" s="20" t="s">
        <v>333</v>
      </c>
      <c r="Z170" s="20" t="s">
        <v>333</v>
      </c>
      <c r="AA170" s="20" t="s">
        <v>333</v>
      </c>
      <c r="AB170" s="20" t="s">
        <v>333</v>
      </c>
      <c r="AC170" s="20"/>
      <c r="AD170" s="20" t="s">
        <v>333</v>
      </c>
      <c r="AE170" s="20" t="s">
        <v>333</v>
      </c>
      <c r="AF170" s="20" t="s">
        <v>333</v>
      </c>
      <c r="AG170" s="20" t="s">
        <v>344</v>
      </c>
      <c r="AH170" s="20" t="s">
        <v>344</v>
      </c>
      <c r="AI170" s="20" t="s">
        <v>333</v>
      </c>
      <c r="AJ170" s="20"/>
      <c r="AK170" s="20" t="s">
        <v>1244</v>
      </c>
      <c r="AL170" s="20" t="s">
        <v>1998</v>
      </c>
      <c r="AM170" s="20" t="s">
        <v>1244</v>
      </c>
      <c r="AN170" s="20" t="s">
        <v>349</v>
      </c>
      <c r="AO170" s="20"/>
      <c r="AP170" s="20" t="s">
        <v>1941</v>
      </c>
      <c r="AQ170" s="20" t="s">
        <v>2717</v>
      </c>
      <c r="AR170" s="20"/>
      <c r="AS170" s="20"/>
    </row>
    <row r="171">
      <c r="A171" s="20" t="s">
        <v>2718</v>
      </c>
      <c r="B171" s="20" t="s">
        <v>1190</v>
      </c>
      <c r="C171" s="20" t="s">
        <v>1191</v>
      </c>
      <c r="D171" s="20"/>
      <c r="E171" s="20" t="s">
        <v>49</v>
      </c>
      <c r="F171" s="80" t="s">
        <v>2719</v>
      </c>
      <c r="G171" s="81" t="s">
        <v>2720</v>
      </c>
      <c r="H171" s="20" t="s">
        <v>72</v>
      </c>
      <c r="I171" s="20" t="s">
        <v>73</v>
      </c>
      <c r="J171" s="20" t="s">
        <v>74</v>
      </c>
      <c r="K171" s="20" t="s">
        <v>55</v>
      </c>
      <c r="L171" s="20" t="s">
        <v>56</v>
      </c>
      <c r="M171" s="20" t="s">
        <v>57</v>
      </c>
      <c r="N171" s="20" t="s">
        <v>333</v>
      </c>
      <c r="O171" s="20" t="s">
        <v>1682</v>
      </c>
      <c r="P171" s="20" t="s">
        <v>1239</v>
      </c>
      <c r="Q171" s="20" t="s">
        <v>59</v>
      </c>
      <c r="R171" s="20" t="s">
        <v>333</v>
      </c>
      <c r="S171" s="20" t="s">
        <v>333</v>
      </c>
      <c r="T171" s="20"/>
      <c r="U171" s="20"/>
      <c r="V171" s="20" t="s">
        <v>344</v>
      </c>
      <c r="W171" s="20" t="s">
        <v>333</v>
      </c>
      <c r="X171" s="20" t="s">
        <v>333</v>
      </c>
      <c r="Y171" s="20" t="s">
        <v>333</v>
      </c>
      <c r="Z171" s="20" t="s">
        <v>333</v>
      </c>
      <c r="AA171" s="20" t="s">
        <v>333</v>
      </c>
      <c r="AB171" s="20" t="s">
        <v>333</v>
      </c>
      <c r="AC171" s="20"/>
      <c r="AD171" s="20" t="s">
        <v>333</v>
      </c>
      <c r="AE171" s="20" t="s">
        <v>333</v>
      </c>
      <c r="AF171" s="20" t="s">
        <v>333</v>
      </c>
      <c r="AG171" s="20" t="s">
        <v>344</v>
      </c>
      <c r="AH171" s="20" t="s">
        <v>344</v>
      </c>
      <c r="AI171" s="20" t="s">
        <v>333</v>
      </c>
      <c r="AJ171" s="20"/>
      <c r="AK171" s="20" t="s">
        <v>1760</v>
      </c>
      <c r="AL171" s="20" t="s">
        <v>1717</v>
      </c>
      <c r="AM171" s="20" t="s">
        <v>1760</v>
      </c>
      <c r="AN171" s="20" t="s">
        <v>349</v>
      </c>
      <c r="AO171" s="20"/>
      <c r="AP171" s="20" t="s">
        <v>1682</v>
      </c>
      <c r="AQ171" s="20" t="s">
        <v>1239</v>
      </c>
      <c r="AR171" s="20"/>
      <c r="AS171" s="20"/>
    </row>
    <row r="172">
      <c r="A172" s="20" t="s">
        <v>2724</v>
      </c>
      <c r="B172" s="20" t="s">
        <v>1350</v>
      </c>
      <c r="C172" s="20" t="s">
        <v>1351</v>
      </c>
      <c r="D172" s="20" t="s">
        <v>1352</v>
      </c>
      <c r="E172" s="20" t="s">
        <v>49</v>
      </c>
      <c r="F172" s="80" t="s">
        <v>2725</v>
      </c>
      <c r="G172" s="82">
        <v>9.818331844E9</v>
      </c>
      <c r="H172" s="20" t="s">
        <v>303</v>
      </c>
      <c r="I172" s="20" t="s">
        <v>303</v>
      </c>
      <c r="J172" s="20" t="s">
        <v>74</v>
      </c>
      <c r="K172" s="20" t="s">
        <v>55</v>
      </c>
      <c r="L172" s="20" t="s">
        <v>56</v>
      </c>
      <c r="M172" s="20" t="s">
        <v>57</v>
      </c>
      <c r="N172" s="20" t="s">
        <v>333</v>
      </c>
      <c r="O172" s="20" t="s">
        <v>2727</v>
      </c>
      <c r="P172" s="20" t="s">
        <v>2728</v>
      </c>
      <c r="Q172" s="20" t="s">
        <v>59</v>
      </c>
      <c r="R172" s="20" t="s">
        <v>333</v>
      </c>
      <c r="S172" s="20" t="s">
        <v>333</v>
      </c>
      <c r="T172" s="20" t="s">
        <v>2729</v>
      </c>
      <c r="U172" s="20"/>
      <c r="V172" s="20" t="s">
        <v>344</v>
      </c>
      <c r="W172" s="20" t="s">
        <v>333</v>
      </c>
      <c r="X172" s="20" t="s">
        <v>333</v>
      </c>
      <c r="Y172" s="20" t="s">
        <v>333</v>
      </c>
      <c r="Z172" s="20" t="s">
        <v>333</v>
      </c>
      <c r="AA172" s="20" t="s">
        <v>333</v>
      </c>
      <c r="AB172" s="20" t="s">
        <v>333</v>
      </c>
      <c r="AC172" s="20"/>
      <c r="AD172" s="20" t="s">
        <v>333</v>
      </c>
      <c r="AE172" s="20" t="s">
        <v>333</v>
      </c>
      <c r="AF172" s="20" t="s">
        <v>333</v>
      </c>
      <c r="AG172" s="20" t="s">
        <v>344</v>
      </c>
      <c r="AH172" s="20" t="s">
        <v>344</v>
      </c>
      <c r="AI172" s="20" t="s">
        <v>333</v>
      </c>
      <c r="AJ172" s="20"/>
      <c r="AK172" s="20" t="s">
        <v>2001</v>
      </c>
      <c r="AL172" s="20" t="s">
        <v>349</v>
      </c>
      <c r="AM172" s="20" t="s">
        <v>2001</v>
      </c>
      <c r="AN172" s="20" t="s">
        <v>349</v>
      </c>
      <c r="AO172" s="20"/>
      <c r="AP172" s="20" t="s">
        <v>2727</v>
      </c>
      <c r="AQ172" s="20" t="s">
        <v>2728</v>
      </c>
      <c r="AR172" s="20"/>
      <c r="AS172" s="20"/>
    </row>
    <row r="173">
      <c r="A173" s="32" t="s">
        <v>2730</v>
      </c>
      <c r="B173" s="32" t="s">
        <v>363</v>
      </c>
      <c r="C173" s="32" t="s">
        <v>365</v>
      </c>
      <c r="D173" s="52" t="s">
        <v>2731</v>
      </c>
      <c r="E173" s="32" t="s">
        <v>49</v>
      </c>
      <c r="F173" s="32" t="s">
        <v>2732</v>
      </c>
      <c r="G173" s="32" t="s">
        <v>375</v>
      </c>
      <c r="H173" s="32" t="s">
        <v>376</v>
      </c>
      <c r="I173" s="32" t="s">
        <v>377</v>
      </c>
      <c r="J173" s="32" t="s">
        <v>377</v>
      </c>
      <c r="K173" s="32" t="s">
        <v>55</v>
      </c>
      <c r="L173" s="32" t="s">
        <v>56</v>
      </c>
      <c r="M173" s="32" t="s">
        <v>57</v>
      </c>
      <c r="N173" s="32" t="s">
        <v>333</v>
      </c>
      <c r="O173" s="32" t="s">
        <v>1920</v>
      </c>
      <c r="P173" s="32" t="s">
        <v>2005</v>
      </c>
      <c r="Q173" s="32" t="s">
        <v>59</v>
      </c>
      <c r="R173" s="32" t="s">
        <v>333</v>
      </c>
      <c r="S173" s="32" t="s">
        <v>333</v>
      </c>
      <c r="T173" s="32"/>
      <c r="U173" s="32"/>
      <c r="V173" s="32" t="s">
        <v>344</v>
      </c>
      <c r="W173" s="32" t="s">
        <v>333</v>
      </c>
      <c r="X173" s="32" t="s">
        <v>333</v>
      </c>
      <c r="Y173" s="32" t="s">
        <v>333</v>
      </c>
      <c r="Z173" s="32" t="s">
        <v>333</v>
      </c>
      <c r="AA173" s="32" t="s">
        <v>333</v>
      </c>
      <c r="AB173" s="32" t="s">
        <v>333</v>
      </c>
      <c r="AC173" s="32"/>
      <c r="AD173" s="32" t="s">
        <v>333</v>
      </c>
      <c r="AE173" s="32" t="s">
        <v>333</v>
      </c>
      <c r="AF173" s="32" t="s">
        <v>333</v>
      </c>
      <c r="AG173" s="32" t="s">
        <v>344</v>
      </c>
      <c r="AH173" s="32" t="s">
        <v>344</v>
      </c>
      <c r="AI173" s="32" t="s">
        <v>333</v>
      </c>
      <c r="AJ173" s="32"/>
      <c r="AK173" s="32" t="s">
        <v>1260</v>
      </c>
      <c r="AL173" s="32" t="s">
        <v>1556</v>
      </c>
      <c r="AM173" s="32" t="s">
        <v>1260</v>
      </c>
      <c r="AN173" s="32" t="s">
        <v>349</v>
      </c>
      <c r="AO173" s="32"/>
      <c r="AP173" s="32" t="s">
        <v>1920</v>
      </c>
      <c r="AQ173" s="32" t="s">
        <v>2005</v>
      </c>
      <c r="AR173" s="21" t="s">
        <v>1931</v>
      </c>
      <c r="AS173" s="21">
        <v>2.0</v>
      </c>
    </row>
    <row r="174">
      <c r="A174" s="20" t="s">
        <v>2736</v>
      </c>
      <c r="B174" s="20" t="s">
        <v>1516</v>
      </c>
      <c r="C174" s="20" t="s">
        <v>1517</v>
      </c>
      <c r="D174" s="20"/>
      <c r="E174" s="20" t="s">
        <v>49</v>
      </c>
      <c r="F174" s="80" t="s">
        <v>1519</v>
      </c>
      <c r="G174" s="81" t="s">
        <v>1521</v>
      </c>
      <c r="H174" s="20" t="s">
        <v>72</v>
      </c>
      <c r="I174" s="20" t="s">
        <v>73</v>
      </c>
      <c r="J174" s="20" t="s">
        <v>74</v>
      </c>
      <c r="K174" s="20" t="s">
        <v>55</v>
      </c>
      <c r="L174" s="20" t="s">
        <v>56</v>
      </c>
      <c r="M174" s="20" t="s">
        <v>57</v>
      </c>
      <c r="N174" s="20" t="s">
        <v>333</v>
      </c>
      <c r="O174" s="20" t="s">
        <v>1596</v>
      </c>
      <c r="P174" s="20" t="s">
        <v>1695</v>
      </c>
      <c r="Q174" s="20" t="s">
        <v>59</v>
      </c>
      <c r="R174" s="20" t="s">
        <v>333</v>
      </c>
      <c r="S174" s="20" t="s">
        <v>333</v>
      </c>
      <c r="T174" s="20"/>
      <c r="U174" s="20"/>
      <c r="V174" s="20" t="s">
        <v>344</v>
      </c>
      <c r="W174" s="20" t="s">
        <v>333</v>
      </c>
      <c r="X174" s="20" t="s">
        <v>333</v>
      </c>
      <c r="Y174" s="20" t="s">
        <v>333</v>
      </c>
      <c r="Z174" s="20" t="s">
        <v>333</v>
      </c>
      <c r="AA174" s="20" t="s">
        <v>333</v>
      </c>
      <c r="AB174" s="20" t="s">
        <v>333</v>
      </c>
      <c r="AC174" s="20"/>
      <c r="AD174" s="20" t="s">
        <v>333</v>
      </c>
      <c r="AE174" s="20" t="s">
        <v>333</v>
      </c>
      <c r="AF174" s="20" t="s">
        <v>333</v>
      </c>
      <c r="AG174" s="20" t="s">
        <v>344</v>
      </c>
      <c r="AH174" s="20" t="s">
        <v>344</v>
      </c>
      <c r="AI174" s="20" t="s">
        <v>333</v>
      </c>
      <c r="AJ174" s="20"/>
      <c r="AK174" s="20" t="s">
        <v>347</v>
      </c>
      <c r="AL174" s="20" t="s">
        <v>1673</v>
      </c>
      <c r="AM174" s="20" t="s">
        <v>347</v>
      </c>
      <c r="AN174" s="20" t="s">
        <v>349</v>
      </c>
      <c r="AO174" s="20"/>
      <c r="AP174" s="20" t="s">
        <v>1596</v>
      </c>
      <c r="AQ174" s="20" t="s">
        <v>1695</v>
      </c>
      <c r="AR174" s="20"/>
      <c r="AS174" s="20"/>
    </row>
    <row r="175">
      <c r="A175" s="20" t="s">
        <v>2738</v>
      </c>
      <c r="B175" s="20" t="s">
        <v>164</v>
      </c>
      <c r="C175" s="20" t="s">
        <v>165</v>
      </c>
      <c r="D175" s="20" t="s">
        <v>167</v>
      </c>
      <c r="E175" s="20" t="s">
        <v>49</v>
      </c>
      <c r="F175" s="29" t="s">
        <v>69</v>
      </c>
      <c r="G175" s="29" t="s">
        <v>69</v>
      </c>
      <c r="H175" s="20" t="s">
        <v>147</v>
      </c>
      <c r="I175" s="20" t="s">
        <v>148</v>
      </c>
      <c r="J175" s="20" t="s">
        <v>148</v>
      </c>
      <c r="K175" s="20" t="s">
        <v>55</v>
      </c>
      <c r="L175" s="20" t="s">
        <v>56</v>
      </c>
      <c r="M175" s="20" t="s">
        <v>57</v>
      </c>
      <c r="N175" s="20" t="s">
        <v>333</v>
      </c>
      <c r="O175" s="20" t="s">
        <v>334</v>
      </c>
      <c r="P175" s="20" t="s">
        <v>2400</v>
      </c>
      <c r="Q175" s="20" t="s">
        <v>59</v>
      </c>
      <c r="R175" s="20" t="s">
        <v>333</v>
      </c>
      <c r="S175" s="20" t="s">
        <v>333</v>
      </c>
      <c r="T175" s="20" t="s">
        <v>2742</v>
      </c>
      <c r="U175" s="20"/>
      <c r="V175" s="20" t="s">
        <v>344</v>
      </c>
      <c r="W175" s="20" t="s">
        <v>333</v>
      </c>
      <c r="X175" s="20" t="s">
        <v>333</v>
      </c>
      <c r="Y175" s="20" t="s">
        <v>333</v>
      </c>
      <c r="Z175" s="20" t="s">
        <v>333</v>
      </c>
      <c r="AA175" s="20" t="s">
        <v>333</v>
      </c>
      <c r="AB175" s="20" t="s">
        <v>333</v>
      </c>
      <c r="AC175" s="20"/>
      <c r="AD175" s="20" t="s">
        <v>333</v>
      </c>
      <c r="AE175" s="20" t="s">
        <v>333</v>
      </c>
      <c r="AF175" s="20" t="s">
        <v>333</v>
      </c>
      <c r="AG175" s="20" t="s">
        <v>344</v>
      </c>
      <c r="AH175" s="20" t="s">
        <v>344</v>
      </c>
      <c r="AI175" s="20" t="s">
        <v>333</v>
      </c>
      <c r="AJ175" s="20"/>
      <c r="AK175" s="20" t="s">
        <v>347</v>
      </c>
      <c r="AL175" s="20" t="s">
        <v>1261</v>
      </c>
      <c r="AM175" s="20" t="s">
        <v>347</v>
      </c>
      <c r="AN175" s="20" t="s">
        <v>349</v>
      </c>
      <c r="AO175" s="20"/>
      <c r="AP175" s="20" t="s">
        <v>334</v>
      </c>
      <c r="AQ175" s="20" t="s">
        <v>2400</v>
      </c>
      <c r="AR175" s="20"/>
      <c r="AS175" s="20"/>
    </row>
    <row r="176">
      <c r="A176" s="20" t="s">
        <v>2744</v>
      </c>
      <c r="B176" s="20" t="s">
        <v>2745</v>
      </c>
      <c r="C176" s="20" t="s">
        <v>2746</v>
      </c>
      <c r="D176" s="20" t="s">
        <v>2747</v>
      </c>
      <c r="E176" s="20" t="s">
        <v>49</v>
      </c>
      <c r="F176" s="29" t="s">
        <v>69</v>
      </c>
      <c r="G176" s="29" t="s">
        <v>69</v>
      </c>
      <c r="H176" s="20" t="s">
        <v>303</v>
      </c>
      <c r="I176" s="20" t="s">
        <v>303</v>
      </c>
      <c r="J176" s="20" t="s">
        <v>74</v>
      </c>
      <c r="K176" s="20" t="s">
        <v>55</v>
      </c>
      <c r="L176" s="20" t="s">
        <v>56</v>
      </c>
      <c r="M176" s="20" t="s">
        <v>57</v>
      </c>
      <c r="N176" s="20" t="s">
        <v>333</v>
      </c>
      <c r="O176" s="20" t="s">
        <v>1586</v>
      </c>
      <c r="P176" s="20" t="s">
        <v>1586</v>
      </c>
      <c r="Q176" s="20" t="s">
        <v>59</v>
      </c>
      <c r="R176" s="20" t="s">
        <v>333</v>
      </c>
      <c r="S176" s="20" t="s">
        <v>333</v>
      </c>
      <c r="T176" s="20" t="s">
        <v>2748</v>
      </c>
      <c r="U176" s="20"/>
      <c r="V176" s="20" t="s">
        <v>344</v>
      </c>
      <c r="W176" s="20" t="s">
        <v>333</v>
      </c>
      <c r="X176" s="20" t="s">
        <v>333</v>
      </c>
      <c r="Y176" s="20" t="s">
        <v>333</v>
      </c>
      <c r="Z176" s="20" t="s">
        <v>333</v>
      </c>
      <c r="AA176" s="20" t="s">
        <v>333</v>
      </c>
      <c r="AB176" s="20" t="s">
        <v>333</v>
      </c>
      <c r="AC176" s="20"/>
      <c r="AD176" s="20" t="s">
        <v>333</v>
      </c>
      <c r="AE176" s="20" t="s">
        <v>333</v>
      </c>
      <c r="AF176" s="20" t="s">
        <v>333</v>
      </c>
      <c r="AG176" s="20" t="s">
        <v>344</v>
      </c>
      <c r="AH176" s="20" t="s">
        <v>344</v>
      </c>
      <c r="AI176" s="20" t="s">
        <v>333</v>
      </c>
      <c r="AJ176" s="20"/>
      <c r="AK176" s="20" t="s">
        <v>347</v>
      </c>
      <c r="AL176" s="20" t="s">
        <v>349</v>
      </c>
      <c r="AM176" s="20" t="s">
        <v>347</v>
      </c>
      <c r="AN176" s="20" t="s">
        <v>349</v>
      </c>
      <c r="AO176" s="20"/>
      <c r="AP176" s="20" t="s">
        <v>1586</v>
      </c>
      <c r="AQ176" s="20" t="s">
        <v>1586</v>
      </c>
      <c r="AR176" s="20"/>
      <c r="AS176" s="20"/>
    </row>
    <row r="177">
      <c r="A177" s="20" t="s">
        <v>2751</v>
      </c>
      <c r="B177" s="20" t="s">
        <v>1305</v>
      </c>
      <c r="C177" s="20" t="s">
        <v>1306</v>
      </c>
      <c r="D177" s="20" t="s">
        <v>2753</v>
      </c>
      <c r="E177" s="20" t="s">
        <v>49</v>
      </c>
      <c r="F177" s="80" t="s">
        <v>2754</v>
      </c>
      <c r="G177" s="82">
        <v>9.999333781E9</v>
      </c>
      <c r="H177" s="20" t="s">
        <v>303</v>
      </c>
      <c r="I177" s="20" t="s">
        <v>303</v>
      </c>
      <c r="J177" s="20" t="s">
        <v>74</v>
      </c>
      <c r="K177" s="20" t="s">
        <v>55</v>
      </c>
      <c r="L177" s="20" t="s">
        <v>56</v>
      </c>
      <c r="M177" s="20" t="s">
        <v>57</v>
      </c>
      <c r="N177" s="20" t="s">
        <v>333</v>
      </c>
      <c r="O177" s="20" t="s">
        <v>1245</v>
      </c>
      <c r="P177" s="20" t="s">
        <v>2051</v>
      </c>
      <c r="Q177" s="20" t="s">
        <v>59</v>
      </c>
      <c r="R177" s="20" t="s">
        <v>333</v>
      </c>
      <c r="S177" s="20" t="s">
        <v>333</v>
      </c>
      <c r="T177" s="20" t="s">
        <v>948</v>
      </c>
      <c r="U177" s="20"/>
      <c r="V177" s="20" t="s">
        <v>344</v>
      </c>
      <c r="W177" s="20" t="s">
        <v>333</v>
      </c>
      <c r="X177" s="20" t="s">
        <v>333</v>
      </c>
      <c r="Y177" s="20" t="s">
        <v>333</v>
      </c>
      <c r="Z177" s="20" t="s">
        <v>333</v>
      </c>
      <c r="AA177" s="20" t="s">
        <v>333</v>
      </c>
      <c r="AB177" s="20" t="s">
        <v>333</v>
      </c>
      <c r="AC177" s="20"/>
      <c r="AD177" s="20" t="s">
        <v>333</v>
      </c>
      <c r="AE177" s="20" t="s">
        <v>333</v>
      </c>
      <c r="AF177" s="20" t="s">
        <v>333</v>
      </c>
      <c r="AG177" s="20" t="s">
        <v>344</v>
      </c>
      <c r="AH177" s="20" t="s">
        <v>344</v>
      </c>
      <c r="AI177" s="20" t="s">
        <v>333</v>
      </c>
      <c r="AJ177" s="20"/>
      <c r="AK177" s="20" t="s">
        <v>347</v>
      </c>
      <c r="AL177" s="20" t="s">
        <v>1673</v>
      </c>
      <c r="AM177" s="20" t="s">
        <v>347</v>
      </c>
      <c r="AN177" s="20" t="s">
        <v>349</v>
      </c>
      <c r="AO177" s="20"/>
      <c r="AP177" s="20" t="s">
        <v>1245</v>
      </c>
      <c r="AQ177" s="20" t="s">
        <v>2051</v>
      </c>
      <c r="AR177" s="20"/>
      <c r="AS177" s="20"/>
    </row>
    <row r="178">
      <c r="A178" s="20" t="s">
        <v>2759</v>
      </c>
      <c r="B178" s="20" t="s">
        <v>779</v>
      </c>
      <c r="C178" s="20" t="s">
        <v>780</v>
      </c>
      <c r="D178" s="20" t="s">
        <v>781</v>
      </c>
      <c r="E178" s="20" t="s">
        <v>49</v>
      </c>
      <c r="F178" s="80" t="s">
        <v>2760</v>
      </c>
      <c r="G178" s="29">
        <v>9.560288633E9</v>
      </c>
      <c r="H178" s="20" t="s">
        <v>784</v>
      </c>
      <c r="I178" s="20" t="s">
        <v>785</v>
      </c>
      <c r="J178" s="20" t="s">
        <v>785</v>
      </c>
      <c r="K178" s="20" t="s">
        <v>55</v>
      </c>
      <c r="L178" s="20" t="s">
        <v>56</v>
      </c>
      <c r="M178" s="20" t="s">
        <v>57</v>
      </c>
      <c r="N178" s="20" t="s">
        <v>333</v>
      </c>
      <c r="O178" s="20" t="s">
        <v>1269</v>
      </c>
      <c r="P178" s="20" t="s">
        <v>1261</v>
      </c>
      <c r="Q178" s="20" t="s">
        <v>59</v>
      </c>
      <c r="R178" s="20" t="s">
        <v>333</v>
      </c>
      <c r="S178" s="20" t="s">
        <v>333</v>
      </c>
      <c r="T178" s="20" t="s">
        <v>2762</v>
      </c>
      <c r="U178" s="20"/>
      <c r="V178" s="20" t="s">
        <v>344</v>
      </c>
      <c r="W178" s="20" t="s">
        <v>333</v>
      </c>
      <c r="X178" s="20" t="s">
        <v>333</v>
      </c>
      <c r="Y178" s="20" t="s">
        <v>333</v>
      </c>
      <c r="Z178" s="20" t="s">
        <v>333</v>
      </c>
      <c r="AA178" s="20" t="s">
        <v>333</v>
      </c>
      <c r="AB178" s="20" t="s">
        <v>333</v>
      </c>
      <c r="AC178" s="20"/>
      <c r="AD178" s="20" t="s">
        <v>333</v>
      </c>
      <c r="AE178" s="20" t="s">
        <v>333</v>
      </c>
      <c r="AF178" s="20" t="s">
        <v>333</v>
      </c>
      <c r="AG178" s="20" t="s">
        <v>344</v>
      </c>
      <c r="AH178" s="20" t="s">
        <v>344</v>
      </c>
      <c r="AI178" s="20" t="s">
        <v>333</v>
      </c>
      <c r="AJ178" s="20"/>
      <c r="AK178" s="20" t="s">
        <v>1595</v>
      </c>
      <c r="AL178" s="20" t="s">
        <v>1717</v>
      </c>
      <c r="AM178" s="20" t="s">
        <v>1595</v>
      </c>
      <c r="AN178" s="20" t="s">
        <v>349</v>
      </c>
      <c r="AO178" s="20" t="s">
        <v>792</v>
      </c>
      <c r="AP178" s="20" t="s">
        <v>1269</v>
      </c>
      <c r="AQ178" s="20" t="s">
        <v>1261</v>
      </c>
      <c r="AR178" s="20"/>
      <c r="AS178" s="20"/>
    </row>
    <row r="179">
      <c r="A179" s="20" t="s">
        <v>2763</v>
      </c>
      <c r="B179" s="20" t="s">
        <v>518</v>
      </c>
      <c r="C179" s="20" t="s">
        <v>519</v>
      </c>
      <c r="D179" s="20"/>
      <c r="E179" s="20" t="s">
        <v>49</v>
      </c>
      <c r="F179" s="29" t="s">
        <v>69</v>
      </c>
      <c r="G179" s="29" t="s">
        <v>69</v>
      </c>
      <c r="H179" s="20" t="s">
        <v>521</v>
      </c>
      <c r="I179" s="20" t="s">
        <v>522</v>
      </c>
      <c r="J179" s="20" t="s">
        <v>522</v>
      </c>
      <c r="K179" s="20" t="s">
        <v>55</v>
      </c>
      <c r="L179" s="20" t="s">
        <v>56</v>
      </c>
      <c r="M179" s="20" t="s">
        <v>57</v>
      </c>
      <c r="N179" s="20" t="s">
        <v>333</v>
      </c>
      <c r="O179" s="20" t="s">
        <v>1556</v>
      </c>
      <c r="P179" s="20" t="s">
        <v>1586</v>
      </c>
      <c r="Q179" s="20" t="s">
        <v>59</v>
      </c>
      <c r="R179" s="20" t="s">
        <v>333</v>
      </c>
      <c r="S179" s="20" t="s">
        <v>333</v>
      </c>
      <c r="T179" s="20"/>
      <c r="U179" s="20"/>
      <c r="V179" s="20" t="s">
        <v>344</v>
      </c>
      <c r="W179" s="20" t="s">
        <v>333</v>
      </c>
      <c r="X179" s="20" t="s">
        <v>333</v>
      </c>
      <c r="Y179" s="20" t="s">
        <v>333</v>
      </c>
      <c r="Z179" s="20" t="s">
        <v>333</v>
      </c>
      <c r="AA179" s="20" t="s">
        <v>333</v>
      </c>
      <c r="AB179" s="20" t="s">
        <v>333</v>
      </c>
      <c r="AC179" s="20"/>
      <c r="AD179" s="20" t="s">
        <v>333</v>
      </c>
      <c r="AE179" s="20" t="s">
        <v>333</v>
      </c>
      <c r="AF179" s="20" t="s">
        <v>333</v>
      </c>
      <c r="AG179" s="20" t="s">
        <v>344</v>
      </c>
      <c r="AH179" s="20" t="s">
        <v>344</v>
      </c>
      <c r="AI179" s="20" t="s">
        <v>333</v>
      </c>
      <c r="AJ179" s="20"/>
      <c r="AK179" s="20" t="s">
        <v>1260</v>
      </c>
      <c r="AL179" s="20" t="s">
        <v>1596</v>
      </c>
      <c r="AM179" s="20" t="s">
        <v>1260</v>
      </c>
      <c r="AN179" s="20" t="s">
        <v>349</v>
      </c>
      <c r="AO179" s="20"/>
      <c r="AP179" s="20" t="s">
        <v>1556</v>
      </c>
      <c r="AQ179" s="20" t="s">
        <v>1586</v>
      </c>
      <c r="AR179" s="20"/>
      <c r="AS179" s="20"/>
    </row>
    <row r="180">
      <c r="A180" s="32" t="s">
        <v>2766</v>
      </c>
      <c r="B180" s="32" t="s">
        <v>2767</v>
      </c>
      <c r="C180" s="32" t="s">
        <v>1610</v>
      </c>
      <c r="D180" s="48" t="s">
        <v>2768</v>
      </c>
      <c r="E180" s="32" t="s">
        <v>49</v>
      </c>
      <c r="F180" s="32" t="s">
        <v>2769</v>
      </c>
      <c r="G180" s="32" t="s">
        <v>2770</v>
      </c>
      <c r="H180" s="32" t="s">
        <v>72</v>
      </c>
      <c r="I180" s="32" t="s">
        <v>73</v>
      </c>
      <c r="J180" s="32" t="s">
        <v>74</v>
      </c>
      <c r="K180" s="32" t="s">
        <v>55</v>
      </c>
      <c r="L180" s="32" t="s">
        <v>56</v>
      </c>
      <c r="M180" s="32" t="s">
        <v>57</v>
      </c>
      <c r="N180" s="32" t="s">
        <v>333</v>
      </c>
      <c r="O180" s="32" t="s">
        <v>1586</v>
      </c>
      <c r="P180" s="32" t="s">
        <v>348</v>
      </c>
      <c r="Q180" s="32" t="s">
        <v>59</v>
      </c>
      <c r="R180" s="32" t="s">
        <v>333</v>
      </c>
      <c r="S180" s="32" t="s">
        <v>333</v>
      </c>
      <c r="T180" s="32"/>
      <c r="U180" s="32"/>
      <c r="V180" s="32" t="s">
        <v>344</v>
      </c>
      <c r="W180" s="32" t="s">
        <v>333</v>
      </c>
      <c r="X180" s="32" t="s">
        <v>333</v>
      </c>
      <c r="Y180" s="32" t="s">
        <v>333</v>
      </c>
      <c r="Z180" s="32" t="s">
        <v>333</v>
      </c>
      <c r="AA180" s="32" t="s">
        <v>333</v>
      </c>
      <c r="AB180" s="32" t="s">
        <v>333</v>
      </c>
      <c r="AC180" s="32"/>
      <c r="AD180" s="32" t="s">
        <v>333</v>
      </c>
      <c r="AE180" s="32" t="s">
        <v>333</v>
      </c>
      <c r="AF180" s="32" t="s">
        <v>333</v>
      </c>
      <c r="AG180" s="32" t="s">
        <v>344</v>
      </c>
      <c r="AH180" s="32" t="s">
        <v>344</v>
      </c>
      <c r="AI180" s="32" t="s">
        <v>333</v>
      </c>
      <c r="AJ180" s="32"/>
      <c r="AK180" s="32" t="s">
        <v>1244</v>
      </c>
      <c r="AL180" s="32" t="s">
        <v>1245</v>
      </c>
      <c r="AM180" s="32" t="s">
        <v>1244</v>
      </c>
      <c r="AN180" s="32" t="s">
        <v>349</v>
      </c>
      <c r="AO180" s="32"/>
      <c r="AP180" s="32" t="s">
        <v>1586</v>
      </c>
      <c r="AQ180" s="32" t="s">
        <v>348</v>
      </c>
      <c r="AR180" s="21" t="s">
        <v>1931</v>
      </c>
      <c r="AS180" s="21">
        <v>2.0</v>
      </c>
    </row>
    <row r="181">
      <c r="A181" s="20" t="s">
        <v>2771</v>
      </c>
      <c r="B181" s="20" t="s">
        <v>915</v>
      </c>
      <c r="C181" s="20" t="s">
        <v>917</v>
      </c>
      <c r="D181" s="20"/>
      <c r="E181" s="20" t="s">
        <v>49</v>
      </c>
      <c r="F181" s="51" t="s">
        <v>2772</v>
      </c>
      <c r="G181" s="75" t="s">
        <v>2777</v>
      </c>
      <c r="H181" s="20" t="s">
        <v>513</v>
      </c>
      <c r="I181" s="20" t="s">
        <v>514</v>
      </c>
      <c r="J181" s="20" t="s">
        <v>74</v>
      </c>
      <c r="K181" s="20" t="s">
        <v>55</v>
      </c>
      <c r="L181" s="20" t="s">
        <v>56</v>
      </c>
      <c r="M181" s="20" t="s">
        <v>57</v>
      </c>
      <c r="N181" s="20" t="s">
        <v>333</v>
      </c>
      <c r="O181" s="20" t="s">
        <v>1591</v>
      </c>
      <c r="P181" s="20" t="s">
        <v>2262</v>
      </c>
      <c r="Q181" s="20" t="s">
        <v>59</v>
      </c>
      <c r="R181" s="20" t="s">
        <v>333</v>
      </c>
      <c r="S181" s="20" t="s">
        <v>333</v>
      </c>
      <c r="T181" s="20"/>
      <c r="U181" s="20"/>
      <c r="V181" s="20" t="s">
        <v>344</v>
      </c>
      <c r="W181" s="20" t="s">
        <v>333</v>
      </c>
      <c r="X181" s="20" t="s">
        <v>333</v>
      </c>
      <c r="Y181" s="20" t="s">
        <v>333</v>
      </c>
      <c r="Z181" s="20" t="s">
        <v>333</v>
      </c>
      <c r="AA181" s="20" t="s">
        <v>333</v>
      </c>
      <c r="AB181" s="20" t="s">
        <v>333</v>
      </c>
      <c r="AC181" s="20"/>
      <c r="AD181" s="20" t="s">
        <v>333</v>
      </c>
      <c r="AE181" s="20" t="s">
        <v>333</v>
      </c>
      <c r="AF181" s="20" t="s">
        <v>333</v>
      </c>
      <c r="AG181" s="20" t="s">
        <v>344</v>
      </c>
      <c r="AH181" s="20" t="s">
        <v>344</v>
      </c>
      <c r="AI181" s="20" t="s">
        <v>333</v>
      </c>
      <c r="AJ181" s="20"/>
      <c r="AK181" s="20" t="s">
        <v>1717</v>
      </c>
      <c r="AL181" s="20" t="s">
        <v>1245</v>
      </c>
      <c r="AM181" s="20" t="s">
        <v>1717</v>
      </c>
      <c r="AN181" s="20" t="s">
        <v>349</v>
      </c>
      <c r="AO181" s="20"/>
      <c r="AP181" s="20" t="s">
        <v>1591</v>
      </c>
      <c r="AQ181" s="20" t="s">
        <v>2262</v>
      </c>
      <c r="AR181" s="20"/>
      <c r="AS181" s="20"/>
    </row>
    <row r="182">
      <c r="A182" s="20" t="s">
        <v>2779</v>
      </c>
      <c r="B182" s="20" t="s">
        <v>1338</v>
      </c>
      <c r="C182" s="20" t="s">
        <v>1339</v>
      </c>
      <c r="D182" s="20" t="s">
        <v>1340</v>
      </c>
      <c r="E182" s="20" t="s">
        <v>49</v>
      </c>
      <c r="F182" s="80" t="s">
        <v>2780</v>
      </c>
      <c r="G182" s="82">
        <v>9.18527294335E11</v>
      </c>
      <c r="H182" s="20" t="s">
        <v>303</v>
      </c>
      <c r="I182" s="20" t="s">
        <v>303</v>
      </c>
      <c r="J182" s="20" t="s">
        <v>74</v>
      </c>
      <c r="K182" s="20" t="s">
        <v>55</v>
      </c>
      <c r="L182" s="20" t="s">
        <v>56</v>
      </c>
      <c r="M182" s="20" t="s">
        <v>57</v>
      </c>
      <c r="N182" s="20" t="s">
        <v>333</v>
      </c>
      <c r="O182" s="20" t="s">
        <v>1559</v>
      </c>
      <c r="P182" s="20" t="s">
        <v>2005</v>
      </c>
      <c r="Q182" s="20" t="s">
        <v>59</v>
      </c>
      <c r="R182" s="20" t="s">
        <v>333</v>
      </c>
      <c r="S182" s="20" t="s">
        <v>333</v>
      </c>
      <c r="T182" s="20" t="s">
        <v>2781</v>
      </c>
      <c r="U182" s="20"/>
      <c r="V182" s="20" t="s">
        <v>344</v>
      </c>
      <c r="W182" s="20" t="s">
        <v>333</v>
      </c>
      <c r="X182" s="20" t="s">
        <v>333</v>
      </c>
      <c r="Y182" s="20" t="s">
        <v>333</v>
      </c>
      <c r="Z182" s="20" t="s">
        <v>333</v>
      </c>
      <c r="AA182" s="20" t="s">
        <v>333</v>
      </c>
      <c r="AB182" s="20" t="s">
        <v>333</v>
      </c>
      <c r="AC182" s="20"/>
      <c r="AD182" s="20" t="s">
        <v>333</v>
      </c>
      <c r="AE182" s="20" t="s">
        <v>333</v>
      </c>
      <c r="AF182" s="20" t="s">
        <v>333</v>
      </c>
      <c r="AG182" s="20" t="s">
        <v>344</v>
      </c>
      <c r="AH182" s="20" t="s">
        <v>344</v>
      </c>
      <c r="AI182" s="20" t="s">
        <v>333</v>
      </c>
      <c r="AJ182" s="20"/>
      <c r="AK182" s="20" t="s">
        <v>349</v>
      </c>
      <c r="AL182" s="20" t="s">
        <v>349</v>
      </c>
      <c r="AM182" s="20" t="s">
        <v>349</v>
      </c>
      <c r="AN182" s="20" t="s">
        <v>349</v>
      </c>
      <c r="AO182" s="20"/>
      <c r="AP182" s="20" t="s">
        <v>1559</v>
      </c>
      <c r="AQ182" s="20" t="s">
        <v>2005</v>
      </c>
      <c r="AR182" s="20"/>
      <c r="AS182" s="20"/>
    </row>
    <row r="183">
      <c r="A183" s="20" t="s">
        <v>2782</v>
      </c>
      <c r="B183" s="20" t="s">
        <v>1469</v>
      </c>
      <c r="C183" s="20" t="s">
        <v>1470</v>
      </c>
      <c r="D183" s="20"/>
      <c r="E183" s="20" t="s">
        <v>49</v>
      </c>
      <c r="F183" s="80" t="s">
        <v>2783</v>
      </c>
      <c r="G183" s="71" t="s">
        <v>2784</v>
      </c>
      <c r="H183" s="20" t="s">
        <v>1475</v>
      </c>
      <c r="I183" s="20" t="s">
        <v>1476</v>
      </c>
      <c r="J183" s="20" t="s">
        <v>74</v>
      </c>
      <c r="K183" s="20" t="s">
        <v>55</v>
      </c>
      <c r="L183" s="20" t="s">
        <v>56</v>
      </c>
      <c r="M183" s="20" t="s">
        <v>57</v>
      </c>
      <c r="N183" s="20" t="s">
        <v>333</v>
      </c>
      <c r="O183" s="20" t="s">
        <v>1559</v>
      </c>
      <c r="P183" s="20" t="s">
        <v>1586</v>
      </c>
      <c r="Q183" s="20" t="s">
        <v>59</v>
      </c>
      <c r="R183" s="20" t="s">
        <v>333</v>
      </c>
      <c r="S183" s="20" t="s">
        <v>333</v>
      </c>
      <c r="T183" s="20"/>
      <c r="U183" s="20"/>
      <c r="V183" s="20" t="s">
        <v>344</v>
      </c>
      <c r="W183" s="20" t="s">
        <v>333</v>
      </c>
      <c r="X183" s="20" t="s">
        <v>333</v>
      </c>
      <c r="Y183" s="20" t="s">
        <v>333</v>
      </c>
      <c r="Z183" s="20" t="s">
        <v>333</v>
      </c>
      <c r="AA183" s="20" t="s">
        <v>333</v>
      </c>
      <c r="AB183" s="20" t="s">
        <v>333</v>
      </c>
      <c r="AC183" s="20"/>
      <c r="AD183" s="20" t="s">
        <v>333</v>
      </c>
      <c r="AE183" s="20" t="s">
        <v>333</v>
      </c>
      <c r="AF183" s="20" t="s">
        <v>333</v>
      </c>
      <c r="AG183" s="20" t="s">
        <v>344</v>
      </c>
      <c r="AH183" s="20" t="s">
        <v>344</v>
      </c>
      <c r="AI183" s="20" t="s">
        <v>333</v>
      </c>
      <c r="AJ183" s="20"/>
      <c r="AK183" s="20" t="s">
        <v>347</v>
      </c>
      <c r="AL183" s="20" t="s">
        <v>347</v>
      </c>
      <c r="AM183" s="20" t="s">
        <v>347</v>
      </c>
      <c r="AN183" s="20" t="s">
        <v>349</v>
      </c>
      <c r="AO183" s="20"/>
      <c r="AP183" s="20" t="s">
        <v>1559</v>
      </c>
      <c r="AQ183" s="20" t="s">
        <v>1586</v>
      </c>
      <c r="AR183" s="20"/>
      <c r="AS183" s="20"/>
    </row>
    <row r="184">
      <c r="A184" s="20" t="s">
        <v>2785</v>
      </c>
      <c r="B184" s="20" t="s">
        <v>2786</v>
      </c>
      <c r="C184" s="20" t="s">
        <v>2787</v>
      </c>
      <c r="D184" s="20" t="s">
        <v>2788</v>
      </c>
      <c r="E184" s="20" t="s">
        <v>49</v>
      </c>
      <c r="F184" s="29" t="s">
        <v>69</v>
      </c>
      <c r="G184" s="29" t="s">
        <v>69</v>
      </c>
      <c r="H184" s="20" t="s">
        <v>303</v>
      </c>
      <c r="I184" s="20" t="s">
        <v>303</v>
      </c>
      <c r="J184" s="20" t="s">
        <v>74</v>
      </c>
      <c r="K184" s="20" t="s">
        <v>55</v>
      </c>
      <c r="L184" s="20" t="s">
        <v>56</v>
      </c>
      <c r="M184" s="20" t="s">
        <v>57</v>
      </c>
      <c r="N184" s="20" t="s">
        <v>333</v>
      </c>
      <c r="O184" s="20" t="s">
        <v>1720</v>
      </c>
      <c r="P184" s="20" t="s">
        <v>1688</v>
      </c>
      <c r="Q184" s="20" t="s">
        <v>59</v>
      </c>
      <c r="R184" s="20" t="s">
        <v>333</v>
      </c>
      <c r="S184" s="20" t="s">
        <v>333</v>
      </c>
      <c r="T184" s="20" t="s">
        <v>2789</v>
      </c>
      <c r="U184" s="20"/>
      <c r="V184" s="20" t="s">
        <v>344</v>
      </c>
      <c r="W184" s="20" t="s">
        <v>333</v>
      </c>
      <c r="X184" s="20" t="s">
        <v>333</v>
      </c>
      <c r="Y184" s="20" t="s">
        <v>333</v>
      </c>
      <c r="Z184" s="20" t="s">
        <v>333</v>
      </c>
      <c r="AA184" s="20" t="s">
        <v>333</v>
      </c>
      <c r="AB184" s="20" t="s">
        <v>333</v>
      </c>
      <c r="AC184" s="20"/>
      <c r="AD184" s="20" t="s">
        <v>333</v>
      </c>
      <c r="AE184" s="20" t="s">
        <v>333</v>
      </c>
      <c r="AF184" s="20" t="s">
        <v>333</v>
      </c>
      <c r="AG184" s="20" t="s">
        <v>344</v>
      </c>
      <c r="AH184" s="20" t="s">
        <v>344</v>
      </c>
      <c r="AI184" s="20" t="s">
        <v>333</v>
      </c>
      <c r="AJ184" s="20"/>
      <c r="AK184" s="20" t="s">
        <v>348</v>
      </c>
      <c r="AL184" s="20" t="s">
        <v>1663</v>
      </c>
      <c r="AM184" s="20" t="s">
        <v>348</v>
      </c>
      <c r="AN184" s="20" t="s">
        <v>349</v>
      </c>
      <c r="AO184" s="20"/>
      <c r="AP184" s="20" t="s">
        <v>1720</v>
      </c>
      <c r="AQ184" s="20" t="s">
        <v>1688</v>
      </c>
      <c r="AR184" s="20"/>
      <c r="AS184" s="20"/>
    </row>
    <row r="185">
      <c r="A185" s="20" t="s">
        <v>2794</v>
      </c>
      <c r="B185" s="20" t="s">
        <v>1145</v>
      </c>
      <c r="C185" s="20" t="s">
        <v>1146</v>
      </c>
      <c r="D185" s="20" t="s">
        <v>1147</v>
      </c>
      <c r="E185" s="20" t="s">
        <v>49</v>
      </c>
      <c r="F185" s="80" t="s">
        <v>2795</v>
      </c>
      <c r="G185" s="101" t="s">
        <v>2797</v>
      </c>
      <c r="H185" s="20" t="s">
        <v>303</v>
      </c>
      <c r="I185" s="20" t="s">
        <v>303</v>
      </c>
      <c r="J185" s="20" t="s">
        <v>74</v>
      </c>
      <c r="K185" s="20" t="s">
        <v>55</v>
      </c>
      <c r="L185" s="20" t="s">
        <v>56</v>
      </c>
      <c r="M185" s="20" t="s">
        <v>57</v>
      </c>
      <c r="N185" s="20" t="s">
        <v>333</v>
      </c>
      <c r="O185" s="20" t="s">
        <v>1556</v>
      </c>
      <c r="P185" s="20" t="s">
        <v>1564</v>
      </c>
      <c r="Q185" s="20" t="s">
        <v>59</v>
      </c>
      <c r="R185" s="20" t="s">
        <v>333</v>
      </c>
      <c r="S185" s="20" t="s">
        <v>333</v>
      </c>
      <c r="T185" s="20"/>
      <c r="U185" s="20"/>
      <c r="V185" s="20" t="s">
        <v>344</v>
      </c>
      <c r="W185" s="20" t="s">
        <v>333</v>
      </c>
      <c r="X185" s="20" t="s">
        <v>333</v>
      </c>
      <c r="Y185" s="20" t="s">
        <v>333</v>
      </c>
      <c r="Z185" s="20" t="s">
        <v>333</v>
      </c>
      <c r="AA185" s="20" t="s">
        <v>333</v>
      </c>
      <c r="AB185" s="20" t="s">
        <v>333</v>
      </c>
      <c r="AC185" s="20"/>
      <c r="AD185" s="20" t="s">
        <v>333</v>
      </c>
      <c r="AE185" s="20" t="s">
        <v>333</v>
      </c>
      <c r="AF185" s="20" t="s">
        <v>333</v>
      </c>
      <c r="AG185" s="20" t="s">
        <v>344</v>
      </c>
      <c r="AH185" s="20" t="s">
        <v>344</v>
      </c>
      <c r="AI185" s="20" t="s">
        <v>333</v>
      </c>
      <c r="AJ185" s="20"/>
      <c r="AK185" s="20" t="s">
        <v>349</v>
      </c>
      <c r="AL185" s="20" t="s">
        <v>349</v>
      </c>
      <c r="AM185" s="20" t="s">
        <v>349</v>
      </c>
      <c r="AN185" s="20" t="s">
        <v>349</v>
      </c>
      <c r="AO185" s="20"/>
      <c r="AP185" s="20" t="s">
        <v>1556</v>
      </c>
      <c r="AQ185" s="20" t="s">
        <v>1564</v>
      </c>
      <c r="AR185" s="20"/>
      <c r="AS185" s="20"/>
    </row>
    <row r="186">
      <c r="A186" s="20" t="s">
        <v>2798</v>
      </c>
      <c r="B186" s="20" t="s">
        <v>138</v>
      </c>
      <c r="C186" s="20" t="s">
        <v>140</v>
      </c>
      <c r="D186" s="20"/>
      <c r="E186" s="20" t="s">
        <v>49</v>
      </c>
      <c r="F186" s="80" t="s">
        <v>2799</v>
      </c>
      <c r="G186" s="71" t="s">
        <v>2800</v>
      </c>
      <c r="H186" s="20" t="s">
        <v>147</v>
      </c>
      <c r="I186" s="20" t="s">
        <v>148</v>
      </c>
      <c r="J186" s="20" t="s">
        <v>148</v>
      </c>
      <c r="K186" s="20" t="s">
        <v>55</v>
      </c>
      <c r="L186" s="20" t="s">
        <v>56</v>
      </c>
      <c r="M186" s="20" t="s">
        <v>57</v>
      </c>
      <c r="N186" s="20" t="s">
        <v>333</v>
      </c>
      <c r="O186" s="20" t="s">
        <v>1596</v>
      </c>
      <c r="P186" s="20" t="s">
        <v>1591</v>
      </c>
      <c r="Q186" s="20" t="s">
        <v>59</v>
      </c>
      <c r="R186" s="20" t="s">
        <v>333</v>
      </c>
      <c r="S186" s="20" t="s">
        <v>333</v>
      </c>
      <c r="T186" s="20"/>
      <c r="U186" s="20"/>
      <c r="V186" s="20" t="s">
        <v>344</v>
      </c>
      <c r="W186" s="20" t="s">
        <v>333</v>
      </c>
      <c r="X186" s="20" t="s">
        <v>333</v>
      </c>
      <c r="Y186" s="20" t="s">
        <v>333</v>
      </c>
      <c r="Z186" s="20" t="s">
        <v>333</v>
      </c>
      <c r="AA186" s="20" t="s">
        <v>333</v>
      </c>
      <c r="AB186" s="20" t="s">
        <v>333</v>
      </c>
      <c r="AC186" s="20"/>
      <c r="AD186" s="20" t="s">
        <v>333</v>
      </c>
      <c r="AE186" s="20" t="s">
        <v>333</v>
      </c>
      <c r="AF186" s="20" t="s">
        <v>333</v>
      </c>
      <c r="AG186" s="20" t="s">
        <v>344</v>
      </c>
      <c r="AH186" s="20" t="s">
        <v>344</v>
      </c>
      <c r="AI186" s="20" t="s">
        <v>333</v>
      </c>
      <c r="AJ186" s="20"/>
      <c r="AK186" s="20" t="s">
        <v>1595</v>
      </c>
      <c r="AL186" s="20" t="s">
        <v>1556</v>
      </c>
      <c r="AM186" s="20" t="s">
        <v>1595</v>
      </c>
      <c r="AN186" s="20" t="s">
        <v>349</v>
      </c>
      <c r="AO186" s="20"/>
      <c r="AP186" s="20" t="s">
        <v>1596</v>
      </c>
      <c r="AQ186" s="20" t="s">
        <v>1591</v>
      </c>
      <c r="AR186" s="20"/>
      <c r="AS186" s="20"/>
    </row>
    <row r="187">
      <c r="A187" s="32" t="s">
        <v>1581</v>
      </c>
      <c r="B187" s="32" t="s">
        <v>530</v>
      </c>
      <c r="C187" s="32" t="s">
        <v>531</v>
      </c>
      <c r="D187" s="48" t="s">
        <v>1779</v>
      </c>
      <c r="E187" s="32" t="s">
        <v>49</v>
      </c>
      <c r="F187" s="32" t="s">
        <v>534</v>
      </c>
      <c r="G187" s="32" t="s">
        <v>1781</v>
      </c>
      <c r="H187" s="32" t="s">
        <v>540</v>
      </c>
      <c r="I187" s="32" t="s">
        <v>541</v>
      </c>
      <c r="J187" s="32" t="s">
        <v>541</v>
      </c>
      <c r="K187" s="32" t="s">
        <v>55</v>
      </c>
      <c r="L187" s="32" t="s">
        <v>56</v>
      </c>
      <c r="M187" s="32" t="s">
        <v>57</v>
      </c>
      <c r="N187" s="32" t="s">
        <v>333</v>
      </c>
      <c r="O187" s="32" t="s">
        <v>335</v>
      </c>
      <c r="P187" s="32" t="s">
        <v>2287</v>
      </c>
      <c r="Q187" s="32" t="s">
        <v>59</v>
      </c>
      <c r="R187" s="32" t="s">
        <v>333</v>
      </c>
      <c r="S187" s="32" t="s">
        <v>333</v>
      </c>
      <c r="T187" s="32"/>
      <c r="U187" s="32"/>
      <c r="V187" s="32" t="s">
        <v>344</v>
      </c>
      <c r="W187" s="32" t="s">
        <v>333</v>
      </c>
      <c r="X187" s="32" t="s">
        <v>333</v>
      </c>
      <c r="Y187" s="32" t="s">
        <v>333</v>
      </c>
      <c r="Z187" s="32" t="s">
        <v>333</v>
      </c>
      <c r="AA187" s="32" t="s">
        <v>333</v>
      </c>
      <c r="AB187" s="32" t="s">
        <v>333</v>
      </c>
      <c r="AC187" s="32"/>
      <c r="AD187" s="32" t="s">
        <v>333</v>
      </c>
      <c r="AE187" s="32" t="s">
        <v>333</v>
      </c>
      <c r="AF187" s="32" t="s">
        <v>333</v>
      </c>
      <c r="AG187" s="32" t="s">
        <v>344</v>
      </c>
      <c r="AH187" s="32" t="s">
        <v>344</v>
      </c>
      <c r="AI187" s="32" t="s">
        <v>333</v>
      </c>
      <c r="AJ187" s="32"/>
      <c r="AK187" s="32" t="s">
        <v>1274</v>
      </c>
      <c r="AL187" s="32" t="s">
        <v>1673</v>
      </c>
      <c r="AM187" s="32" t="s">
        <v>1274</v>
      </c>
      <c r="AN187" s="32" t="s">
        <v>349</v>
      </c>
      <c r="AO187" s="32"/>
      <c r="AP187" s="32" t="s">
        <v>335</v>
      </c>
      <c r="AQ187" s="32" t="s">
        <v>2287</v>
      </c>
      <c r="AR187" s="21" t="s">
        <v>1931</v>
      </c>
      <c r="AS187" s="21">
        <v>2.0</v>
      </c>
    </row>
    <row r="188">
      <c r="A188" s="20" t="s">
        <v>2811</v>
      </c>
      <c r="B188" s="20" t="s">
        <v>354</v>
      </c>
      <c r="C188" s="20" t="s">
        <v>355</v>
      </c>
      <c r="D188" s="20"/>
      <c r="E188" s="20" t="s">
        <v>49</v>
      </c>
      <c r="F188" s="80" t="s">
        <v>2812</v>
      </c>
      <c r="G188" s="20" t="s">
        <v>357</v>
      </c>
      <c r="H188" s="20" t="s">
        <v>75</v>
      </c>
      <c r="I188" s="20" t="s">
        <v>76</v>
      </c>
      <c r="J188" s="20" t="s">
        <v>76</v>
      </c>
      <c r="K188" s="20" t="s">
        <v>55</v>
      </c>
      <c r="L188" s="20" t="s">
        <v>56</v>
      </c>
      <c r="M188" s="20" t="s">
        <v>57</v>
      </c>
      <c r="N188" s="20" t="s">
        <v>333</v>
      </c>
      <c r="O188" s="20" t="s">
        <v>1682</v>
      </c>
      <c r="P188" s="20"/>
      <c r="Q188" s="20" t="s">
        <v>59</v>
      </c>
      <c r="R188" s="20" t="s">
        <v>333</v>
      </c>
      <c r="S188" s="20" t="s">
        <v>333</v>
      </c>
      <c r="T188" s="20"/>
      <c r="U188" s="20"/>
      <c r="V188" s="20" t="s">
        <v>344</v>
      </c>
      <c r="W188" s="20" t="s">
        <v>333</v>
      </c>
      <c r="X188" s="20" t="s">
        <v>333</v>
      </c>
      <c r="Y188" s="20" t="s">
        <v>333</v>
      </c>
      <c r="Z188" s="20" t="s">
        <v>333</v>
      </c>
      <c r="AA188" s="20" t="s">
        <v>333</v>
      </c>
      <c r="AB188" s="20" t="s">
        <v>333</v>
      </c>
      <c r="AC188" s="20"/>
      <c r="AD188" s="20" t="s">
        <v>333</v>
      </c>
      <c r="AE188" s="20" t="s">
        <v>333</v>
      </c>
      <c r="AF188" s="20" t="s">
        <v>333</v>
      </c>
      <c r="AG188" s="20" t="s">
        <v>344</v>
      </c>
      <c r="AH188" s="20" t="s">
        <v>344</v>
      </c>
      <c r="AI188" s="20" t="s">
        <v>333</v>
      </c>
      <c r="AJ188" s="20"/>
      <c r="AK188" s="20" t="s">
        <v>1736</v>
      </c>
      <c r="AL188" s="20" t="s">
        <v>1261</v>
      </c>
      <c r="AM188" s="20" t="s">
        <v>1736</v>
      </c>
      <c r="AN188" s="20" t="s">
        <v>349</v>
      </c>
      <c r="AO188" s="20"/>
      <c r="AP188" s="20" t="s">
        <v>1682</v>
      </c>
      <c r="AQ188" s="20" t="s">
        <v>349</v>
      </c>
      <c r="AR188" s="20"/>
      <c r="AS188" s="20"/>
    </row>
    <row r="189">
      <c r="A189" s="20" t="s">
        <v>2816</v>
      </c>
      <c r="B189" s="20" t="s">
        <v>1204</v>
      </c>
      <c r="C189" s="20" t="s">
        <v>1205</v>
      </c>
      <c r="D189" s="20"/>
      <c r="E189" s="20" t="s">
        <v>49</v>
      </c>
      <c r="F189" s="80" t="s">
        <v>2817</v>
      </c>
      <c r="G189" s="101" t="s">
        <v>2818</v>
      </c>
      <c r="H189" s="20" t="s">
        <v>1208</v>
      </c>
      <c r="I189" s="20" t="s">
        <v>1209</v>
      </c>
      <c r="J189" s="20" t="s">
        <v>74</v>
      </c>
      <c r="K189" s="20" t="s">
        <v>55</v>
      </c>
      <c r="L189" s="20" t="s">
        <v>56</v>
      </c>
      <c r="M189" s="20" t="s">
        <v>57</v>
      </c>
      <c r="N189" s="20" t="s">
        <v>333</v>
      </c>
      <c r="O189" s="20" t="s">
        <v>348</v>
      </c>
      <c r="P189" s="20" t="s">
        <v>1661</v>
      </c>
      <c r="Q189" s="20" t="s">
        <v>59</v>
      </c>
      <c r="R189" s="20" t="s">
        <v>333</v>
      </c>
      <c r="S189" s="20" t="s">
        <v>333</v>
      </c>
      <c r="T189" s="20"/>
      <c r="U189" s="20"/>
      <c r="V189" s="20" t="s">
        <v>344</v>
      </c>
      <c r="W189" s="20" t="s">
        <v>333</v>
      </c>
      <c r="X189" s="20" t="s">
        <v>333</v>
      </c>
      <c r="Y189" s="20" t="s">
        <v>333</v>
      </c>
      <c r="Z189" s="20" t="s">
        <v>333</v>
      </c>
      <c r="AA189" s="20" t="s">
        <v>333</v>
      </c>
      <c r="AB189" s="20" t="s">
        <v>333</v>
      </c>
      <c r="AC189" s="20"/>
      <c r="AD189" s="20" t="s">
        <v>333</v>
      </c>
      <c r="AE189" s="20" t="s">
        <v>333</v>
      </c>
      <c r="AF189" s="20" t="s">
        <v>333</v>
      </c>
      <c r="AG189" s="20" t="s">
        <v>344</v>
      </c>
      <c r="AH189" s="20" t="s">
        <v>344</v>
      </c>
      <c r="AI189" s="20" t="s">
        <v>333</v>
      </c>
      <c r="AJ189" s="20"/>
      <c r="AK189" s="20" t="s">
        <v>1244</v>
      </c>
      <c r="AL189" s="20" t="s">
        <v>2819</v>
      </c>
      <c r="AM189" s="20" t="s">
        <v>1244</v>
      </c>
      <c r="AN189" s="20" t="s">
        <v>349</v>
      </c>
      <c r="AO189" s="20"/>
      <c r="AP189" s="20" t="s">
        <v>348</v>
      </c>
      <c r="AQ189" s="20" t="s">
        <v>1661</v>
      </c>
      <c r="AR189" s="20"/>
      <c r="AS189" s="20"/>
    </row>
    <row r="190">
      <c r="A190" s="20" t="s">
        <v>2820</v>
      </c>
      <c r="B190" s="20" t="s">
        <v>2821</v>
      </c>
      <c r="C190" s="20" t="s">
        <v>2822</v>
      </c>
      <c r="D190" s="20" t="s">
        <v>2823</v>
      </c>
      <c r="E190" s="20" t="s">
        <v>49</v>
      </c>
      <c r="F190" s="80" t="s">
        <v>2824</v>
      </c>
      <c r="G190" s="95" t="s">
        <v>2825</v>
      </c>
      <c r="H190" s="20" t="s">
        <v>2826</v>
      </c>
      <c r="I190" s="20" t="s">
        <v>2827</v>
      </c>
      <c r="J190" s="20" t="s">
        <v>74</v>
      </c>
      <c r="K190" s="20" t="s">
        <v>55</v>
      </c>
      <c r="L190" s="20" t="s">
        <v>56</v>
      </c>
      <c r="M190" s="20" t="s">
        <v>57</v>
      </c>
      <c r="N190" s="20" t="s">
        <v>333</v>
      </c>
      <c r="O190" s="20" t="s">
        <v>1581</v>
      </c>
      <c r="P190" s="20" t="s">
        <v>1581</v>
      </c>
      <c r="Q190" s="20" t="s">
        <v>59</v>
      </c>
      <c r="R190" s="20" t="s">
        <v>333</v>
      </c>
      <c r="S190" s="20" t="s">
        <v>333</v>
      </c>
      <c r="T190" s="20" t="s">
        <v>2828</v>
      </c>
      <c r="U190" s="20" t="s">
        <v>2829</v>
      </c>
      <c r="V190" s="20" t="s">
        <v>344</v>
      </c>
      <c r="W190" s="20" t="s">
        <v>333</v>
      </c>
      <c r="X190" s="20" t="s">
        <v>333</v>
      </c>
      <c r="Y190" s="20" t="s">
        <v>333</v>
      </c>
      <c r="Z190" s="20" t="s">
        <v>333</v>
      </c>
      <c r="AA190" s="20" t="s">
        <v>333</v>
      </c>
      <c r="AB190" s="20" t="s">
        <v>333</v>
      </c>
      <c r="AC190" s="20"/>
      <c r="AD190" s="20" t="s">
        <v>333</v>
      </c>
      <c r="AE190" s="20" t="s">
        <v>333</v>
      </c>
      <c r="AF190" s="20" t="s">
        <v>333</v>
      </c>
      <c r="AG190" s="20" t="s">
        <v>344</v>
      </c>
      <c r="AH190" s="20" t="s">
        <v>344</v>
      </c>
      <c r="AI190" s="20" t="s">
        <v>333</v>
      </c>
      <c r="AJ190" s="20"/>
      <c r="AK190" s="20" t="s">
        <v>1581</v>
      </c>
      <c r="AL190" s="20" t="s">
        <v>1673</v>
      </c>
      <c r="AM190" s="20" t="s">
        <v>1581</v>
      </c>
      <c r="AN190" s="20" t="s">
        <v>349</v>
      </c>
      <c r="AO190" s="20" t="s">
        <v>2831</v>
      </c>
      <c r="AP190" s="20" t="s">
        <v>1581</v>
      </c>
      <c r="AQ190" s="20" t="s">
        <v>1581</v>
      </c>
      <c r="AR190" s="20"/>
      <c r="AS190" s="20"/>
    </row>
    <row r="191">
      <c r="A191" s="20" t="s">
        <v>2832</v>
      </c>
      <c r="B191" s="20" t="s">
        <v>878</v>
      </c>
      <c r="C191" s="20" t="s">
        <v>879</v>
      </c>
      <c r="D191" s="20"/>
      <c r="E191" s="20" t="s">
        <v>49</v>
      </c>
      <c r="F191" s="80" t="s">
        <v>2833</v>
      </c>
      <c r="G191" s="71" t="s">
        <v>2834</v>
      </c>
      <c r="H191" s="20" t="s">
        <v>887</v>
      </c>
      <c r="I191" s="20" t="s">
        <v>888</v>
      </c>
      <c r="J191" s="20" t="s">
        <v>74</v>
      </c>
      <c r="K191" s="20" t="s">
        <v>55</v>
      </c>
      <c r="L191" s="20" t="s">
        <v>56</v>
      </c>
      <c r="M191" s="20" t="s">
        <v>57</v>
      </c>
      <c r="N191" s="20" t="s">
        <v>333</v>
      </c>
      <c r="O191" s="20" t="s">
        <v>1269</v>
      </c>
      <c r="P191" s="20" t="s">
        <v>1261</v>
      </c>
      <c r="Q191" s="20" t="s">
        <v>59</v>
      </c>
      <c r="R191" s="20" t="s">
        <v>333</v>
      </c>
      <c r="S191" s="20" t="s">
        <v>333</v>
      </c>
      <c r="T191" s="20"/>
      <c r="U191" s="20"/>
      <c r="V191" s="20" t="s">
        <v>344</v>
      </c>
      <c r="W191" s="20" t="s">
        <v>333</v>
      </c>
      <c r="X191" s="20" t="s">
        <v>333</v>
      </c>
      <c r="Y191" s="20" t="s">
        <v>333</v>
      </c>
      <c r="Z191" s="20" t="s">
        <v>333</v>
      </c>
      <c r="AA191" s="20" t="s">
        <v>333</v>
      </c>
      <c r="AB191" s="20" t="s">
        <v>333</v>
      </c>
      <c r="AC191" s="20"/>
      <c r="AD191" s="20" t="s">
        <v>333</v>
      </c>
      <c r="AE191" s="20" t="s">
        <v>333</v>
      </c>
      <c r="AF191" s="20" t="s">
        <v>333</v>
      </c>
      <c r="AG191" s="20" t="s">
        <v>344</v>
      </c>
      <c r="AH191" s="20" t="s">
        <v>344</v>
      </c>
      <c r="AI191" s="20" t="s">
        <v>333</v>
      </c>
      <c r="AJ191" s="20"/>
      <c r="AK191" s="20" t="s">
        <v>347</v>
      </c>
      <c r="AL191" s="20" t="s">
        <v>2819</v>
      </c>
      <c r="AM191" s="20" t="s">
        <v>347</v>
      </c>
      <c r="AN191" s="20" t="s">
        <v>349</v>
      </c>
      <c r="AO191" s="20"/>
      <c r="AP191" s="20" t="s">
        <v>1269</v>
      </c>
      <c r="AQ191" s="20" t="s">
        <v>1261</v>
      </c>
      <c r="AR191" s="20"/>
      <c r="AS191" s="20"/>
    </row>
    <row r="192">
      <c r="A192" s="20" t="s">
        <v>2841</v>
      </c>
      <c r="B192" s="20" t="s">
        <v>901</v>
      </c>
      <c r="C192" s="20" t="s">
        <v>902</v>
      </c>
      <c r="D192" s="20"/>
      <c r="E192" s="20" t="s">
        <v>49</v>
      </c>
      <c r="F192" s="80" t="s">
        <v>2842</v>
      </c>
      <c r="G192" s="95">
        <v>9.953981824E9</v>
      </c>
      <c r="H192" s="20" t="s">
        <v>303</v>
      </c>
      <c r="I192" s="20" t="s">
        <v>303</v>
      </c>
      <c r="J192" s="20" t="s">
        <v>74</v>
      </c>
      <c r="K192" s="20" t="s">
        <v>55</v>
      </c>
      <c r="L192" s="20" t="s">
        <v>56</v>
      </c>
      <c r="M192" s="20" t="s">
        <v>57</v>
      </c>
      <c r="N192" s="20" t="s">
        <v>333</v>
      </c>
      <c r="O192" s="20" t="s">
        <v>1586</v>
      </c>
      <c r="P192" s="20" t="s">
        <v>1941</v>
      </c>
      <c r="Q192" s="20" t="s">
        <v>59</v>
      </c>
      <c r="R192" s="20" t="s">
        <v>333</v>
      </c>
      <c r="S192" s="20" t="s">
        <v>333</v>
      </c>
      <c r="T192" s="20"/>
      <c r="U192" s="20"/>
      <c r="V192" s="20" t="s">
        <v>344</v>
      </c>
      <c r="W192" s="20" t="s">
        <v>333</v>
      </c>
      <c r="X192" s="20" t="s">
        <v>333</v>
      </c>
      <c r="Y192" s="20" t="s">
        <v>333</v>
      </c>
      <c r="Z192" s="20" t="s">
        <v>333</v>
      </c>
      <c r="AA192" s="20" t="s">
        <v>333</v>
      </c>
      <c r="AB192" s="20" t="s">
        <v>333</v>
      </c>
      <c r="AC192" s="20"/>
      <c r="AD192" s="20" t="s">
        <v>333</v>
      </c>
      <c r="AE192" s="20" t="s">
        <v>333</v>
      </c>
      <c r="AF192" s="20" t="s">
        <v>333</v>
      </c>
      <c r="AG192" s="20" t="s">
        <v>344</v>
      </c>
      <c r="AH192" s="20" t="s">
        <v>344</v>
      </c>
      <c r="AI192" s="20" t="s">
        <v>333</v>
      </c>
      <c r="AJ192" s="20"/>
      <c r="AK192" s="20" t="s">
        <v>1581</v>
      </c>
      <c r="AL192" s="20" t="s">
        <v>1245</v>
      </c>
      <c r="AM192" s="20" t="s">
        <v>1581</v>
      </c>
      <c r="AN192" s="20" t="s">
        <v>349</v>
      </c>
      <c r="AO192" s="20"/>
      <c r="AP192" s="20" t="s">
        <v>1586</v>
      </c>
      <c r="AQ192" s="20" t="s">
        <v>1941</v>
      </c>
      <c r="AR192" s="20"/>
      <c r="AS192" s="20"/>
    </row>
    <row r="193">
      <c r="A193" s="20" t="s">
        <v>2847</v>
      </c>
      <c r="B193" s="20" t="s">
        <v>1114</v>
      </c>
      <c r="C193" s="20" t="s">
        <v>1115</v>
      </c>
      <c r="D193" s="20" t="s">
        <v>1116</v>
      </c>
      <c r="E193" s="20" t="s">
        <v>49</v>
      </c>
      <c r="F193" s="80" t="s">
        <v>2848</v>
      </c>
      <c r="G193" s="75" t="s">
        <v>2849</v>
      </c>
      <c r="H193" s="20" t="s">
        <v>303</v>
      </c>
      <c r="I193" s="20" t="s">
        <v>303</v>
      </c>
      <c r="J193" s="20" t="s">
        <v>74</v>
      </c>
      <c r="K193" s="20" t="s">
        <v>55</v>
      </c>
      <c r="L193" s="20" t="s">
        <v>56</v>
      </c>
      <c r="M193" s="20" t="s">
        <v>57</v>
      </c>
      <c r="N193" s="20" t="s">
        <v>333</v>
      </c>
      <c r="O193" s="20" t="s">
        <v>348</v>
      </c>
      <c r="P193" s="20" t="s">
        <v>1269</v>
      </c>
      <c r="Q193" s="20" t="s">
        <v>59</v>
      </c>
      <c r="R193" s="20" t="s">
        <v>333</v>
      </c>
      <c r="S193" s="20" t="s">
        <v>333</v>
      </c>
      <c r="T193" s="20" t="s">
        <v>275</v>
      </c>
      <c r="U193" s="20"/>
      <c r="V193" s="20" t="s">
        <v>344</v>
      </c>
      <c r="W193" s="20" t="s">
        <v>333</v>
      </c>
      <c r="X193" s="20" t="s">
        <v>333</v>
      </c>
      <c r="Y193" s="20" t="s">
        <v>333</v>
      </c>
      <c r="Z193" s="20" t="s">
        <v>333</v>
      </c>
      <c r="AA193" s="20" t="s">
        <v>333</v>
      </c>
      <c r="AB193" s="20" t="s">
        <v>333</v>
      </c>
      <c r="AC193" s="20"/>
      <c r="AD193" s="20" t="s">
        <v>333</v>
      </c>
      <c r="AE193" s="20" t="s">
        <v>333</v>
      </c>
      <c r="AF193" s="20" t="s">
        <v>333</v>
      </c>
      <c r="AG193" s="20" t="s">
        <v>344</v>
      </c>
      <c r="AH193" s="20" t="s">
        <v>344</v>
      </c>
      <c r="AI193" s="20" t="s">
        <v>333</v>
      </c>
      <c r="AJ193" s="20"/>
      <c r="AK193" s="20" t="s">
        <v>1587</v>
      </c>
      <c r="AL193" s="20" t="s">
        <v>1556</v>
      </c>
      <c r="AM193" s="20" t="s">
        <v>1587</v>
      </c>
      <c r="AN193" s="20" t="s">
        <v>349</v>
      </c>
      <c r="AO193" s="20"/>
      <c r="AP193" s="20" t="s">
        <v>348</v>
      </c>
      <c r="AQ193" s="20" t="s">
        <v>1269</v>
      </c>
      <c r="AR193" s="20"/>
      <c r="AS193" s="20"/>
    </row>
    <row r="194">
      <c r="A194" s="32" t="s">
        <v>2851</v>
      </c>
      <c r="B194" s="32" t="s">
        <v>1360</v>
      </c>
      <c r="C194" s="32" t="s">
        <v>1361</v>
      </c>
      <c r="D194" s="48" t="s">
        <v>1362</v>
      </c>
      <c r="E194" s="32" t="s">
        <v>49</v>
      </c>
      <c r="F194" s="32" t="s">
        <v>1363</v>
      </c>
      <c r="G194" s="32" t="s">
        <v>1366</v>
      </c>
      <c r="H194" s="32" t="s">
        <v>1367</v>
      </c>
      <c r="I194" s="32" t="s">
        <v>1368</v>
      </c>
      <c r="J194" s="32" t="s">
        <v>74</v>
      </c>
      <c r="K194" s="32" t="s">
        <v>55</v>
      </c>
      <c r="L194" s="32" t="s">
        <v>56</v>
      </c>
      <c r="M194" s="32" t="s">
        <v>57</v>
      </c>
      <c r="N194" s="32" t="s">
        <v>333</v>
      </c>
      <c r="O194" s="32" t="s">
        <v>1941</v>
      </c>
      <c r="P194" s="32" t="s">
        <v>348</v>
      </c>
      <c r="Q194" s="32" t="s">
        <v>59</v>
      </c>
      <c r="R194" s="32" t="s">
        <v>333</v>
      </c>
      <c r="S194" s="32" t="s">
        <v>333</v>
      </c>
      <c r="T194" s="32"/>
      <c r="U194" s="32"/>
      <c r="V194" s="32" t="s">
        <v>344</v>
      </c>
      <c r="W194" s="32" t="s">
        <v>333</v>
      </c>
      <c r="X194" s="32" t="s">
        <v>333</v>
      </c>
      <c r="Y194" s="32" t="s">
        <v>333</v>
      </c>
      <c r="Z194" s="32" t="s">
        <v>333</v>
      </c>
      <c r="AA194" s="32" t="s">
        <v>333</v>
      </c>
      <c r="AB194" s="32" t="s">
        <v>333</v>
      </c>
      <c r="AC194" s="32"/>
      <c r="AD194" s="32" t="s">
        <v>333</v>
      </c>
      <c r="AE194" s="32" t="s">
        <v>333</v>
      </c>
      <c r="AF194" s="32" t="s">
        <v>333</v>
      </c>
      <c r="AG194" s="32" t="s">
        <v>344</v>
      </c>
      <c r="AH194" s="32" t="s">
        <v>344</v>
      </c>
      <c r="AI194" s="32" t="s">
        <v>333</v>
      </c>
      <c r="AJ194" s="32"/>
      <c r="AK194" s="32" t="s">
        <v>347</v>
      </c>
      <c r="AL194" s="32" t="s">
        <v>1673</v>
      </c>
      <c r="AM194" s="32" t="s">
        <v>347</v>
      </c>
      <c r="AN194" s="32" t="s">
        <v>349</v>
      </c>
      <c r="AO194" s="32"/>
      <c r="AP194" s="32" t="s">
        <v>1941</v>
      </c>
      <c r="AQ194" s="32" t="s">
        <v>348</v>
      </c>
      <c r="AR194" s="21" t="s">
        <v>1931</v>
      </c>
      <c r="AS194" s="21">
        <v>2.0</v>
      </c>
    </row>
    <row r="195">
      <c r="A195" s="20" t="s">
        <v>2854</v>
      </c>
      <c r="B195" s="20" t="s">
        <v>2855</v>
      </c>
      <c r="C195" s="20" t="s">
        <v>2856</v>
      </c>
      <c r="D195" s="20" t="s">
        <v>2857</v>
      </c>
      <c r="E195" s="20" t="s">
        <v>49</v>
      </c>
      <c r="F195" s="80" t="s">
        <v>2858</v>
      </c>
      <c r="G195" s="95" t="s">
        <v>2861</v>
      </c>
      <c r="H195" s="20" t="s">
        <v>513</v>
      </c>
      <c r="I195" s="20" t="s">
        <v>514</v>
      </c>
      <c r="J195" s="20" t="s">
        <v>74</v>
      </c>
      <c r="K195" s="20" t="s">
        <v>55</v>
      </c>
      <c r="L195" s="20" t="s">
        <v>56</v>
      </c>
      <c r="M195" s="20" t="s">
        <v>57</v>
      </c>
      <c r="N195" s="20" t="s">
        <v>333</v>
      </c>
      <c r="O195" s="20" t="s">
        <v>1253</v>
      </c>
      <c r="P195" s="20" t="s">
        <v>1682</v>
      </c>
      <c r="Q195" s="20" t="s">
        <v>59</v>
      </c>
      <c r="R195" s="20" t="s">
        <v>333</v>
      </c>
      <c r="S195" s="20" t="s">
        <v>333</v>
      </c>
      <c r="T195" s="20"/>
      <c r="U195" s="20"/>
      <c r="V195" s="20" t="s">
        <v>344</v>
      </c>
      <c r="W195" s="20" t="s">
        <v>333</v>
      </c>
      <c r="X195" s="20" t="s">
        <v>333</v>
      </c>
      <c r="Y195" s="20" t="s">
        <v>333</v>
      </c>
      <c r="Z195" s="20" t="s">
        <v>333</v>
      </c>
      <c r="AA195" s="20" t="s">
        <v>333</v>
      </c>
      <c r="AB195" s="20" t="s">
        <v>333</v>
      </c>
      <c r="AC195" s="20"/>
      <c r="AD195" s="20" t="s">
        <v>333</v>
      </c>
      <c r="AE195" s="20" t="s">
        <v>333</v>
      </c>
      <c r="AF195" s="20" t="s">
        <v>333</v>
      </c>
      <c r="AG195" s="20" t="s">
        <v>344</v>
      </c>
      <c r="AH195" s="20" t="s">
        <v>344</v>
      </c>
      <c r="AI195" s="20" t="s">
        <v>333</v>
      </c>
      <c r="AJ195" s="20"/>
      <c r="AK195" s="20" t="s">
        <v>347</v>
      </c>
      <c r="AL195" s="20" t="s">
        <v>1556</v>
      </c>
      <c r="AM195" s="20" t="s">
        <v>347</v>
      </c>
      <c r="AN195" s="20" t="s">
        <v>349</v>
      </c>
      <c r="AO195" s="20"/>
      <c r="AP195" s="20" t="s">
        <v>1253</v>
      </c>
      <c r="AQ195" s="20" t="s">
        <v>1682</v>
      </c>
      <c r="AR195" s="20"/>
      <c r="AS195" s="20"/>
    </row>
    <row r="196">
      <c r="A196" s="20" t="s">
        <v>2865</v>
      </c>
      <c r="B196" s="20" t="s">
        <v>391</v>
      </c>
      <c r="C196" s="20" t="s">
        <v>393</v>
      </c>
      <c r="D196" s="20"/>
      <c r="E196" s="20" t="s">
        <v>49</v>
      </c>
      <c r="F196" s="80" t="s">
        <v>1622</v>
      </c>
      <c r="G196" s="20" t="s">
        <v>396</v>
      </c>
      <c r="H196" s="20" t="s">
        <v>397</v>
      </c>
      <c r="I196" s="20" t="s">
        <v>398</v>
      </c>
      <c r="J196" s="20" t="s">
        <v>398</v>
      </c>
      <c r="K196" s="20" t="s">
        <v>55</v>
      </c>
      <c r="L196" s="20" t="s">
        <v>56</v>
      </c>
      <c r="M196" s="20" t="s">
        <v>57</v>
      </c>
      <c r="N196" s="20" t="s">
        <v>333</v>
      </c>
      <c r="O196" s="20" t="s">
        <v>1695</v>
      </c>
      <c r="P196" s="20" t="s">
        <v>1256</v>
      </c>
      <c r="Q196" s="20" t="s">
        <v>59</v>
      </c>
      <c r="R196" s="20" t="s">
        <v>333</v>
      </c>
      <c r="S196" s="20" t="s">
        <v>333</v>
      </c>
      <c r="T196" s="20"/>
      <c r="U196" s="20"/>
      <c r="V196" s="20" t="s">
        <v>344</v>
      </c>
      <c r="W196" s="20" t="s">
        <v>333</v>
      </c>
      <c r="X196" s="20" t="s">
        <v>333</v>
      </c>
      <c r="Y196" s="20" t="s">
        <v>333</v>
      </c>
      <c r="Z196" s="20" t="s">
        <v>333</v>
      </c>
      <c r="AA196" s="20" t="s">
        <v>333</v>
      </c>
      <c r="AB196" s="20" t="s">
        <v>333</v>
      </c>
      <c r="AC196" s="20"/>
      <c r="AD196" s="20" t="s">
        <v>333</v>
      </c>
      <c r="AE196" s="20" t="s">
        <v>333</v>
      </c>
      <c r="AF196" s="20" t="s">
        <v>333</v>
      </c>
      <c r="AG196" s="20" t="s">
        <v>344</v>
      </c>
      <c r="AH196" s="20" t="s">
        <v>344</v>
      </c>
      <c r="AI196" s="20" t="s">
        <v>333</v>
      </c>
      <c r="AJ196" s="20"/>
      <c r="AK196" s="20" t="s">
        <v>1244</v>
      </c>
      <c r="AL196" s="20" t="s">
        <v>1245</v>
      </c>
      <c r="AM196" s="20" t="s">
        <v>1244</v>
      </c>
      <c r="AN196" s="20" t="s">
        <v>349</v>
      </c>
      <c r="AO196" s="20"/>
      <c r="AP196" s="20" t="s">
        <v>1695</v>
      </c>
      <c r="AQ196" s="20" t="s">
        <v>1256</v>
      </c>
      <c r="AR196" s="20"/>
      <c r="AS196" s="20"/>
    </row>
    <row r="197">
      <c r="A197" s="32" t="s">
        <v>2870</v>
      </c>
      <c r="B197" s="32" t="s">
        <v>2871</v>
      </c>
      <c r="C197" s="32" t="s">
        <v>2872</v>
      </c>
      <c r="D197" s="32" t="s">
        <v>2873</v>
      </c>
      <c r="E197" s="32" t="s">
        <v>49</v>
      </c>
      <c r="F197" s="32" t="s">
        <v>2874</v>
      </c>
      <c r="G197" s="32" t="s">
        <v>2875</v>
      </c>
      <c r="H197" s="32" t="s">
        <v>570</v>
      </c>
      <c r="I197" s="32" t="s">
        <v>571</v>
      </c>
      <c r="J197" s="32" t="s">
        <v>571</v>
      </c>
      <c r="K197" s="32" t="s">
        <v>55</v>
      </c>
      <c r="L197" s="32" t="s">
        <v>56</v>
      </c>
      <c r="M197" s="32" t="s">
        <v>57</v>
      </c>
      <c r="N197" s="32" t="s">
        <v>333</v>
      </c>
      <c r="O197" s="32" t="s">
        <v>2798</v>
      </c>
      <c r="P197" s="32" t="s">
        <v>334</v>
      </c>
      <c r="Q197" s="32" t="s">
        <v>59</v>
      </c>
      <c r="R197" s="32" t="s">
        <v>333</v>
      </c>
      <c r="S197" s="32" t="s">
        <v>333</v>
      </c>
      <c r="T197" s="32"/>
      <c r="U197" s="32"/>
      <c r="V197" s="32" t="s">
        <v>344</v>
      </c>
      <c r="W197" s="32" t="s">
        <v>333</v>
      </c>
      <c r="X197" s="32" t="s">
        <v>333</v>
      </c>
      <c r="Y197" s="32" t="s">
        <v>333</v>
      </c>
      <c r="Z197" s="32" t="s">
        <v>333</v>
      </c>
      <c r="AA197" s="32" t="s">
        <v>333</v>
      </c>
      <c r="AB197" s="32" t="s">
        <v>333</v>
      </c>
      <c r="AC197" s="32"/>
      <c r="AD197" s="32" t="s">
        <v>333</v>
      </c>
      <c r="AE197" s="32" t="s">
        <v>333</v>
      </c>
      <c r="AF197" s="32" t="s">
        <v>333</v>
      </c>
      <c r="AG197" s="32" t="s">
        <v>344</v>
      </c>
      <c r="AH197" s="32" t="s">
        <v>344</v>
      </c>
      <c r="AI197" s="32" t="s">
        <v>333</v>
      </c>
      <c r="AJ197" s="32"/>
      <c r="AK197" s="32" t="s">
        <v>1857</v>
      </c>
      <c r="AL197" s="32" t="s">
        <v>1245</v>
      </c>
      <c r="AM197" s="32" t="s">
        <v>1857</v>
      </c>
      <c r="AN197" s="32" t="s">
        <v>349</v>
      </c>
      <c r="AO197" s="32"/>
      <c r="AP197" s="32" t="s">
        <v>2798</v>
      </c>
      <c r="AQ197" s="32" t="s">
        <v>334</v>
      </c>
      <c r="AR197" s="32"/>
      <c r="AS197" s="21">
        <v>2.0</v>
      </c>
    </row>
    <row r="198">
      <c r="A198" s="20" t="s">
        <v>2876</v>
      </c>
      <c r="B198" s="20" t="s">
        <v>1603</v>
      </c>
      <c r="C198" s="20" t="s">
        <v>1604</v>
      </c>
      <c r="D198" s="20" t="s">
        <v>1605</v>
      </c>
      <c r="E198" s="20" t="s">
        <v>49</v>
      </c>
      <c r="F198" s="80" t="s">
        <v>1606</v>
      </c>
      <c r="G198" s="75" t="s">
        <v>1607</v>
      </c>
      <c r="H198" s="20" t="s">
        <v>1608</v>
      </c>
      <c r="I198" s="20" t="s">
        <v>1609</v>
      </c>
      <c r="J198" s="20" t="s">
        <v>74</v>
      </c>
      <c r="K198" s="20" t="s">
        <v>55</v>
      </c>
      <c r="L198" s="20" t="s">
        <v>56</v>
      </c>
      <c r="M198" s="20" t="s">
        <v>57</v>
      </c>
      <c r="N198" s="20" t="s">
        <v>333</v>
      </c>
      <c r="O198" s="20" t="s">
        <v>1941</v>
      </c>
      <c r="P198" s="20" t="s">
        <v>1941</v>
      </c>
      <c r="Q198" s="20" t="s">
        <v>59</v>
      </c>
      <c r="R198" s="20" t="s">
        <v>333</v>
      </c>
      <c r="S198" s="20" t="s">
        <v>333</v>
      </c>
      <c r="T198" s="20"/>
      <c r="U198" s="20"/>
      <c r="V198" s="20" t="s">
        <v>344</v>
      </c>
      <c r="W198" s="20" t="s">
        <v>333</v>
      </c>
      <c r="X198" s="20" t="s">
        <v>333</v>
      </c>
      <c r="Y198" s="20" t="s">
        <v>333</v>
      </c>
      <c r="Z198" s="20" t="s">
        <v>333</v>
      </c>
      <c r="AA198" s="20" t="s">
        <v>333</v>
      </c>
      <c r="AB198" s="20" t="s">
        <v>333</v>
      </c>
      <c r="AC198" s="20"/>
      <c r="AD198" s="20" t="s">
        <v>333</v>
      </c>
      <c r="AE198" s="20" t="s">
        <v>333</v>
      </c>
      <c r="AF198" s="20" t="s">
        <v>333</v>
      </c>
      <c r="AG198" s="20" t="s">
        <v>344</v>
      </c>
      <c r="AH198" s="20" t="s">
        <v>344</v>
      </c>
      <c r="AI198" s="20" t="s">
        <v>333</v>
      </c>
      <c r="AJ198" s="20"/>
      <c r="AK198" s="20" t="s">
        <v>1244</v>
      </c>
      <c r="AL198" s="20" t="s">
        <v>1673</v>
      </c>
      <c r="AM198" s="20" t="s">
        <v>1244</v>
      </c>
      <c r="AN198" s="20" t="s">
        <v>349</v>
      </c>
      <c r="AO198" s="20"/>
      <c r="AP198" s="20" t="s">
        <v>1941</v>
      </c>
      <c r="AQ198" s="20" t="s">
        <v>1941</v>
      </c>
      <c r="AR198" s="20"/>
      <c r="AS198" s="20"/>
    </row>
    <row r="199">
      <c r="A199" s="20" t="s">
        <v>2879</v>
      </c>
      <c r="B199" s="20" t="s">
        <v>2059</v>
      </c>
      <c r="C199" s="20" t="s">
        <v>2060</v>
      </c>
      <c r="D199" s="20" t="s">
        <v>2061</v>
      </c>
      <c r="E199" s="20" t="s">
        <v>49</v>
      </c>
      <c r="F199" s="80" t="s">
        <v>2063</v>
      </c>
      <c r="G199" s="71" t="s">
        <v>2884</v>
      </c>
      <c r="H199" s="20" t="s">
        <v>2064</v>
      </c>
      <c r="I199" s="20" t="s">
        <v>2065</v>
      </c>
      <c r="J199" s="20" t="s">
        <v>74</v>
      </c>
      <c r="K199" s="20" t="s">
        <v>55</v>
      </c>
      <c r="L199" s="20" t="s">
        <v>56</v>
      </c>
      <c r="M199" s="20" t="s">
        <v>57</v>
      </c>
      <c r="N199" s="20" t="s">
        <v>333</v>
      </c>
      <c r="O199" s="20" t="s">
        <v>1867</v>
      </c>
      <c r="P199" s="20" t="s">
        <v>1269</v>
      </c>
      <c r="Q199" s="20" t="s">
        <v>59</v>
      </c>
      <c r="R199" s="20" t="s">
        <v>333</v>
      </c>
      <c r="S199" s="20" t="s">
        <v>333</v>
      </c>
      <c r="T199" s="20" t="s">
        <v>2886</v>
      </c>
      <c r="U199" s="20"/>
      <c r="V199" s="20" t="s">
        <v>344</v>
      </c>
      <c r="W199" s="20" t="s">
        <v>333</v>
      </c>
      <c r="X199" s="20" t="s">
        <v>333</v>
      </c>
      <c r="Y199" s="20" t="s">
        <v>333</v>
      </c>
      <c r="Z199" s="20" t="s">
        <v>333</v>
      </c>
      <c r="AA199" s="20" t="s">
        <v>333</v>
      </c>
      <c r="AB199" s="20" t="s">
        <v>333</v>
      </c>
      <c r="AC199" s="20"/>
      <c r="AD199" s="20" t="s">
        <v>333</v>
      </c>
      <c r="AE199" s="20" t="s">
        <v>333</v>
      </c>
      <c r="AF199" s="20" t="s">
        <v>333</v>
      </c>
      <c r="AG199" s="20" t="s">
        <v>344</v>
      </c>
      <c r="AH199" s="20" t="s">
        <v>344</v>
      </c>
      <c r="AI199" s="20" t="s">
        <v>333</v>
      </c>
      <c r="AJ199" s="20"/>
      <c r="AK199" s="20" t="s">
        <v>2133</v>
      </c>
      <c r="AL199" s="20" t="s">
        <v>2889</v>
      </c>
      <c r="AM199" s="20" t="s">
        <v>2133</v>
      </c>
      <c r="AN199" s="20" t="s">
        <v>349</v>
      </c>
      <c r="AO199" s="20" t="s">
        <v>2891</v>
      </c>
      <c r="AP199" s="20" t="s">
        <v>1867</v>
      </c>
      <c r="AQ199" s="20" t="s">
        <v>1269</v>
      </c>
      <c r="AR199" s="20"/>
      <c r="AS199" s="20"/>
    </row>
    <row r="200">
      <c r="A200" s="32" t="s">
        <v>2892</v>
      </c>
      <c r="B200" s="32" t="s">
        <v>1290</v>
      </c>
      <c r="C200" s="32" t="s">
        <v>1291</v>
      </c>
      <c r="D200" s="48" t="s">
        <v>2893</v>
      </c>
      <c r="E200" s="32" t="s">
        <v>49</v>
      </c>
      <c r="F200" s="32" t="s">
        <v>2894</v>
      </c>
      <c r="G200" s="32" t="s">
        <v>2895</v>
      </c>
      <c r="H200" s="32" t="s">
        <v>123</v>
      </c>
      <c r="I200" s="32" t="s">
        <v>124</v>
      </c>
      <c r="J200" s="32" t="s">
        <v>74</v>
      </c>
      <c r="K200" s="32" t="s">
        <v>55</v>
      </c>
      <c r="L200" s="32" t="s">
        <v>56</v>
      </c>
      <c r="M200" s="32" t="s">
        <v>57</v>
      </c>
      <c r="N200" s="32" t="s">
        <v>333</v>
      </c>
      <c r="O200" s="32" t="s">
        <v>1586</v>
      </c>
      <c r="P200" s="32" t="s">
        <v>348</v>
      </c>
      <c r="Q200" s="32" t="s">
        <v>59</v>
      </c>
      <c r="R200" s="32" t="s">
        <v>333</v>
      </c>
      <c r="S200" s="32" t="s">
        <v>333</v>
      </c>
      <c r="T200" s="32"/>
      <c r="U200" s="32"/>
      <c r="V200" s="32" t="s">
        <v>344</v>
      </c>
      <c r="W200" s="32" t="s">
        <v>333</v>
      </c>
      <c r="X200" s="32" t="s">
        <v>333</v>
      </c>
      <c r="Y200" s="32" t="s">
        <v>333</v>
      </c>
      <c r="Z200" s="32" t="s">
        <v>333</v>
      </c>
      <c r="AA200" s="32" t="s">
        <v>333</v>
      </c>
      <c r="AB200" s="32" t="s">
        <v>333</v>
      </c>
      <c r="AC200" s="32"/>
      <c r="AD200" s="32" t="s">
        <v>333</v>
      </c>
      <c r="AE200" s="32" t="s">
        <v>333</v>
      </c>
      <c r="AF200" s="32" t="s">
        <v>333</v>
      </c>
      <c r="AG200" s="32" t="s">
        <v>344</v>
      </c>
      <c r="AH200" s="32" t="s">
        <v>344</v>
      </c>
      <c r="AI200" s="32" t="s">
        <v>333</v>
      </c>
      <c r="AJ200" s="32"/>
      <c r="AK200" s="32" t="s">
        <v>347</v>
      </c>
      <c r="AL200" s="32" t="s">
        <v>347</v>
      </c>
      <c r="AM200" s="32" t="s">
        <v>347</v>
      </c>
      <c r="AN200" s="32" t="s">
        <v>349</v>
      </c>
      <c r="AO200" s="32"/>
      <c r="AP200" s="32" t="s">
        <v>1586</v>
      </c>
      <c r="AQ200" s="32" t="s">
        <v>348</v>
      </c>
      <c r="AR200" s="21" t="s">
        <v>1931</v>
      </c>
      <c r="AS200" s="21">
        <v>2.0</v>
      </c>
    </row>
    <row r="201">
      <c r="A201" s="20" t="s">
        <v>2897</v>
      </c>
      <c r="B201" s="20" t="s">
        <v>2898</v>
      </c>
      <c r="C201" s="20" t="s">
        <v>2899</v>
      </c>
      <c r="D201" s="20"/>
      <c r="E201" s="20" t="s">
        <v>49</v>
      </c>
      <c r="F201" s="80" t="s">
        <v>2900</v>
      </c>
      <c r="G201" s="29" t="s">
        <v>69</v>
      </c>
      <c r="H201" s="20" t="s">
        <v>123</v>
      </c>
      <c r="I201" s="20" t="s">
        <v>124</v>
      </c>
      <c r="J201" s="20" t="s">
        <v>74</v>
      </c>
      <c r="K201" s="20" t="s">
        <v>55</v>
      </c>
      <c r="L201" s="20" t="s">
        <v>56</v>
      </c>
      <c r="M201" s="20" t="s">
        <v>57</v>
      </c>
      <c r="N201" s="20" t="s">
        <v>333</v>
      </c>
      <c r="O201" s="20" t="s">
        <v>348</v>
      </c>
      <c r="P201" s="20" t="s">
        <v>1261</v>
      </c>
      <c r="Q201" s="20" t="s">
        <v>59</v>
      </c>
      <c r="R201" s="20" t="s">
        <v>333</v>
      </c>
      <c r="S201" s="20" t="s">
        <v>333</v>
      </c>
      <c r="T201" s="20"/>
      <c r="U201" s="20"/>
      <c r="V201" s="20" t="s">
        <v>344</v>
      </c>
      <c r="W201" s="20" t="s">
        <v>333</v>
      </c>
      <c r="X201" s="20" t="s">
        <v>333</v>
      </c>
      <c r="Y201" s="20" t="s">
        <v>333</v>
      </c>
      <c r="Z201" s="20" t="s">
        <v>333</v>
      </c>
      <c r="AA201" s="20" t="s">
        <v>333</v>
      </c>
      <c r="AB201" s="20" t="s">
        <v>333</v>
      </c>
      <c r="AC201" s="20"/>
      <c r="AD201" s="20" t="s">
        <v>333</v>
      </c>
      <c r="AE201" s="20" t="s">
        <v>333</v>
      </c>
      <c r="AF201" s="20" t="s">
        <v>333</v>
      </c>
      <c r="AG201" s="20" t="s">
        <v>344</v>
      </c>
      <c r="AH201" s="20" t="s">
        <v>344</v>
      </c>
      <c r="AI201" s="20" t="s">
        <v>333</v>
      </c>
      <c r="AJ201" s="20"/>
      <c r="AK201" s="20" t="s">
        <v>347</v>
      </c>
      <c r="AL201" s="20" t="s">
        <v>1596</v>
      </c>
      <c r="AM201" s="20" t="s">
        <v>347</v>
      </c>
      <c r="AN201" s="20" t="s">
        <v>349</v>
      </c>
      <c r="AO201" s="20"/>
      <c r="AP201" s="20" t="s">
        <v>348</v>
      </c>
      <c r="AQ201" s="20" t="s">
        <v>1261</v>
      </c>
      <c r="AR201" s="20"/>
      <c r="AS201" s="20"/>
    </row>
    <row r="202">
      <c r="A202" s="20" t="s">
        <v>2902</v>
      </c>
      <c r="B202" s="20" t="s">
        <v>1788</v>
      </c>
      <c r="C202" s="20" t="s">
        <v>1789</v>
      </c>
      <c r="D202" s="20"/>
      <c r="E202" s="20" t="s">
        <v>49</v>
      </c>
      <c r="F202" s="29" t="s">
        <v>69</v>
      </c>
      <c r="G202" s="29" t="s">
        <v>69</v>
      </c>
      <c r="H202" s="20" t="s">
        <v>123</v>
      </c>
      <c r="I202" s="20" t="s">
        <v>124</v>
      </c>
      <c r="J202" s="20" t="s">
        <v>74</v>
      </c>
      <c r="K202" s="20" t="s">
        <v>55</v>
      </c>
      <c r="L202" s="20" t="s">
        <v>56</v>
      </c>
      <c r="M202" s="20" t="s">
        <v>57</v>
      </c>
      <c r="N202" s="20" t="s">
        <v>333</v>
      </c>
      <c r="O202" s="20" t="s">
        <v>1669</v>
      </c>
      <c r="P202" s="20" t="s">
        <v>1670</v>
      </c>
      <c r="Q202" s="20" t="s">
        <v>59</v>
      </c>
      <c r="R202" s="20" t="s">
        <v>333</v>
      </c>
      <c r="S202" s="20" t="s">
        <v>333</v>
      </c>
      <c r="T202" s="20"/>
      <c r="U202" s="20"/>
      <c r="V202" s="20" t="s">
        <v>344</v>
      </c>
      <c r="W202" s="20" t="s">
        <v>333</v>
      </c>
      <c r="X202" s="20" t="s">
        <v>333</v>
      </c>
      <c r="Y202" s="20" t="s">
        <v>333</v>
      </c>
      <c r="Z202" s="20" t="s">
        <v>333</v>
      </c>
      <c r="AA202" s="20" t="s">
        <v>333</v>
      </c>
      <c r="AB202" s="20" t="s">
        <v>333</v>
      </c>
      <c r="AC202" s="20"/>
      <c r="AD202" s="20" t="s">
        <v>333</v>
      </c>
      <c r="AE202" s="20" t="s">
        <v>333</v>
      </c>
      <c r="AF202" s="20" t="s">
        <v>333</v>
      </c>
      <c r="AG202" s="20" t="s">
        <v>344</v>
      </c>
      <c r="AH202" s="20" t="s">
        <v>344</v>
      </c>
      <c r="AI202" s="20" t="s">
        <v>333</v>
      </c>
      <c r="AJ202" s="20"/>
      <c r="AK202" s="20" t="s">
        <v>1244</v>
      </c>
      <c r="AL202" s="20" t="s">
        <v>1245</v>
      </c>
      <c r="AM202" s="20" t="s">
        <v>1244</v>
      </c>
      <c r="AN202" s="20" t="s">
        <v>349</v>
      </c>
      <c r="AO202" s="20"/>
      <c r="AP202" s="20" t="s">
        <v>1669</v>
      </c>
      <c r="AQ202" s="20" t="s">
        <v>1670</v>
      </c>
      <c r="AR202" s="20"/>
      <c r="AS202" s="20"/>
    </row>
    <row r="203">
      <c r="A203" s="20" t="s">
        <v>2908</v>
      </c>
      <c r="B203" s="20" t="s">
        <v>1696</v>
      </c>
      <c r="C203" s="20" t="s">
        <v>1697</v>
      </c>
      <c r="D203" s="20" t="s">
        <v>1698</v>
      </c>
      <c r="E203" s="20" t="s">
        <v>49</v>
      </c>
      <c r="F203" s="80" t="s">
        <v>1699</v>
      </c>
      <c r="G203" s="82">
        <v>9.810098712E9</v>
      </c>
      <c r="H203" s="20" t="s">
        <v>303</v>
      </c>
      <c r="I203" s="20" t="s">
        <v>303</v>
      </c>
      <c r="J203" s="20" t="s">
        <v>74</v>
      </c>
      <c r="K203" s="20" t="s">
        <v>55</v>
      </c>
      <c r="L203" s="20" t="s">
        <v>56</v>
      </c>
      <c r="M203" s="20" t="s">
        <v>57</v>
      </c>
      <c r="N203" s="20" t="s">
        <v>333</v>
      </c>
      <c r="O203" s="20" t="s">
        <v>1591</v>
      </c>
      <c r="P203" s="20"/>
      <c r="Q203" s="20" t="s">
        <v>59</v>
      </c>
      <c r="R203" s="20" t="s">
        <v>333</v>
      </c>
      <c r="S203" s="20" t="s">
        <v>333</v>
      </c>
      <c r="T203" s="20" t="s">
        <v>856</v>
      </c>
      <c r="U203" s="20"/>
      <c r="V203" s="20" t="s">
        <v>344</v>
      </c>
      <c r="W203" s="20" t="s">
        <v>333</v>
      </c>
      <c r="X203" s="20" t="s">
        <v>333</v>
      </c>
      <c r="Y203" s="20" t="s">
        <v>333</v>
      </c>
      <c r="Z203" s="20" t="s">
        <v>333</v>
      </c>
      <c r="AA203" s="20" t="s">
        <v>333</v>
      </c>
      <c r="AB203" s="20" t="s">
        <v>333</v>
      </c>
      <c r="AC203" s="20"/>
      <c r="AD203" s="20" t="s">
        <v>333</v>
      </c>
      <c r="AE203" s="20" t="s">
        <v>333</v>
      </c>
      <c r="AF203" s="20" t="s">
        <v>333</v>
      </c>
      <c r="AG203" s="20" t="s">
        <v>344</v>
      </c>
      <c r="AH203" s="20" t="s">
        <v>344</v>
      </c>
      <c r="AI203" s="20" t="s">
        <v>333</v>
      </c>
      <c r="AJ203" s="20"/>
      <c r="AK203" s="20" t="s">
        <v>1274</v>
      </c>
      <c r="AL203" s="20" t="s">
        <v>2914</v>
      </c>
      <c r="AM203" s="20" t="s">
        <v>1274</v>
      </c>
      <c r="AN203" s="20" t="s">
        <v>349</v>
      </c>
      <c r="AO203" s="20"/>
      <c r="AP203" s="20" t="s">
        <v>1591</v>
      </c>
      <c r="AQ203" s="20" t="s">
        <v>349</v>
      </c>
      <c r="AR203" s="20"/>
      <c r="AS203" s="20"/>
    </row>
    <row r="204">
      <c r="A204" s="20" t="s">
        <v>2915</v>
      </c>
      <c r="B204" s="20" t="s">
        <v>910</v>
      </c>
      <c r="C204" s="20" t="s">
        <v>911</v>
      </c>
      <c r="D204" s="20"/>
      <c r="E204" s="20" t="s">
        <v>49</v>
      </c>
      <c r="F204" s="80" t="s">
        <v>2916</v>
      </c>
      <c r="G204" s="75" t="s">
        <v>2918</v>
      </c>
      <c r="H204" s="20" t="s">
        <v>123</v>
      </c>
      <c r="I204" s="20" t="s">
        <v>124</v>
      </c>
      <c r="J204" s="20" t="s">
        <v>74</v>
      </c>
      <c r="K204" s="20" t="s">
        <v>55</v>
      </c>
      <c r="L204" s="20" t="s">
        <v>56</v>
      </c>
      <c r="M204" s="20" t="s">
        <v>57</v>
      </c>
      <c r="N204" s="20" t="s">
        <v>333</v>
      </c>
      <c r="O204" s="20" t="s">
        <v>1576</v>
      </c>
      <c r="P204" s="20" t="s">
        <v>1238</v>
      </c>
      <c r="Q204" s="20" t="s">
        <v>59</v>
      </c>
      <c r="R204" s="20" t="s">
        <v>333</v>
      </c>
      <c r="S204" s="20" t="s">
        <v>333</v>
      </c>
      <c r="T204" s="20"/>
      <c r="U204" s="20"/>
      <c r="V204" s="20" t="s">
        <v>344</v>
      </c>
      <c r="W204" s="20" t="s">
        <v>333</v>
      </c>
      <c r="X204" s="20" t="s">
        <v>333</v>
      </c>
      <c r="Y204" s="20" t="s">
        <v>333</v>
      </c>
      <c r="Z204" s="20" t="s">
        <v>333</v>
      </c>
      <c r="AA204" s="20" t="s">
        <v>333</v>
      </c>
      <c r="AB204" s="20" t="s">
        <v>333</v>
      </c>
      <c r="AC204" s="20"/>
      <c r="AD204" s="20" t="s">
        <v>333</v>
      </c>
      <c r="AE204" s="20" t="s">
        <v>333</v>
      </c>
      <c r="AF204" s="20" t="s">
        <v>333</v>
      </c>
      <c r="AG204" s="20" t="s">
        <v>344</v>
      </c>
      <c r="AH204" s="20" t="s">
        <v>344</v>
      </c>
      <c r="AI204" s="20" t="s">
        <v>333</v>
      </c>
      <c r="AJ204" s="20"/>
      <c r="AK204" s="20" t="s">
        <v>1596</v>
      </c>
      <c r="AL204" s="20" t="s">
        <v>1556</v>
      </c>
      <c r="AM204" s="20" t="s">
        <v>1596</v>
      </c>
      <c r="AN204" s="20" t="s">
        <v>349</v>
      </c>
      <c r="AO204" s="20"/>
      <c r="AP204" s="20" t="s">
        <v>1576</v>
      </c>
      <c r="AQ204" s="20" t="s">
        <v>1238</v>
      </c>
      <c r="AR204" s="20"/>
      <c r="AS204" s="20"/>
    </row>
    <row r="205">
      <c r="A205" s="20" t="s">
        <v>2920</v>
      </c>
      <c r="B205" s="20" t="s">
        <v>548</v>
      </c>
      <c r="C205" s="20" t="s">
        <v>550</v>
      </c>
      <c r="D205" s="20"/>
      <c r="E205" s="20" t="s">
        <v>49</v>
      </c>
      <c r="F205" s="29" t="s">
        <v>69</v>
      </c>
      <c r="G205" s="29" t="s">
        <v>69</v>
      </c>
      <c r="H205" s="20" t="s">
        <v>53</v>
      </c>
      <c r="I205" s="20" t="s">
        <v>54</v>
      </c>
      <c r="J205" s="20" t="s">
        <v>54</v>
      </c>
      <c r="K205" s="20" t="s">
        <v>55</v>
      </c>
      <c r="L205" s="20" t="s">
        <v>56</v>
      </c>
      <c r="M205" s="20" t="s">
        <v>57</v>
      </c>
      <c r="N205" s="20" t="s">
        <v>333</v>
      </c>
      <c r="O205" s="20" t="s">
        <v>1556</v>
      </c>
      <c r="P205" s="20" t="s">
        <v>1688</v>
      </c>
      <c r="Q205" s="20" t="s">
        <v>59</v>
      </c>
      <c r="R205" s="20" t="s">
        <v>333</v>
      </c>
      <c r="S205" s="20" t="s">
        <v>333</v>
      </c>
      <c r="T205" s="20"/>
      <c r="U205" s="20"/>
      <c r="V205" s="20" t="s">
        <v>344</v>
      </c>
      <c r="W205" s="20" t="s">
        <v>333</v>
      </c>
      <c r="X205" s="20" t="s">
        <v>333</v>
      </c>
      <c r="Y205" s="20" t="s">
        <v>333</v>
      </c>
      <c r="Z205" s="20" t="s">
        <v>333</v>
      </c>
      <c r="AA205" s="20" t="s">
        <v>333</v>
      </c>
      <c r="AB205" s="20" t="s">
        <v>333</v>
      </c>
      <c r="AC205" s="20"/>
      <c r="AD205" s="20" t="s">
        <v>333</v>
      </c>
      <c r="AE205" s="20" t="s">
        <v>333</v>
      </c>
      <c r="AF205" s="20" t="s">
        <v>333</v>
      </c>
      <c r="AG205" s="20" t="s">
        <v>344</v>
      </c>
      <c r="AH205" s="20" t="s">
        <v>344</v>
      </c>
      <c r="AI205" s="20" t="s">
        <v>333</v>
      </c>
      <c r="AJ205" s="20"/>
      <c r="AK205" s="20" t="s">
        <v>1595</v>
      </c>
      <c r="AL205" s="20" t="s">
        <v>1695</v>
      </c>
      <c r="AM205" s="20" t="s">
        <v>1595</v>
      </c>
      <c r="AN205" s="20" t="s">
        <v>349</v>
      </c>
      <c r="AO205" s="20"/>
      <c r="AP205" s="20" t="s">
        <v>1556</v>
      </c>
      <c r="AQ205" s="20" t="s">
        <v>1688</v>
      </c>
      <c r="AR205" s="20"/>
      <c r="AS205" s="20"/>
    </row>
    <row r="206">
      <c r="A206" s="20" t="s">
        <v>2925</v>
      </c>
      <c r="B206" s="20" t="s">
        <v>2926</v>
      </c>
      <c r="C206" s="20" t="s">
        <v>2927</v>
      </c>
      <c r="D206" s="20"/>
      <c r="E206" s="20" t="s">
        <v>49</v>
      </c>
      <c r="F206" s="80" t="s">
        <v>2928</v>
      </c>
      <c r="G206" s="71" t="s">
        <v>2929</v>
      </c>
      <c r="H206" s="20" t="s">
        <v>285</v>
      </c>
      <c r="I206" s="20" t="s">
        <v>286</v>
      </c>
      <c r="J206" s="20" t="s">
        <v>74</v>
      </c>
      <c r="K206" s="20" t="s">
        <v>55</v>
      </c>
      <c r="L206" s="20" t="s">
        <v>56</v>
      </c>
      <c r="M206" s="20" t="s">
        <v>57</v>
      </c>
      <c r="N206" s="20" t="s">
        <v>333</v>
      </c>
      <c r="O206" s="20" t="s">
        <v>1688</v>
      </c>
      <c r="P206" s="20" t="s">
        <v>1941</v>
      </c>
      <c r="Q206" s="20" t="s">
        <v>59</v>
      </c>
      <c r="R206" s="20" t="s">
        <v>333</v>
      </c>
      <c r="S206" s="20" t="s">
        <v>333</v>
      </c>
      <c r="T206" s="20"/>
      <c r="U206" s="20"/>
      <c r="V206" s="20" t="s">
        <v>344</v>
      </c>
      <c r="W206" s="20" t="s">
        <v>333</v>
      </c>
      <c r="X206" s="20" t="s">
        <v>333</v>
      </c>
      <c r="Y206" s="20" t="s">
        <v>333</v>
      </c>
      <c r="Z206" s="20" t="s">
        <v>333</v>
      </c>
      <c r="AA206" s="20" t="s">
        <v>333</v>
      </c>
      <c r="AB206" s="20" t="s">
        <v>333</v>
      </c>
      <c r="AC206" s="20"/>
      <c r="AD206" s="20" t="s">
        <v>333</v>
      </c>
      <c r="AE206" s="20" t="s">
        <v>333</v>
      </c>
      <c r="AF206" s="20" t="s">
        <v>333</v>
      </c>
      <c r="AG206" s="20" t="s">
        <v>344</v>
      </c>
      <c r="AH206" s="20" t="s">
        <v>344</v>
      </c>
      <c r="AI206" s="20" t="s">
        <v>333</v>
      </c>
      <c r="AJ206" s="20"/>
      <c r="AK206" s="20" t="s">
        <v>1244</v>
      </c>
      <c r="AL206" s="20" t="s">
        <v>348</v>
      </c>
      <c r="AM206" s="20" t="s">
        <v>1244</v>
      </c>
      <c r="AN206" s="20" t="s">
        <v>349</v>
      </c>
      <c r="AO206" s="20"/>
      <c r="AP206" s="20" t="s">
        <v>1688</v>
      </c>
      <c r="AQ206" s="20" t="s">
        <v>1941</v>
      </c>
      <c r="AR206" s="20"/>
      <c r="AS206" s="20"/>
    </row>
    <row r="207">
      <c r="A207" s="20" t="s">
        <v>2935</v>
      </c>
      <c r="B207" s="20" t="s">
        <v>2936</v>
      </c>
      <c r="C207" s="20" t="s">
        <v>2937</v>
      </c>
      <c r="D207" s="20" t="s">
        <v>2938</v>
      </c>
      <c r="E207" s="20" t="s">
        <v>49</v>
      </c>
      <c r="F207" s="29" t="s">
        <v>69</v>
      </c>
      <c r="G207" s="29" t="s">
        <v>69</v>
      </c>
      <c r="H207" s="20" t="s">
        <v>123</v>
      </c>
      <c r="I207" s="20" t="s">
        <v>124</v>
      </c>
      <c r="J207" s="20" t="s">
        <v>74</v>
      </c>
      <c r="K207" s="20" t="s">
        <v>55</v>
      </c>
      <c r="L207" s="20" t="s">
        <v>56</v>
      </c>
      <c r="M207" s="20" t="s">
        <v>57</v>
      </c>
      <c r="N207" s="20" t="s">
        <v>333</v>
      </c>
      <c r="O207" s="20" t="s">
        <v>1269</v>
      </c>
      <c r="P207" s="20" t="s">
        <v>2146</v>
      </c>
      <c r="Q207" s="20" t="s">
        <v>59</v>
      </c>
      <c r="R207" s="20" t="s">
        <v>333</v>
      </c>
      <c r="S207" s="20" t="s">
        <v>333</v>
      </c>
      <c r="T207" s="20" t="s">
        <v>2941</v>
      </c>
      <c r="U207" s="20"/>
      <c r="V207" s="20" t="s">
        <v>344</v>
      </c>
      <c r="W207" s="20" t="s">
        <v>333</v>
      </c>
      <c r="X207" s="20" t="s">
        <v>333</v>
      </c>
      <c r="Y207" s="20" t="s">
        <v>333</v>
      </c>
      <c r="Z207" s="20" t="s">
        <v>333</v>
      </c>
      <c r="AA207" s="20" t="s">
        <v>333</v>
      </c>
      <c r="AB207" s="20" t="s">
        <v>333</v>
      </c>
      <c r="AC207" s="20"/>
      <c r="AD207" s="20" t="s">
        <v>333</v>
      </c>
      <c r="AE207" s="20" t="s">
        <v>333</v>
      </c>
      <c r="AF207" s="20" t="s">
        <v>333</v>
      </c>
      <c r="AG207" s="20" t="s">
        <v>344</v>
      </c>
      <c r="AH207" s="20" t="s">
        <v>344</v>
      </c>
      <c r="AI207" s="20" t="s">
        <v>333</v>
      </c>
      <c r="AJ207" s="20"/>
      <c r="AK207" s="20" t="s">
        <v>347</v>
      </c>
      <c r="AL207" s="20" t="s">
        <v>1673</v>
      </c>
      <c r="AM207" s="20" t="s">
        <v>347</v>
      </c>
      <c r="AN207" s="20" t="s">
        <v>349</v>
      </c>
      <c r="AO207" s="20"/>
      <c r="AP207" s="20" t="s">
        <v>1269</v>
      </c>
      <c r="AQ207" s="20" t="s">
        <v>2146</v>
      </c>
      <c r="AR207" s="20"/>
      <c r="AS207" s="20"/>
    </row>
    <row r="208">
      <c r="A208" s="20" t="s">
        <v>2942</v>
      </c>
      <c r="B208" s="20" t="s">
        <v>85</v>
      </c>
      <c r="C208" s="20" t="s">
        <v>86</v>
      </c>
      <c r="D208" s="20"/>
      <c r="E208" s="20" t="s">
        <v>49</v>
      </c>
      <c r="F208" s="80" t="s">
        <v>2944</v>
      </c>
      <c r="G208" s="75" t="s">
        <v>2945</v>
      </c>
      <c r="H208" s="20" t="s">
        <v>91</v>
      </c>
      <c r="I208" s="20" t="s">
        <v>92</v>
      </c>
      <c r="J208" s="20" t="s">
        <v>92</v>
      </c>
      <c r="K208" s="20" t="s">
        <v>55</v>
      </c>
      <c r="L208" s="20" t="s">
        <v>56</v>
      </c>
      <c r="M208" s="20" t="s">
        <v>57</v>
      </c>
      <c r="N208" s="20" t="s">
        <v>333</v>
      </c>
      <c r="O208" s="20" t="s">
        <v>2400</v>
      </c>
      <c r="P208" s="20" t="s">
        <v>2946</v>
      </c>
      <c r="Q208" s="20" t="s">
        <v>59</v>
      </c>
      <c r="R208" s="20" t="s">
        <v>333</v>
      </c>
      <c r="S208" s="20" t="s">
        <v>333</v>
      </c>
      <c r="T208" s="20"/>
      <c r="U208" s="20"/>
      <c r="V208" s="20" t="s">
        <v>344</v>
      </c>
      <c r="W208" s="20" t="s">
        <v>333</v>
      </c>
      <c r="X208" s="20" t="s">
        <v>333</v>
      </c>
      <c r="Y208" s="20" t="s">
        <v>333</v>
      </c>
      <c r="Z208" s="20" t="s">
        <v>333</v>
      </c>
      <c r="AA208" s="20" t="s">
        <v>333</v>
      </c>
      <c r="AB208" s="20" t="s">
        <v>333</v>
      </c>
      <c r="AC208" s="20"/>
      <c r="AD208" s="20" t="s">
        <v>333</v>
      </c>
      <c r="AE208" s="20" t="s">
        <v>333</v>
      </c>
      <c r="AF208" s="20" t="s">
        <v>333</v>
      </c>
      <c r="AG208" s="20" t="s">
        <v>344</v>
      </c>
      <c r="AH208" s="20" t="s">
        <v>344</v>
      </c>
      <c r="AI208" s="20" t="s">
        <v>333</v>
      </c>
      <c r="AJ208" s="20"/>
      <c r="AK208" s="20" t="s">
        <v>347</v>
      </c>
      <c r="AL208" s="20" t="s">
        <v>1586</v>
      </c>
      <c r="AM208" s="20" t="s">
        <v>347</v>
      </c>
      <c r="AN208" s="20" t="s">
        <v>349</v>
      </c>
      <c r="AO208" s="20"/>
      <c r="AP208" s="20" t="s">
        <v>2400</v>
      </c>
      <c r="AQ208" s="20" t="s">
        <v>2946</v>
      </c>
      <c r="AR208" s="20"/>
      <c r="AS208" s="20"/>
    </row>
    <row r="209">
      <c r="A209" s="20" t="s">
        <v>2951</v>
      </c>
      <c r="B209" s="20" t="s">
        <v>309</v>
      </c>
      <c r="C209" s="20" t="s">
        <v>310</v>
      </c>
      <c r="D209" s="20" t="s">
        <v>312</v>
      </c>
      <c r="E209" s="20" t="s">
        <v>49</v>
      </c>
      <c r="F209" s="80" t="s">
        <v>2952</v>
      </c>
      <c r="G209" s="29" t="s">
        <v>69</v>
      </c>
      <c r="H209" s="20" t="s">
        <v>75</v>
      </c>
      <c r="I209" s="20" t="s">
        <v>76</v>
      </c>
      <c r="J209" s="20" t="s">
        <v>76</v>
      </c>
      <c r="K209" s="20" t="s">
        <v>55</v>
      </c>
      <c r="L209" s="20" t="s">
        <v>56</v>
      </c>
      <c r="M209" s="20" t="s">
        <v>57</v>
      </c>
      <c r="N209" s="20" t="s">
        <v>333</v>
      </c>
      <c r="O209" s="20" t="s">
        <v>1682</v>
      </c>
      <c r="P209" s="20" t="s">
        <v>1239</v>
      </c>
      <c r="Q209" s="20" t="s">
        <v>59</v>
      </c>
      <c r="R209" s="20" t="s">
        <v>333</v>
      </c>
      <c r="S209" s="20" t="s">
        <v>333</v>
      </c>
      <c r="T209" s="20" t="s">
        <v>275</v>
      </c>
      <c r="U209" s="20"/>
      <c r="V209" s="20" t="s">
        <v>344</v>
      </c>
      <c r="W209" s="20" t="s">
        <v>333</v>
      </c>
      <c r="X209" s="20" t="s">
        <v>333</v>
      </c>
      <c r="Y209" s="20" t="s">
        <v>333</v>
      </c>
      <c r="Z209" s="20" t="s">
        <v>333</v>
      </c>
      <c r="AA209" s="20" t="s">
        <v>333</v>
      </c>
      <c r="AB209" s="20" t="s">
        <v>333</v>
      </c>
      <c r="AC209" s="20"/>
      <c r="AD209" s="20" t="s">
        <v>333</v>
      </c>
      <c r="AE209" s="20" t="s">
        <v>333</v>
      </c>
      <c r="AF209" s="20" t="s">
        <v>333</v>
      </c>
      <c r="AG209" s="20" t="s">
        <v>344</v>
      </c>
      <c r="AH209" s="20" t="s">
        <v>344</v>
      </c>
      <c r="AI209" s="20" t="s">
        <v>333</v>
      </c>
      <c r="AJ209" s="20"/>
      <c r="AK209" s="20" t="s">
        <v>1595</v>
      </c>
      <c r="AL209" s="20" t="s">
        <v>348</v>
      </c>
      <c r="AM209" s="20" t="s">
        <v>1595</v>
      </c>
      <c r="AN209" s="20" t="s">
        <v>349</v>
      </c>
      <c r="AO209" s="20" t="s">
        <v>321</v>
      </c>
      <c r="AP209" s="20" t="s">
        <v>1682</v>
      </c>
      <c r="AQ209" s="20" t="s">
        <v>1239</v>
      </c>
      <c r="AR209" s="20"/>
      <c r="AS209" s="20"/>
    </row>
    <row r="210">
      <c r="A210" s="20" t="s">
        <v>2954</v>
      </c>
      <c r="B210" s="20" t="s">
        <v>515</v>
      </c>
      <c r="C210" s="20" t="s">
        <v>516</v>
      </c>
      <c r="D210" s="20"/>
      <c r="E210" s="20" t="s">
        <v>49</v>
      </c>
      <c r="F210" s="80" t="s">
        <v>2957</v>
      </c>
      <c r="G210" s="54" t="s">
        <v>2960</v>
      </c>
      <c r="H210" s="20" t="s">
        <v>147</v>
      </c>
      <c r="I210" s="20" t="s">
        <v>148</v>
      </c>
      <c r="J210" s="20" t="s">
        <v>148</v>
      </c>
      <c r="K210" s="20" t="s">
        <v>55</v>
      </c>
      <c r="L210" s="20" t="s">
        <v>56</v>
      </c>
      <c r="M210" s="20" t="s">
        <v>57</v>
      </c>
      <c r="N210" s="20" t="s">
        <v>333</v>
      </c>
      <c r="O210" s="20"/>
      <c r="P210" s="20"/>
      <c r="Q210" s="20" t="s">
        <v>59</v>
      </c>
      <c r="R210" s="20" t="s">
        <v>333</v>
      </c>
      <c r="S210" s="20" t="s">
        <v>333</v>
      </c>
      <c r="T210" s="20"/>
      <c r="U210" s="20"/>
      <c r="V210" s="20" t="s">
        <v>344</v>
      </c>
      <c r="W210" s="20" t="s">
        <v>333</v>
      </c>
      <c r="X210" s="20" t="s">
        <v>333</v>
      </c>
      <c r="Y210" s="20" t="s">
        <v>333</v>
      </c>
      <c r="Z210" s="20" t="s">
        <v>333</v>
      </c>
      <c r="AA210" s="20" t="s">
        <v>333</v>
      </c>
      <c r="AB210" s="20" t="s">
        <v>333</v>
      </c>
      <c r="AC210" s="20"/>
      <c r="AD210" s="20" t="s">
        <v>333</v>
      </c>
      <c r="AE210" s="20" t="s">
        <v>333</v>
      </c>
      <c r="AF210" s="20" t="s">
        <v>333</v>
      </c>
      <c r="AG210" s="20" t="s">
        <v>344</v>
      </c>
      <c r="AH210" s="20" t="s">
        <v>344</v>
      </c>
      <c r="AI210" s="20" t="s">
        <v>333</v>
      </c>
      <c r="AJ210" s="20"/>
      <c r="AK210" s="20" t="s">
        <v>349</v>
      </c>
      <c r="AL210" s="20" t="s">
        <v>349</v>
      </c>
      <c r="AM210" s="20" t="s">
        <v>349</v>
      </c>
      <c r="AN210" s="20" t="s">
        <v>349</v>
      </c>
      <c r="AO210" s="20"/>
      <c r="AP210" s="20" t="s">
        <v>349</v>
      </c>
      <c r="AQ210" s="20" t="s">
        <v>349</v>
      </c>
      <c r="AR210" s="20"/>
      <c r="AS210" s="20"/>
    </row>
    <row r="211">
      <c r="A211" s="20" t="s">
        <v>2961</v>
      </c>
      <c r="B211" s="20" t="s">
        <v>494</v>
      </c>
      <c r="C211" s="20" t="s">
        <v>495</v>
      </c>
      <c r="D211" s="20"/>
      <c r="E211" s="20" t="s">
        <v>49</v>
      </c>
      <c r="F211" s="71" t="s">
        <v>2962</v>
      </c>
      <c r="G211" s="54" t="s">
        <v>2964</v>
      </c>
      <c r="H211" s="20" t="s">
        <v>497</v>
      </c>
      <c r="I211" s="20" t="s">
        <v>498</v>
      </c>
      <c r="J211" s="20" t="s">
        <v>498</v>
      </c>
      <c r="K211" s="20" t="s">
        <v>55</v>
      </c>
      <c r="L211" s="20" t="s">
        <v>56</v>
      </c>
      <c r="M211" s="20" t="s">
        <v>57</v>
      </c>
      <c r="N211" s="20" t="s">
        <v>333</v>
      </c>
      <c r="O211" s="20" t="s">
        <v>1586</v>
      </c>
      <c r="P211" s="20" t="s">
        <v>2006</v>
      </c>
      <c r="Q211" s="20" t="s">
        <v>59</v>
      </c>
      <c r="R211" s="20" t="s">
        <v>333</v>
      </c>
      <c r="S211" s="20" t="s">
        <v>333</v>
      </c>
      <c r="T211" s="20"/>
      <c r="U211" s="20"/>
      <c r="V211" s="20" t="s">
        <v>344</v>
      </c>
      <c r="W211" s="20" t="s">
        <v>333</v>
      </c>
      <c r="X211" s="20" t="s">
        <v>333</v>
      </c>
      <c r="Y211" s="20" t="s">
        <v>333</v>
      </c>
      <c r="Z211" s="20" t="s">
        <v>333</v>
      </c>
      <c r="AA211" s="20" t="s">
        <v>333</v>
      </c>
      <c r="AB211" s="20" t="s">
        <v>333</v>
      </c>
      <c r="AC211" s="20"/>
      <c r="AD211" s="20" t="s">
        <v>333</v>
      </c>
      <c r="AE211" s="20" t="s">
        <v>333</v>
      </c>
      <c r="AF211" s="20" t="s">
        <v>333</v>
      </c>
      <c r="AG211" s="20" t="s">
        <v>344</v>
      </c>
      <c r="AH211" s="20" t="s">
        <v>344</v>
      </c>
      <c r="AI211" s="20" t="s">
        <v>333</v>
      </c>
      <c r="AJ211" s="20"/>
      <c r="AK211" s="20" t="s">
        <v>1663</v>
      </c>
      <c r="AL211" s="20" t="s">
        <v>1245</v>
      </c>
      <c r="AM211" s="20" t="s">
        <v>1663</v>
      </c>
      <c r="AN211" s="20" t="s">
        <v>349</v>
      </c>
      <c r="AO211" s="20"/>
      <c r="AP211" s="20" t="s">
        <v>1586</v>
      </c>
      <c r="AQ211" s="20" t="s">
        <v>2006</v>
      </c>
      <c r="AR211" s="20"/>
      <c r="AS211" s="20"/>
    </row>
    <row r="212">
      <c r="A212" s="20" t="s">
        <v>2966</v>
      </c>
      <c r="B212" s="20" t="s">
        <v>1432</v>
      </c>
      <c r="C212" s="20" t="s">
        <v>1433</v>
      </c>
      <c r="D212" s="20"/>
      <c r="E212" s="20" t="s">
        <v>49</v>
      </c>
      <c r="F212" s="80" t="s">
        <v>2967</v>
      </c>
      <c r="G212" s="101" t="s">
        <v>2968</v>
      </c>
      <c r="H212" s="20" t="s">
        <v>1367</v>
      </c>
      <c r="I212" s="20" t="s">
        <v>1368</v>
      </c>
      <c r="J212" s="20" t="s">
        <v>74</v>
      </c>
      <c r="K212" s="20" t="s">
        <v>55</v>
      </c>
      <c r="L212" s="20" t="s">
        <v>56</v>
      </c>
      <c r="M212" s="20" t="s">
        <v>57</v>
      </c>
      <c r="N212" s="20" t="s">
        <v>333</v>
      </c>
      <c r="O212" s="20" t="s">
        <v>1596</v>
      </c>
      <c r="P212" s="20" t="s">
        <v>1238</v>
      </c>
      <c r="Q212" s="20" t="s">
        <v>59</v>
      </c>
      <c r="R212" s="20" t="s">
        <v>333</v>
      </c>
      <c r="S212" s="20" t="s">
        <v>333</v>
      </c>
      <c r="T212" s="20"/>
      <c r="U212" s="20"/>
      <c r="V212" s="20" t="s">
        <v>344</v>
      </c>
      <c r="W212" s="20" t="s">
        <v>333</v>
      </c>
      <c r="X212" s="20" t="s">
        <v>333</v>
      </c>
      <c r="Y212" s="20" t="s">
        <v>333</v>
      </c>
      <c r="Z212" s="20" t="s">
        <v>333</v>
      </c>
      <c r="AA212" s="20" t="s">
        <v>333</v>
      </c>
      <c r="AB212" s="20" t="s">
        <v>333</v>
      </c>
      <c r="AC212" s="20"/>
      <c r="AD212" s="20" t="s">
        <v>333</v>
      </c>
      <c r="AE212" s="20" t="s">
        <v>333</v>
      </c>
      <c r="AF212" s="20" t="s">
        <v>333</v>
      </c>
      <c r="AG212" s="20" t="s">
        <v>344</v>
      </c>
      <c r="AH212" s="20" t="s">
        <v>344</v>
      </c>
      <c r="AI212" s="20" t="s">
        <v>333</v>
      </c>
      <c r="AJ212" s="20"/>
      <c r="AK212" s="20" t="s">
        <v>1244</v>
      </c>
      <c r="AL212" s="20" t="s">
        <v>1556</v>
      </c>
      <c r="AM212" s="20" t="s">
        <v>1244</v>
      </c>
      <c r="AN212" s="20" t="s">
        <v>349</v>
      </c>
      <c r="AO212" s="20"/>
      <c r="AP212" s="20" t="s">
        <v>1596</v>
      </c>
      <c r="AQ212" s="20" t="s">
        <v>1238</v>
      </c>
      <c r="AR212" s="20"/>
      <c r="AS212" s="20"/>
    </row>
    <row r="213">
      <c r="A213" s="20" t="s">
        <v>2971</v>
      </c>
      <c r="B213" s="20" t="s">
        <v>1324</v>
      </c>
      <c r="C213" s="20" t="s">
        <v>1325</v>
      </c>
      <c r="D213" s="20"/>
      <c r="E213" s="20" t="s">
        <v>49</v>
      </c>
      <c r="F213" s="80" t="s">
        <v>2972</v>
      </c>
      <c r="G213" s="101" t="s">
        <v>2973</v>
      </c>
      <c r="H213" s="20" t="s">
        <v>142</v>
      </c>
      <c r="I213" s="20" t="s">
        <v>144</v>
      </c>
      <c r="J213" s="20" t="s">
        <v>74</v>
      </c>
      <c r="K213" s="20" t="s">
        <v>55</v>
      </c>
      <c r="L213" s="20" t="s">
        <v>56</v>
      </c>
      <c r="M213" s="20" t="s">
        <v>57</v>
      </c>
      <c r="N213" s="20" t="s">
        <v>333</v>
      </c>
      <c r="O213" s="20" t="s">
        <v>1559</v>
      </c>
      <c r="P213" s="20" t="s">
        <v>1920</v>
      </c>
      <c r="Q213" s="20" t="s">
        <v>59</v>
      </c>
      <c r="R213" s="20" t="s">
        <v>333</v>
      </c>
      <c r="S213" s="20" t="s">
        <v>333</v>
      </c>
      <c r="T213" s="20"/>
      <c r="U213" s="20"/>
      <c r="V213" s="20" t="s">
        <v>344</v>
      </c>
      <c r="W213" s="20" t="s">
        <v>333</v>
      </c>
      <c r="X213" s="20" t="s">
        <v>333</v>
      </c>
      <c r="Y213" s="20" t="s">
        <v>333</v>
      </c>
      <c r="Z213" s="20" t="s">
        <v>333</v>
      </c>
      <c r="AA213" s="20" t="s">
        <v>333</v>
      </c>
      <c r="AB213" s="20" t="s">
        <v>333</v>
      </c>
      <c r="AC213" s="20"/>
      <c r="AD213" s="20" t="s">
        <v>333</v>
      </c>
      <c r="AE213" s="20" t="s">
        <v>333</v>
      </c>
      <c r="AF213" s="20" t="s">
        <v>333</v>
      </c>
      <c r="AG213" s="20" t="s">
        <v>344</v>
      </c>
      <c r="AH213" s="20" t="s">
        <v>344</v>
      </c>
      <c r="AI213" s="20" t="s">
        <v>333</v>
      </c>
      <c r="AJ213" s="20"/>
      <c r="AK213" s="20" t="s">
        <v>347</v>
      </c>
      <c r="AL213" s="20" t="s">
        <v>1556</v>
      </c>
      <c r="AM213" s="20" t="s">
        <v>347</v>
      </c>
      <c r="AN213" s="20" t="s">
        <v>349</v>
      </c>
      <c r="AO213" s="20"/>
      <c r="AP213" s="20" t="s">
        <v>1559</v>
      </c>
      <c r="AQ213" s="20" t="s">
        <v>1920</v>
      </c>
      <c r="AR213" s="20"/>
      <c r="AS213" s="20"/>
    </row>
    <row r="214">
      <c r="A214" s="32" t="s">
        <v>2974</v>
      </c>
      <c r="B214" s="32" t="s">
        <v>223</v>
      </c>
      <c r="C214" s="32" t="s">
        <v>224</v>
      </c>
      <c r="D214" s="48" t="s">
        <v>2975</v>
      </c>
      <c r="E214" s="32" t="s">
        <v>49</v>
      </c>
      <c r="F214" s="32" t="s">
        <v>226</v>
      </c>
      <c r="G214" s="32" t="s">
        <v>230</v>
      </c>
      <c r="H214" s="32" t="s">
        <v>147</v>
      </c>
      <c r="I214" s="32" t="s">
        <v>148</v>
      </c>
      <c r="J214" s="32" t="s">
        <v>148</v>
      </c>
      <c r="K214" s="32" t="s">
        <v>55</v>
      </c>
      <c r="L214" s="32" t="s">
        <v>56</v>
      </c>
      <c r="M214" s="32" t="s">
        <v>57</v>
      </c>
      <c r="N214" s="32" t="s">
        <v>333</v>
      </c>
      <c r="O214" s="32" t="s">
        <v>1238</v>
      </c>
      <c r="P214" s="32" t="s">
        <v>1556</v>
      </c>
      <c r="Q214" s="32" t="s">
        <v>59</v>
      </c>
      <c r="R214" s="32" t="s">
        <v>333</v>
      </c>
      <c r="S214" s="32" t="s">
        <v>333</v>
      </c>
      <c r="T214" s="32"/>
      <c r="U214" s="32"/>
      <c r="V214" s="32" t="s">
        <v>344</v>
      </c>
      <c r="W214" s="32" t="s">
        <v>333</v>
      </c>
      <c r="X214" s="32" t="s">
        <v>333</v>
      </c>
      <c r="Y214" s="32" t="s">
        <v>333</v>
      </c>
      <c r="Z214" s="32" t="s">
        <v>333</v>
      </c>
      <c r="AA214" s="32" t="s">
        <v>333</v>
      </c>
      <c r="AB214" s="32" t="s">
        <v>333</v>
      </c>
      <c r="AC214" s="32"/>
      <c r="AD214" s="32" t="s">
        <v>333</v>
      </c>
      <c r="AE214" s="32" t="s">
        <v>333</v>
      </c>
      <c r="AF214" s="32" t="s">
        <v>333</v>
      </c>
      <c r="AG214" s="32" t="s">
        <v>344</v>
      </c>
      <c r="AH214" s="32" t="s">
        <v>344</v>
      </c>
      <c r="AI214" s="32" t="s">
        <v>333</v>
      </c>
      <c r="AJ214" s="32"/>
      <c r="AK214" s="32" t="s">
        <v>1244</v>
      </c>
      <c r="AL214" s="32" t="s">
        <v>1245</v>
      </c>
      <c r="AM214" s="32" t="s">
        <v>1244</v>
      </c>
      <c r="AN214" s="32" t="s">
        <v>349</v>
      </c>
      <c r="AO214" s="32"/>
      <c r="AP214" s="32" t="s">
        <v>1238</v>
      </c>
      <c r="AQ214" s="32" t="s">
        <v>1556</v>
      </c>
      <c r="AR214" s="21" t="s">
        <v>1931</v>
      </c>
      <c r="AS214" s="21">
        <v>2.0</v>
      </c>
    </row>
    <row r="215">
      <c r="A215" s="20" t="s">
        <v>2977</v>
      </c>
      <c r="B215" s="20" t="s">
        <v>857</v>
      </c>
      <c r="C215" s="20" t="s">
        <v>858</v>
      </c>
      <c r="D215" s="20"/>
      <c r="E215" s="20" t="s">
        <v>49</v>
      </c>
      <c r="F215" s="80" t="s">
        <v>2978</v>
      </c>
      <c r="G215" s="29" t="s">
        <v>69</v>
      </c>
      <c r="H215" s="20" t="s">
        <v>860</v>
      </c>
      <c r="I215" s="20" t="s">
        <v>861</v>
      </c>
      <c r="J215" s="20" t="s">
        <v>74</v>
      </c>
      <c r="K215" s="20" t="s">
        <v>55</v>
      </c>
      <c r="L215" s="20" t="s">
        <v>56</v>
      </c>
      <c r="M215" s="20" t="s">
        <v>57</v>
      </c>
      <c r="N215" s="20" t="s">
        <v>333</v>
      </c>
      <c r="O215" s="20" t="s">
        <v>1920</v>
      </c>
      <c r="P215" s="20" t="s">
        <v>2005</v>
      </c>
      <c r="Q215" s="20" t="s">
        <v>59</v>
      </c>
      <c r="R215" s="20" t="s">
        <v>333</v>
      </c>
      <c r="S215" s="20" t="s">
        <v>333</v>
      </c>
      <c r="T215" s="20"/>
      <c r="U215" s="20"/>
      <c r="V215" s="20" t="s">
        <v>344</v>
      </c>
      <c r="W215" s="20" t="s">
        <v>333</v>
      </c>
      <c r="X215" s="20" t="s">
        <v>333</v>
      </c>
      <c r="Y215" s="20" t="s">
        <v>333</v>
      </c>
      <c r="Z215" s="20" t="s">
        <v>333</v>
      </c>
      <c r="AA215" s="20" t="s">
        <v>333</v>
      </c>
      <c r="AB215" s="20" t="s">
        <v>333</v>
      </c>
      <c r="AC215" s="20"/>
      <c r="AD215" s="20" t="s">
        <v>333</v>
      </c>
      <c r="AE215" s="20" t="s">
        <v>333</v>
      </c>
      <c r="AF215" s="20" t="s">
        <v>333</v>
      </c>
      <c r="AG215" s="20" t="s">
        <v>344</v>
      </c>
      <c r="AH215" s="20" t="s">
        <v>344</v>
      </c>
      <c r="AI215" s="20" t="s">
        <v>333</v>
      </c>
      <c r="AJ215" s="20"/>
      <c r="AK215" s="20" t="s">
        <v>1587</v>
      </c>
      <c r="AL215" s="20" t="s">
        <v>1596</v>
      </c>
      <c r="AM215" s="20" t="s">
        <v>1587</v>
      </c>
      <c r="AN215" s="20" t="s">
        <v>349</v>
      </c>
      <c r="AO215" s="20"/>
      <c r="AP215" s="20" t="s">
        <v>1920</v>
      </c>
      <c r="AQ215" s="20" t="s">
        <v>2005</v>
      </c>
      <c r="AR215" s="20"/>
      <c r="AS215" s="20"/>
    </row>
    <row r="216">
      <c r="A216" s="20" t="s">
        <v>2983</v>
      </c>
      <c r="B216" s="20" t="s">
        <v>1037</v>
      </c>
      <c r="C216" s="20" t="s">
        <v>1038</v>
      </c>
      <c r="D216" s="20"/>
      <c r="E216" s="20" t="s">
        <v>49</v>
      </c>
      <c r="F216" s="80" t="s">
        <v>2984</v>
      </c>
      <c r="G216" s="20" t="s">
        <v>2985</v>
      </c>
      <c r="H216" s="20" t="s">
        <v>142</v>
      </c>
      <c r="I216" s="20" t="s">
        <v>144</v>
      </c>
      <c r="J216" s="20" t="s">
        <v>74</v>
      </c>
      <c r="K216" s="20" t="s">
        <v>55</v>
      </c>
      <c r="L216" s="20" t="s">
        <v>56</v>
      </c>
      <c r="M216" s="20" t="s">
        <v>57</v>
      </c>
      <c r="N216" s="20" t="s">
        <v>333</v>
      </c>
      <c r="O216" s="20" t="s">
        <v>2051</v>
      </c>
      <c r="P216" s="20" t="s">
        <v>2051</v>
      </c>
      <c r="Q216" s="20" t="s">
        <v>59</v>
      </c>
      <c r="R216" s="20" t="s">
        <v>333</v>
      </c>
      <c r="S216" s="20" t="s">
        <v>333</v>
      </c>
      <c r="T216" s="20"/>
      <c r="U216" s="20"/>
      <c r="V216" s="20" t="s">
        <v>344</v>
      </c>
      <c r="W216" s="20" t="s">
        <v>333</v>
      </c>
      <c r="X216" s="20" t="s">
        <v>333</v>
      </c>
      <c r="Y216" s="20" t="s">
        <v>333</v>
      </c>
      <c r="Z216" s="20" t="s">
        <v>333</v>
      </c>
      <c r="AA216" s="20" t="s">
        <v>333</v>
      </c>
      <c r="AB216" s="20" t="s">
        <v>333</v>
      </c>
      <c r="AC216" s="20"/>
      <c r="AD216" s="20" t="s">
        <v>333</v>
      </c>
      <c r="AE216" s="20" t="s">
        <v>333</v>
      </c>
      <c r="AF216" s="20" t="s">
        <v>333</v>
      </c>
      <c r="AG216" s="20" t="s">
        <v>344</v>
      </c>
      <c r="AH216" s="20" t="s">
        <v>344</v>
      </c>
      <c r="AI216" s="20" t="s">
        <v>333</v>
      </c>
      <c r="AJ216" s="20"/>
      <c r="AK216" s="20" t="s">
        <v>349</v>
      </c>
      <c r="AL216" s="20" t="s">
        <v>1245</v>
      </c>
      <c r="AM216" s="20" t="s">
        <v>349</v>
      </c>
      <c r="AN216" s="20" t="s">
        <v>349</v>
      </c>
      <c r="AO216" s="20"/>
      <c r="AP216" s="20" t="s">
        <v>2051</v>
      </c>
      <c r="AQ216" s="20" t="s">
        <v>2051</v>
      </c>
      <c r="AR216" s="20"/>
      <c r="AS216" s="20"/>
    </row>
    <row r="217">
      <c r="A217" s="32" t="s">
        <v>2990</v>
      </c>
      <c r="B217" s="32" t="s">
        <v>1577</v>
      </c>
      <c r="C217" s="32" t="s">
        <v>1578</v>
      </c>
      <c r="D217" s="48" t="s">
        <v>1579</v>
      </c>
      <c r="E217" s="32" t="s">
        <v>49</v>
      </c>
      <c r="F217" s="32" t="s">
        <v>1580</v>
      </c>
      <c r="G217" s="32" t="s">
        <v>2991</v>
      </c>
      <c r="H217" s="32" t="s">
        <v>123</v>
      </c>
      <c r="I217" s="32" t="s">
        <v>124</v>
      </c>
      <c r="J217" s="32" t="s">
        <v>74</v>
      </c>
      <c r="K217" s="32" t="s">
        <v>55</v>
      </c>
      <c r="L217" s="32" t="s">
        <v>56</v>
      </c>
      <c r="M217" s="32" t="s">
        <v>57</v>
      </c>
      <c r="N217" s="32" t="s">
        <v>333</v>
      </c>
      <c r="O217" s="32" t="s">
        <v>1586</v>
      </c>
      <c r="P217" s="32" t="s">
        <v>348</v>
      </c>
      <c r="Q217" s="32" t="s">
        <v>59</v>
      </c>
      <c r="R217" s="32" t="s">
        <v>333</v>
      </c>
      <c r="S217" s="32" t="s">
        <v>333</v>
      </c>
      <c r="T217" s="32"/>
      <c r="U217" s="32"/>
      <c r="V217" s="32" t="s">
        <v>344</v>
      </c>
      <c r="W217" s="32" t="s">
        <v>333</v>
      </c>
      <c r="X217" s="32" t="s">
        <v>333</v>
      </c>
      <c r="Y217" s="32" t="s">
        <v>333</v>
      </c>
      <c r="Z217" s="32" t="s">
        <v>333</v>
      </c>
      <c r="AA217" s="32" t="s">
        <v>333</v>
      </c>
      <c r="AB217" s="32" t="s">
        <v>333</v>
      </c>
      <c r="AC217" s="32"/>
      <c r="AD217" s="32" t="s">
        <v>333</v>
      </c>
      <c r="AE217" s="32" t="s">
        <v>333</v>
      </c>
      <c r="AF217" s="32" t="s">
        <v>333</v>
      </c>
      <c r="AG217" s="32" t="s">
        <v>344</v>
      </c>
      <c r="AH217" s="32" t="s">
        <v>344</v>
      </c>
      <c r="AI217" s="32" t="s">
        <v>333</v>
      </c>
      <c r="AJ217" s="32"/>
      <c r="AK217" s="32" t="s">
        <v>1244</v>
      </c>
      <c r="AL217" s="32" t="s">
        <v>1673</v>
      </c>
      <c r="AM217" s="32" t="s">
        <v>1244</v>
      </c>
      <c r="AN217" s="32" t="s">
        <v>349</v>
      </c>
      <c r="AO217" s="32"/>
      <c r="AP217" s="32" t="s">
        <v>1586</v>
      </c>
      <c r="AQ217" s="32" t="s">
        <v>348</v>
      </c>
      <c r="AR217" s="21" t="s">
        <v>1931</v>
      </c>
      <c r="AS217" s="21">
        <v>2.0</v>
      </c>
    </row>
    <row r="218" ht="20.25" customHeight="1">
      <c r="A218" s="20" t="s">
        <v>2994</v>
      </c>
      <c r="B218" s="20" t="s">
        <v>479</v>
      </c>
      <c r="C218" s="20" t="s">
        <v>480</v>
      </c>
      <c r="D218" s="20"/>
      <c r="E218" s="20" t="s">
        <v>49</v>
      </c>
      <c r="F218" s="80" t="s">
        <v>1492</v>
      </c>
      <c r="G218" s="75" t="s">
        <v>1494</v>
      </c>
      <c r="H218" s="20" t="s">
        <v>147</v>
      </c>
      <c r="I218" s="20" t="s">
        <v>148</v>
      </c>
      <c r="J218" s="20" t="s">
        <v>148</v>
      </c>
      <c r="K218" s="20" t="s">
        <v>55</v>
      </c>
      <c r="L218" s="20" t="s">
        <v>56</v>
      </c>
      <c r="M218" s="20" t="s">
        <v>57</v>
      </c>
      <c r="N218" s="20" t="s">
        <v>333</v>
      </c>
      <c r="O218" s="20" t="s">
        <v>1682</v>
      </c>
      <c r="P218" s="20" t="s">
        <v>1682</v>
      </c>
      <c r="Q218" s="20" t="s">
        <v>59</v>
      </c>
      <c r="R218" s="20" t="s">
        <v>333</v>
      </c>
      <c r="S218" s="20" t="s">
        <v>333</v>
      </c>
      <c r="T218" s="20"/>
      <c r="U218" s="20"/>
      <c r="V218" s="20" t="s">
        <v>344</v>
      </c>
      <c r="W218" s="20" t="s">
        <v>333</v>
      </c>
      <c r="X218" s="20" t="s">
        <v>333</v>
      </c>
      <c r="Y218" s="20" t="s">
        <v>333</v>
      </c>
      <c r="Z218" s="20" t="s">
        <v>333</v>
      </c>
      <c r="AA218" s="20" t="s">
        <v>333</v>
      </c>
      <c r="AB218" s="20" t="s">
        <v>333</v>
      </c>
      <c r="AC218" s="20"/>
      <c r="AD218" s="20" t="s">
        <v>333</v>
      </c>
      <c r="AE218" s="20" t="s">
        <v>333</v>
      </c>
      <c r="AF218" s="20" t="s">
        <v>333</v>
      </c>
      <c r="AG218" s="20" t="s">
        <v>344</v>
      </c>
      <c r="AH218" s="20" t="s">
        <v>344</v>
      </c>
      <c r="AI218" s="20" t="s">
        <v>333</v>
      </c>
      <c r="AJ218" s="20"/>
      <c r="AK218" s="20" t="s">
        <v>1244</v>
      </c>
      <c r="AL218" s="20" t="s">
        <v>347</v>
      </c>
      <c r="AM218" s="20" t="s">
        <v>1244</v>
      </c>
      <c r="AN218" s="20" t="s">
        <v>349</v>
      </c>
      <c r="AO218" s="20"/>
      <c r="AP218" s="20" t="s">
        <v>1682</v>
      </c>
      <c r="AQ218" s="20" t="s">
        <v>1682</v>
      </c>
      <c r="AR218" s="20"/>
      <c r="AS218" s="20"/>
    </row>
    <row r="219">
      <c r="A219" s="20" t="s">
        <v>2999</v>
      </c>
      <c r="B219" s="20" t="s">
        <v>1007</v>
      </c>
      <c r="C219" s="20" t="s">
        <v>1008</v>
      </c>
      <c r="D219" s="20" t="s">
        <v>1009</v>
      </c>
      <c r="E219" s="20" t="s">
        <v>49</v>
      </c>
      <c r="F219" s="29" t="s">
        <v>69</v>
      </c>
      <c r="G219" s="29" t="s">
        <v>69</v>
      </c>
      <c r="H219" s="20" t="s">
        <v>513</v>
      </c>
      <c r="I219" s="20" t="s">
        <v>514</v>
      </c>
      <c r="J219" s="20" t="s">
        <v>74</v>
      </c>
      <c r="K219" s="20" t="s">
        <v>55</v>
      </c>
      <c r="L219" s="20" t="s">
        <v>56</v>
      </c>
      <c r="M219" s="20" t="s">
        <v>57</v>
      </c>
      <c r="N219" s="20" t="s">
        <v>333</v>
      </c>
      <c r="O219" s="20" t="s">
        <v>1586</v>
      </c>
      <c r="P219" s="20" t="s">
        <v>1586</v>
      </c>
      <c r="Q219" s="20" t="s">
        <v>59</v>
      </c>
      <c r="R219" s="20" t="s">
        <v>333</v>
      </c>
      <c r="S219" s="20" t="s">
        <v>333</v>
      </c>
      <c r="T219" s="20" t="s">
        <v>3001</v>
      </c>
      <c r="U219" s="20"/>
      <c r="V219" s="20" t="s">
        <v>344</v>
      </c>
      <c r="W219" s="20" t="s">
        <v>333</v>
      </c>
      <c r="X219" s="20" t="s">
        <v>333</v>
      </c>
      <c r="Y219" s="20" t="s">
        <v>333</v>
      </c>
      <c r="Z219" s="20" t="s">
        <v>333</v>
      </c>
      <c r="AA219" s="20" t="s">
        <v>333</v>
      </c>
      <c r="AB219" s="20" t="s">
        <v>333</v>
      </c>
      <c r="AC219" s="20"/>
      <c r="AD219" s="20" t="s">
        <v>333</v>
      </c>
      <c r="AE219" s="20" t="s">
        <v>333</v>
      </c>
      <c r="AF219" s="20" t="s">
        <v>333</v>
      </c>
      <c r="AG219" s="20" t="s">
        <v>344</v>
      </c>
      <c r="AH219" s="20" t="s">
        <v>344</v>
      </c>
      <c r="AI219" s="20" t="s">
        <v>333</v>
      </c>
      <c r="AJ219" s="20"/>
      <c r="AK219" s="20" t="s">
        <v>1244</v>
      </c>
      <c r="AL219" s="20" t="s">
        <v>1245</v>
      </c>
      <c r="AM219" s="20" t="s">
        <v>1244</v>
      </c>
      <c r="AN219" s="20" t="s">
        <v>349</v>
      </c>
      <c r="AO219" s="20"/>
      <c r="AP219" s="20" t="s">
        <v>1586</v>
      </c>
      <c r="AQ219" s="20" t="s">
        <v>1586</v>
      </c>
      <c r="AR219" s="20"/>
      <c r="AS219" s="20"/>
    </row>
    <row r="220">
      <c r="A220" s="20" t="s">
        <v>1847</v>
      </c>
      <c r="B220" s="20" t="s">
        <v>658</v>
      </c>
      <c r="C220" s="20" t="s">
        <v>660</v>
      </c>
      <c r="D220" s="20"/>
      <c r="E220" s="20" t="s">
        <v>49</v>
      </c>
      <c r="F220" s="80" t="s">
        <v>3002</v>
      </c>
      <c r="G220" s="75" t="s">
        <v>3007</v>
      </c>
      <c r="H220" s="20" t="s">
        <v>618</v>
      </c>
      <c r="I220" s="20" t="s">
        <v>148</v>
      </c>
      <c r="J220" s="20" t="s">
        <v>74</v>
      </c>
      <c r="K220" s="20" t="s">
        <v>55</v>
      </c>
      <c r="L220" s="20" t="s">
        <v>56</v>
      </c>
      <c r="M220" s="20" t="s">
        <v>57</v>
      </c>
      <c r="N220" s="20" t="s">
        <v>333</v>
      </c>
      <c r="O220" s="20" t="s">
        <v>1682</v>
      </c>
      <c r="P220" s="20" t="s">
        <v>1559</v>
      </c>
      <c r="Q220" s="20" t="s">
        <v>59</v>
      </c>
      <c r="R220" s="20" t="s">
        <v>333</v>
      </c>
      <c r="S220" s="20" t="s">
        <v>333</v>
      </c>
      <c r="T220" s="20"/>
      <c r="U220" s="20"/>
      <c r="V220" s="20" t="s">
        <v>344</v>
      </c>
      <c r="W220" s="20" t="s">
        <v>333</v>
      </c>
      <c r="X220" s="20" t="s">
        <v>333</v>
      </c>
      <c r="Y220" s="20" t="s">
        <v>333</v>
      </c>
      <c r="Z220" s="20" t="s">
        <v>333</v>
      </c>
      <c r="AA220" s="20" t="s">
        <v>333</v>
      </c>
      <c r="AB220" s="20" t="s">
        <v>333</v>
      </c>
      <c r="AC220" s="20"/>
      <c r="AD220" s="20" t="s">
        <v>333</v>
      </c>
      <c r="AE220" s="20" t="s">
        <v>333</v>
      </c>
      <c r="AF220" s="20" t="s">
        <v>333</v>
      </c>
      <c r="AG220" s="20" t="s">
        <v>344</v>
      </c>
      <c r="AH220" s="20" t="s">
        <v>344</v>
      </c>
      <c r="AI220" s="20" t="s">
        <v>333</v>
      </c>
      <c r="AJ220" s="20"/>
      <c r="AK220" s="20" t="s">
        <v>1274</v>
      </c>
      <c r="AL220" s="20" t="s">
        <v>1556</v>
      </c>
      <c r="AM220" s="20" t="s">
        <v>1274</v>
      </c>
      <c r="AN220" s="20" t="s">
        <v>349</v>
      </c>
      <c r="AO220" s="20"/>
      <c r="AP220" s="20" t="s">
        <v>1682</v>
      </c>
      <c r="AQ220" s="20" t="s">
        <v>1559</v>
      </c>
      <c r="AR220" s="20"/>
      <c r="AS220" s="20"/>
    </row>
    <row r="221">
      <c r="A221" s="32" t="s">
        <v>3009</v>
      </c>
      <c r="B221" s="32" t="s">
        <v>882</v>
      </c>
      <c r="C221" s="32" t="s">
        <v>883</v>
      </c>
      <c r="D221" s="48" t="s">
        <v>3010</v>
      </c>
      <c r="E221" s="32" t="s">
        <v>49</v>
      </c>
      <c r="F221" s="32" t="s">
        <v>2969</v>
      </c>
      <c r="G221" s="32" t="s">
        <v>3011</v>
      </c>
      <c r="H221" s="32" t="s">
        <v>75</v>
      </c>
      <c r="I221" s="32" t="s">
        <v>76</v>
      </c>
      <c r="J221" s="32" t="s">
        <v>76</v>
      </c>
      <c r="K221" s="32" t="s">
        <v>55</v>
      </c>
      <c r="L221" s="32" t="s">
        <v>56</v>
      </c>
      <c r="M221" s="32" t="s">
        <v>57</v>
      </c>
      <c r="N221" s="32" t="s">
        <v>333</v>
      </c>
      <c r="O221" s="32" t="s">
        <v>1586</v>
      </c>
      <c r="P221" s="32" t="s">
        <v>348</v>
      </c>
      <c r="Q221" s="32" t="s">
        <v>59</v>
      </c>
      <c r="R221" s="32" t="s">
        <v>333</v>
      </c>
      <c r="S221" s="32" t="s">
        <v>333</v>
      </c>
      <c r="T221" s="32"/>
      <c r="U221" s="32"/>
      <c r="V221" s="32" t="s">
        <v>344</v>
      </c>
      <c r="W221" s="32" t="s">
        <v>333</v>
      </c>
      <c r="X221" s="32" t="s">
        <v>333</v>
      </c>
      <c r="Y221" s="32" t="s">
        <v>333</v>
      </c>
      <c r="Z221" s="32" t="s">
        <v>333</v>
      </c>
      <c r="AA221" s="32" t="s">
        <v>333</v>
      </c>
      <c r="AB221" s="32" t="s">
        <v>333</v>
      </c>
      <c r="AC221" s="32"/>
      <c r="AD221" s="32" t="s">
        <v>333</v>
      </c>
      <c r="AE221" s="32" t="s">
        <v>333</v>
      </c>
      <c r="AF221" s="32" t="s">
        <v>333</v>
      </c>
      <c r="AG221" s="32" t="s">
        <v>344</v>
      </c>
      <c r="AH221" s="32" t="s">
        <v>344</v>
      </c>
      <c r="AI221" s="32" t="s">
        <v>333</v>
      </c>
      <c r="AJ221" s="32"/>
      <c r="AK221" s="32" t="s">
        <v>1244</v>
      </c>
      <c r="AL221" s="32" t="s">
        <v>1261</v>
      </c>
      <c r="AM221" s="32" t="s">
        <v>1244</v>
      </c>
      <c r="AN221" s="32" t="s">
        <v>349</v>
      </c>
      <c r="AO221" s="32"/>
      <c r="AP221" s="32" t="s">
        <v>1586</v>
      </c>
      <c r="AQ221" s="32" t="s">
        <v>348</v>
      </c>
      <c r="AR221" s="21" t="s">
        <v>1931</v>
      </c>
      <c r="AS221" s="21">
        <v>2.0</v>
      </c>
    </row>
    <row r="222">
      <c r="A222" s="20" t="s">
        <v>3016</v>
      </c>
      <c r="B222" s="20" t="s">
        <v>2887</v>
      </c>
      <c r="C222" s="20" t="s">
        <v>2888</v>
      </c>
      <c r="D222" s="20"/>
      <c r="E222" s="20" t="s">
        <v>49</v>
      </c>
      <c r="F222" s="80" t="s">
        <v>2890</v>
      </c>
      <c r="G222" s="75" t="s">
        <v>2896</v>
      </c>
      <c r="H222" s="20" t="s">
        <v>860</v>
      </c>
      <c r="I222" s="20" t="s">
        <v>861</v>
      </c>
      <c r="J222" s="20" t="s">
        <v>74</v>
      </c>
      <c r="K222" s="20" t="s">
        <v>55</v>
      </c>
      <c r="L222" s="20" t="s">
        <v>56</v>
      </c>
      <c r="M222" s="20" t="s">
        <v>57</v>
      </c>
      <c r="N222" s="20" t="s">
        <v>333</v>
      </c>
      <c r="O222" s="20" t="s">
        <v>1596</v>
      </c>
      <c r="P222" s="20" t="s">
        <v>1596</v>
      </c>
      <c r="Q222" s="20" t="s">
        <v>59</v>
      </c>
      <c r="R222" s="20" t="s">
        <v>333</v>
      </c>
      <c r="S222" s="20" t="s">
        <v>333</v>
      </c>
      <c r="T222" s="20"/>
      <c r="U222" s="20"/>
      <c r="V222" s="20" t="s">
        <v>344</v>
      </c>
      <c r="W222" s="20" t="s">
        <v>333</v>
      </c>
      <c r="X222" s="20" t="s">
        <v>333</v>
      </c>
      <c r="Y222" s="20" t="s">
        <v>333</v>
      </c>
      <c r="Z222" s="20" t="s">
        <v>333</v>
      </c>
      <c r="AA222" s="20" t="s">
        <v>333</v>
      </c>
      <c r="AB222" s="20" t="s">
        <v>333</v>
      </c>
      <c r="AC222" s="20"/>
      <c r="AD222" s="20" t="s">
        <v>333</v>
      </c>
      <c r="AE222" s="20" t="s">
        <v>333</v>
      </c>
      <c r="AF222" s="20" t="s">
        <v>333</v>
      </c>
      <c r="AG222" s="20" t="s">
        <v>344</v>
      </c>
      <c r="AH222" s="20" t="s">
        <v>344</v>
      </c>
      <c r="AI222" s="20" t="s">
        <v>333</v>
      </c>
      <c r="AJ222" s="20"/>
      <c r="AK222" s="20" t="s">
        <v>1244</v>
      </c>
      <c r="AL222" s="20" t="s">
        <v>1673</v>
      </c>
      <c r="AM222" s="20" t="s">
        <v>1244</v>
      </c>
      <c r="AN222" s="20" t="s">
        <v>349</v>
      </c>
      <c r="AO222" s="20"/>
      <c r="AP222" s="20" t="s">
        <v>1596</v>
      </c>
      <c r="AQ222" s="20" t="s">
        <v>1596</v>
      </c>
      <c r="AR222" s="20"/>
      <c r="AS222" s="20"/>
    </row>
    <row r="223">
      <c r="A223" s="32" t="s">
        <v>3018</v>
      </c>
      <c r="B223" s="32" t="s">
        <v>137</v>
      </c>
      <c r="C223" s="32" t="s">
        <v>139</v>
      </c>
      <c r="D223" s="48" t="s">
        <v>141</v>
      </c>
      <c r="E223" s="32" t="s">
        <v>49</v>
      </c>
      <c r="F223" s="32" t="s">
        <v>3021</v>
      </c>
      <c r="G223" s="32" t="s">
        <v>146</v>
      </c>
      <c r="H223" s="32" t="s">
        <v>118</v>
      </c>
      <c r="I223" s="32" t="s">
        <v>92</v>
      </c>
      <c r="J223" s="32" t="s">
        <v>92</v>
      </c>
      <c r="K223" s="32" t="s">
        <v>55</v>
      </c>
      <c r="L223" s="32" t="s">
        <v>56</v>
      </c>
      <c r="M223" s="32" t="s">
        <v>57</v>
      </c>
      <c r="N223" s="32" t="s">
        <v>333</v>
      </c>
      <c r="O223" s="32" t="s">
        <v>1596</v>
      </c>
      <c r="P223" s="32" t="s">
        <v>1238</v>
      </c>
      <c r="Q223" s="32" t="s">
        <v>59</v>
      </c>
      <c r="R223" s="32" t="s">
        <v>333</v>
      </c>
      <c r="S223" s="32" t="s">
        <v>333</v>
      </c>
      <c r="T223" s="32"/>
      <c r="U223" s="32"/>
      <c r="V223" s="32" t="s">
        <v>344</v>
      </c>
      <c r="W223" s="32" t="s">
        <v>333</v>
      </c>
      <c r="X223" s="32" t="s">
        <v>333</v>
      </c>
      <c r="Y223" s="32" t="s">
        <v>333</v>
      </c>
      <c r="Z223" s="32" t="s">
        <v>333</v>
      </c>
      <c r="AA223" s="32" t="s">
        <v>333</v>
      </c>
      <c r="AB223" s="32" t="s">
        <v>333</v>
      </c>
      <c r="AC223" s="32"/>
      <c r="AD223" s="32" t="s">
        <v>333</v>
      </c>
      <c r="AE223" s="32" t="s">
        <v>333</v>
      </c>
      <c r="AF223" s="32" t="s">
        <v>333</v>
      </c>
      <c r="AG223" s="32" t="s">
        <v>344</v>
      </c>
      <c r="AH223" s="32" t="s">
        <v>344</v>
      </c>
      <c r="AI223" s="32" t="s">
        <v>333</v>
      </c>
      <c r="AJ223" s="32"/>
      <c r="AK223" s="32" t="s">
        <v>1717</v>
      </c>
      <c r="AL223" s="32" t="s">
        <v>1245</v>
      </c>
      <c r="AM223" s="32" t="s">
        <v>1717</v>
      </c>
      <c r="AN223" s="32" t="s">
        <v>349</v>
      </c>
      <c r="AO223" s="32"/>
      <c r="AP223" s="32" t="s">
        <v>1596</v>
      </c>
      <c r="AQ223" s="32" t="s">
        <v>1238</v>
      </c>
      <c r="AR223" s="21" t="s">
        <v>1931</v>
      </c>
      <c r="AS223" s="21">
        <v>2.0</v>
      </c>
    </row>
    <row r="224">
      <c r="A224" s="20" t="s">
        <v>3023</v>
      </c>
      <c r="B224" s="20" t="s">
        <v>1449</v>
      </c>
      <c r="C224" s="20" t="s">
        <v>1450</v>
      </c>
      <c r="D224" s="20"/>
      <c r="E224" s="20" t="s">
        <v>49</v>
      </c>
      <c r="F224" s="51" t="s">
        <v>3024</v>
      </c>
      <c r="G224" s="29" t="s">
        <v>69</v>
      </c>
      <c r="H224" s="20" t="s">
        <v>586</v>
      </c>
      <c r="I224" s="20" t="s">
        <v>587</v>
      </c>
      <c r="J224" s="20" t="s">
        <v>74</v>
      </c>
      <c r="K224" s="20" t="s">
        <v>55</v>
      </c>
      <c r="L224" s="20" t="s">
        <v>56</v>
      </c>
      <c r="M224" s="20" t="s">
        <v>57</v>
      </c>
      <c r="N224" s="20" t="s">
        <v>333</v>
      </c>
      <c r="O224" s="20" t="s">
        <v>1239</v>
      </c>
      <c r="P224" s="20"/>
      <c r="Q224" s="20" t="s">
        <v>59</v>
      </c>
      <c r="R224" s="20" t="s">
        <v>333</v>
      </c>
      <c r="S224" s="20" t="s">
        <v>333</v>
      </c>
      <c r="T224" s="20"/>
      <c r="U224" s="20"/>
      <c r="V224" s="20" t="s">
        <v>344</v>
      </c>
      <c r="W224" s="20" t="s">
        <v>333</v>
      </c>
      <c r="X224" s="20" t="s">
        <v>333</v>
      </c>
      <c r="Y224" s="20" t="s">
        <v>333</v>
      </c>
      <c r="Z224" s="20" t="s">
        <v>333</v>
      </c>
      <c r="AA224" s="20" t="s">
        <v>333</v>
      </c>
      <c r="AB224" s="20" t="s">
        <v>333</v>
      </c>
      <c r="AC224" s="20"/>
      <c r="AD224" s="20" t="s">
        <v>333</v>
      </c>
      <c r="AE224" s="20" t="s">
        <v>333</v>
      </c>
      <c r="AF224" s="20" t="s">
        <v>333</v>
      </c>
      <c r="AG224" s="20" t="s">
        <v>344</v>
      </c>
      <c r="AH224" s="20" t="s">
        <v>344</v>
      </c>
      <c r="AI224" s="20" t="s">
        <v>333</v>
      </c>
      <c r="AJ224" s="20"/>
      <c r="AK224" s="20" t="s">
        <v>1244</v>
      </c>
      <c r="AL224" s="20" t="s">
        <v>2019</v>
      </c>
      <c r="AM224" s="20" t="s">
        <v>1244</v>
      </c>
      <c r="AN224" s="20" t="s">
        <v>349</v>
      </c>
      <c r="AO224" s="20"/>
      <c r="AP224" s="20" t="s">
        <v>1239</v>
      </c>
      <c r="AQ224" s="20" t="s">
        <v>349</v>
      </c>
      <c r="AR224" s="20"/>
      <c r="AS224" s="20"/>
    </row>
    <row r="225">
      <c r="A225" s="20" t="s">
        <v>3029</v>
      </c>
      <c r="B225" s="20" t="s">
        <v>1860</v>
      </c>
      <c r="C225" s="20" t="s">
        <v>1861</v>
      </c>
      <c r="D225" s="20"/>
      <c r="E225" s="20" t="s">
        <v>49</v>
      </c>
      <c r="F225" s="80" t="s">
        <v>1863</v>
      </c>
      <c r="G225" s="75" t="s">
        <v>1866</v>
      </c>
      <c r="H225" s="20" t="s">
        <v>303</v>
      </c>
      <c r="I225" s="20" t="s">
        <v>303</v>
      </c>
      <c r="J225" s="20" t="s">
        <v>74</v>
      </c>
      <c r="K225" s="20" t="s">
        <v>55</v>
      </c>
      <c r="L225" s="20" t="s">
        <v>56</v>
      </c>
      <c r="M225" s="20" t="s">
        <v>57</v>
      </c>
      <c r="N225" s="20" t="s">
        <v>333</v>
      </c>
      <c r="O225" s="20" t="s">
        <v>1688</v>
      </c>
      <c r="P225" s="20"/>
      <c r="Q225" s="20" t="s">
        <v>59</v>
      </c>
      <c r="R225" s="20" t="s">
        <v>333</v>
      </c>
      <c r="S225" s="20" t="s">
        <v>333</v>
      </c>
      <c r="T225" s="20"/>
      <c r="U225" s="20"/>
      <c r="V225" s="20" t="s">
        <v>344</v>
      </c>
      <c r="W225" s="20" t="s">
        <v>333</v>
      </c>
      <c r="X225" s="20" t="s">
        <v>333</v>
      </c>
      <c r="Y225" s="20" t="s">
        <v>333</v>
      </c>
      <c r="Z225" s="20" t="s">
        <v>333</v>
      </c>
      <c r="AA225" s="20" t="s">
        <v>333</v>
      </c>
      <c r="AB225" s="20" t="s">
        <v>333</v>
      </c>
      <c r="AC225" s="20"/>
      <c r="AD225" s="20" t="s">
        <v>333</v>
      </c>
      <c r="AE225" s="20" t="s">
        <v>333</v>
      </c>
      <c r="AF225" s="20" t="s">
        <v>333</v>
      </c>
      <c r="AG225" s="20" t="s">
        <v>344</v>
      </c>
      <c r="AH225" s="20" t="s">
        <v>344</v>
      </c>
      <c r="AI225" s="20" t="s">
        <v>333</v>
      </c>
      <c r="AJ225" s="20"/>
      <c r="AK225" s="20" t="s">
        <v>349</v>
      </c>
      <c r="AL225" s="20" t="s">
        <v>349</v>
      </c>
      <c r="AM225" s="20" t="s">
        <v>349</v>
      </c>
      <c r="AN225" s="20" t="s">
        <v>349</v>
      </c>
      <c r="AO225" s="20"/>
      <c r="AP225" s="20" t="s">
        <v>1688</v>
      </c>
      <c r="AQ225" s="20" t="s">
        <v>349</v>
      </c>
      <c r="AR225" s="20"/>
      <c r="AS225" s="20"/>
    </row>
    <row r="226">
      <c r="A226" s="20" t="s">
        <v>3034</v>
      </c>
      <c r="B226" s="20" t="s">
        <v>3035</v>
      </c>
      <c r="C226" s="20" t="s">
        <v>3036</v>
      </c>
      <c r="D226" s="20"/>
      <c r="E226" s="20" t="s">
        <v>49</v>
      </c>
      <c r="F226" s="80" t="s">
        <v>3037</v>
      </c>
      <c r="G226" s="99" t="s">
        <v>3038</v>
      </c>
      <c r="H226" s="20" t="s">
        <v>2801</v>
      </c>
      <c r="I226" s="20" t="s">
        <v>2802</v>
      </c>
      <c r="J226" s="20" t="s">
        <v>74</v>
      </c>
      <c r="K226" s="20" t="s">
        <v>55</v>
      </c>
      <c r="L226" s="20" t="s">
        <v>56</v>
      </c>
      <c r="M226" s="20" t="s">
        <v>57</v>
      </c>
      <c r="N226" s="20" t="s">
        <v>333</v>
      </c>
      <c r="O226" s="20" t="s">
        <v>2286</v>
      </c>
      <c r="P226" s="20" t="s">
        <v>335</v>
      </c>
      <c r="Q226" s="20" t="s">
        <v>59</v>
      </c>
      <c r="R226" s="20" t="s">
        <v>333</v>
      </c>
      <c r="S226" s="20" t="s">
        <v>333</v>
      </c>
      <c r="T226" s="20"/>
      <c r="U226" s="20"/>
      <c r="V226" s="20" t="s">
        <v>344</v>
      </c>
      <c r="W226" s="20" t="s">
        <v>333</v>
      </c>
      <c r="X226" s="20" t="s">
        <v>333</v>
      </c>
      <c r="Y226" s="20" t="s">
        <v>333</v>
      </c>
      <c r="Z226" s="20" t="s">
        <v>333</v>
      </c>
      <c r="AA226" s="20" t="s">
        <v>333</v>
      </c>
      <c r="AB226" s="20" t="s">
        <v>333</v>
      </c>
      <c r="AC226" s="20"/>
      <c r="AD226" s="20" t="s">
        <v>333</v>
      </c>
      <c r="AE226" s="20" t="s">
        <v>333</v>
      </c>
      <c r="AF226" s="20" t="s">
        <v>333</v>
      </c>
      <c r="AG226" s="20" t="s">
        <v>344</v>
      </c>
      <c r="AH226" s="20" t="s">
        <v>344</v>
      </c>
      <c r="AI226" s="20" t="s">
        <v>333</v>
      </c>
      <c r="AJ226" s="20"/>
      <c r="AK226" s="20" t="s">
        <v>1244</v>
      </c>
      <c r="AL226" s="20" t="s">
        <v>1245</v>
      </c>
      <c r="AM226" s="20" t="s">
        <v>1244</v>
      </c>
      <c r="AN226" s="20" t="s">
        <v>349</v>
      </c>
      <c r="AO226" s="20"/>
      <c r="AP226" s="20" t="s">
        <v>2286</v>
      </c>
      <c r="AQ226" s="20" t="s">
        <v>335</v>
      </c>
      <c r="AR226" s="20"/>
      <c r="AS226" s="20"/>
    </row>
    <row r="227">
      <c r="A227" s="20" t="s">
        <v>3040</v>
      </c>
      <c r="B227" s="20" t="s">
        <v>983</v>
      </c>
      <c r="C227" s="20" t="s">
        <v>984</v>
      </c>
      <c r="D227" s="20"/>
      <c r="E227" s="20" t="s">
        <v>49</v>
      </c>
      <c r="F227" s="80" t="s">
        <v>3041</v>
      </c>
      <c r="G227" s="75" t="s">
        <v>3042</v>
      </c>
      <c r="H227" s="20" t="s">
        <v>75</v>
      </c>
      <c r="I227" s="20" t="s">
        <v>76</v>
      </c>
      <c r="J227" s="20" t="s">
        <v>76</v>
      </c>
      <c r="K227" s="20" t="s">
        <v>55</v>
      </c>
      <c r="L227" s="20" t="s">
        <v>56</v>
      </c>
      <c r="M227" s="20" t="s">
        <v>57</v>
      </c>
      <c r="N227" s="20" t="s">
        <v>333</v>
      </c>
      <c r="O227" s="20"/>
      <c r="P227" s="20"/>
      <c r="Q227" s="20" t="s">
        <v>59</v>
      </c>
      <c r="R227" s="20" t="s">
        <v>333</v>
      </c>
      <c r="S227" s="20" t="s">
        <v>333</v>
      </c>
      <c r="T227" s="20"/>
      <c r="U227" s="20"/>
      <c r="V227" s="20" t="s">
        <v>344</v>
      </c>
      <c r="W227" s="20" t="s">
        <v>333</v>
      </c>
      <c r="X227" s="20" t="s">
        <v>333</v>
      </c>
      <c r="Y227" s="20" t="s">
        <v>333</v>
      </c>
      <c r="Z227" s="20" t="s">
        <v>333</v>
      </c>
      <c r="AA227" s="20" t="s">
        <v>333</v>
      </c>
      <c r="AB227" s="20" t="s">
        <v>333</v>
      </c>
      <c r="AC227" s="20"/>
      <c r="AD227" s="20" t="s">
        <v>333</v>
      </c>
      <c r="AE227" s="20" t="s">
        <v>333</v>
      </c>
      <c r="AF227" s="20" t="s">
        <v>333</v>
      </c>
      <c r="AG227" s="20" t="s">
        <v>344</v>
      </c>
      <c r="AH227" s="20" t="s">
        <v>344</v>
      </c>
      <c r="AI227" s="20" t="s">
        <v>333</v>
      </c>
      <c r="AJ227" s="20"/>
      <c r="AK227" s="20" t="s">
        <v>349</v>
      </c>
      <c r="AL227" s="20" t="s">
        <v>349</v>
      </c>
      <c r="AM227" s="20" t="s">
        <v>349</v>
      </c>
      <c r="AN227" s="20" t="s">
        <v>349</v>
      </c>
      <c r="AO227" s="20"/>
      <c r="AP227" s="20" t="s">
        <v>349</v>
      </c>
      <c r="AQ227" s="20" t="s">
        <v>349</v>
      </c>
      <c r="AR227" s="20"/>
      <c r="AS227" s="20"/>
    </row>
    <row r="228">
      <c r="A228" s="32" t="s">
        <v>3043</v>
      </c>
      <c r="B228" s="32" t="s">
        <v>1218</v>
      </c>
      <c r="C228" s="32" t="s">
        <v>1219</v>
      </c>
      <c r="D228" s="48" t="s">
        <v>1220</v>
      </c>
      <c r="E228" s="32" t="s">
        <v>49</v>
      </c>
      <c r="F228" s="32" t="s">
        <v>3044</v>
      </c>
      <c r="G228" s="32" t="s">
        <v>3045</v>
      </c>
      <c r="H228" s="32" t="s">
        <v>930</v>
      </c>
      <c r="I228" s="32" t="s">
        <v>931</v>
      </c>
      <c r="J228" s="32" t="s">
        <v>931</v>
      </c>
      <c r="K228" s="32" t="s">
        <v>55</v>
      </c>
      <c r="L228" s="32" t="s">
        <v>56</v>
      </c>
      <c r="M228" s="32" t="s">
        <v>57</v>
      </c>
      <c r="N228" s="32" t="s">
        <v>333</v>
      </c>
      <c r="O228" s="32" t="s">
        <v>1745</v>
      </c>
      <c r="P228" s="32" t="s">
        <v>1576</v>
      </c>
      <c r="Q228" s="32" t="s">
        <v>59</v>
      </c>
      <c r="R228" s="32" t="s">
        <v>333</v>
      </c>
      <c r="S228" s="32" t="s">
        <v>333</v>
      </c>
      <c r="T228" s="32"/>
      <c r="U228" s="32"/>
      <c r="V228" s="32" t="s">
        <v>344</v>
      </c>
      <c r="W228" s="32" t="s">
        <v>333</v>
      </c>
      <c r="X228" s="32" t="s">
        <v>333</v>
      </c>
      <c r="Y228" s="32" t="s">
        <v>333</v>
      </c>
      <c r="Z228" s="32" t="s">
        <v>333</v>
      </c>
      <c r="AA228" s="32" t="s">
        <v>333</v>
      </c>
      <c r="AB228" s="32" t="s">
        <v>333</v>
      </c>
      <c r="AC228" s="32"/>
      <c r="AD228" s="32" t="s">
        <v>333</v>
      </c>
      <c r="AE228" s="32" t="s">
        <v>333</v>
      </c>
      <c r="AF228" s="32" t="s">
        <v>333</v>
      </c>
      <c r="AG228" s="32" t="s">
        <v>344</v>
      </c>
      <c r="AH228" s="32" t="s">
        <v>344</v>
      </c>
      <c r="AI228" s="32" t="s">
        <v>333</v>
      </c>
      <c r="AJ228" s="32"/>
      <c r="AK228" s="32" t="s">
        <v>1663</v>
      </c>
      <c r="AL228" s="32" t="s">
        <v>1556</v>
      </c>
      <c r="AM228" s="32" t="s">
        <v>1663</v>
      </c>
      <c r="AN228" s="32" t="s">
        <v>349</v>
      </c>
      <c r="AO228" s="32"/>
      <c r="AP228" s="32" t="s">
        <v>1745</v>
      </c>
      <c r="AQ228" s="32" t="s">
        <v>1576</v>
      </c>
      <c r="AR228" s="21" t="s">
        <v>1931</v>
      </c>
      <c r="AS228" s="21">
        <v>2.0</v>
      </c>
    </row>
    <row r="229">
      <c r="A229" s="20" t="s">
        <v>1717</v>
      </c>
      <c r="B229" s="20" t="s">
        <v>973</v>
      </c>
      <c r="C229" s="20" t="s">
        <v>974</v>
      </c>
      <c r="D229" s="20"/>
      <c r="E229" s="20" t="s">
        <v>49</v>
      </c>
      <c r="F229" s="80" t="s">
        <v>3049</v>
      </c>
      <c r="G229" s="105" t="s">
        <v>3052</v>
      </c>
      <c r="H229" s="20" t="s">
        <v>123</v>
      </c>
      <c r="I229" s="20" t="s">
        <v>124</v>
      </c>
      <c r="J229" s="20" t="s">
        <v>74</v>
      </c>
      <c r="K229" s="20" t="s">
        <v>55</v>
      </c>
      <c r="L229" s="20" t="s">
        <v>56</v>
      </c>
      <c r="M229" s="20" t="s">
        <v>57</v>
      </c>
      <c r="N229" s="20" t="s">
        <v>333</v>
      </c>
      <c r="O229" s="20" t="s">
        <v>1571</v>
      </c>
      <c r="P229" s="20" t="s">
        <v>1695</v>
      </c>
      <c r="Q229" s="20" t="s">
        <v>59</v>
      </c>
      <c r="R229" s="20" t="s">
        <v>333</v>
      </c>
      <c r="S229" s="20" t="s">
        <v>333</v>
      </c>
      <c r="T229" s="20"/>
      <c r="U229" s="20"/>
      <c r="V229" s="20" t="s">
        <v>344</v>
      </c>
      <c r="W229" s="20" t="s">
        <v>333</v>
      </c>
      <c r="X229" s="20" t="s">
        <v>333</v>
      </c>
      <c r="Y229" s="20" t="s">
        <v>333</v>
      </c>
      <c r="Z229" s="20" t="s">
        <v>333</v>
      </c>
      <c r="AA229" s="20" t="s">
        <v>333</v>
      </c>
      <c r="AB229" s="20" t="s">
        <v>333</v>
      </c>
      <c r="AC229" s="20"/>
      <c r="AD229" s="20" t="s">
        <v>333</v>
      </c>
      <c r="AE229" s="20" t="s">
        <v>333</v>
      </c>
      <c r="AF229" s="20" t="s">
        <v>333</v>
      </c>
      <c r="AG229" s="20" t="s">
        <v>344</v>
      </c>
      <c r="AH229" s="20" t="s">
        <v>344</v>
      </c>
      <c r="AI229" s="20" t="s">
        <v>333</v>
      </c>
      <c r="AJ229" s="20"/>
      <c r="AK229" s="20" t="s">
        <v>1260</v>
      </c>
      <c r="AL229" s="20" t="s">
        <v>1556</v>
      </c>
      <c r="AM229" s="20" t="s">
        <v>1260</v>
      </c>
      <c r="AN229" s="20" t="s">
        <v>349</v>
      </c>
      <c r="AO229" s="20"/>
      <c r="AP229" s="20" t="s">
        <v>1571</v>
      </c>
      <c r="AQ229" s="20" t="s">
        <v>1695</v>
      </c>
      <c r="AR229" s="20"/>
      <c r="AS229" s="20"/>
    </row>
    <row r="230">
      <c r="A230" s="20" t="s">
        <v>3057</v>
      </c>
      <c r="B230" s="20" t="s">
        <v>2289</v>
      </c>
      <c r="C230" s="20" t="s">
        <v>2290</v>
      </c>
      <c r="D230" s="20"/>
      <c r="E230" s="20" t="s">
        <v>49</v>
      </c>
      <c r="F230" s="80" t="s">
        <v>3058</v>
      </c>
      <c r="G230" s="75" t="s">
        <v>3059</v>
      </c>
      <c r="H230" s="20" t="s">
        <v>303</v>
      </c>
      <c r="I230" s="20" t="s">
        <v>303</v>
      </c>
      <c r="J230" s="20" t="s">
        <v>74</v>
      </c>
      <c r="K230" s="20" t="s">
        <v>55</v>
      </c>
      <c r="L230" s="20" t="s">
        <v>56</v>
      </c>
      <c r="M230" s="20" t="s">
        <v>57</v>
      </c>
      <c r="N230" s="20" t="s">
        <v>333</v>
      </c>
      <c r="O230" s="20" t="s">
        <v>1695</v>
      </c>
      <c r="P230" s="20"/>
      <c r="Q230" s="20" t="s">
        <v>59</v>
      </c>
      <c r="R230" s="20" t="s">
        <v>333</v>
      </c>
      <c r="S230" s="20" t="s">
        <v>333</v>
      </c>
      <c r="T230" s="20"/>
      <c r="U230" s="20"/>
      <c r="V230" s="20" t="s">
        <v>344</v>
      </c>
      <c r="W230" s="20" t="s">
        <v>333</v>
      </c>
      <c r="X230" s="20" t="s">
        <v>333</v>
      </c>
      <c r="Y230" s="20" t="s">
        <v>333</v>
      </c>
      <c r="Z230" s="20" t="s">
        <v>333</v>
      </c>
      <c r="AA230" s="20" t="s">
        <v>333</v>
      </c>
      <c r="AB230" s="20" t="s">
        <v>333</v>
      </c>
      <c r="AC230" s="20"/>
      <c r="AD230" s="20" t="s">
        <v>333</v>
      </c>
      <c r="AE230" s="20" t="s">
        <v>333</v>
      </c>
      <c r="AF230" s="20" t="s">
        <v>333</v>
      </c>
      <c r="AG230" s="20" t="s">
        <v>344</v>
      </c>
      <c r="AH230" s="20" t="s">
        <v>344</v>
      </c>
      <c r="AI230" s="20" t="s">
        <v>333</v>
      </c>
      <c r="AJ230" s="20"/>
      <c r="AK230" s="20" t="s">
        <v>1663</v>
      </c>
      <c r="AL230" s="20" t="s">
        <v>1792</v>
      </c>
      <c r="AM230" s="20" t="s">
        <v>1663</v>
      </c>
      <c r="AN230" s="20" t="s">
        <v>349</v>
      </c>
      <c r="AO230" s="20"/>
      <c r="AP230" s="20" t="s">
        <v>1695</v>
      </c>
      <c r="AQ230" s="20" t="s">
        <v>349</v>
      </c>
      <c r="AR230" s="20"/>
      <c r="AS230" s="20"/>
    </row>
    <row r="231">
      <c r="A231" s="20" t="s">
        <v>3061</v>
      </c>
      <c r="B231" s="20" t="s">
        <v>3062</v>
      </c>
      <c r="C231" s="20" t="s">
        <v>3063</v>
      </c>
      <c r="D231" s="20"/>
      <c r="E231" s="20" t="s">
        <v>49</v>
      </c>
      <c r="F231" s="29" t="s">
        <v>3064</v>
      </c>
      <c r="G231" s="75" t="s">
        <v>3065</v>
      </c>
      <c r="H231" s="20" t="s">
        <v>142</v>
      </c>
      <c r="I231" s="20" t="s">
        <v>144</v>
      </c>
      <c r="J231" s="20" t="s">
        <v>74</v>
      </c>
      <c r="K231" s="20" t="s">
        <v>55</v>
      </c>
      <c r="L231" s="20" t="s">
        <v>56</v>
      </c>
      <c r="M231" s="20" t="s">
        <v>57</v>
      </c>
      <c r="N231" s="20" t="s">
        <v>333</v>
      </c>
      <c r="O231" s="20" t="s">
        <v>1591</v>
      </c>
      <c r="P231" s="20" t="s">
        <v>2262</v>
      </c>
      <c r="Q231" s="20" t="s">
        <v>59</v>
      </c>
      <c r="R231" s="20" t="s">
        <v>333</v>
      </c>
      <c r="S231" s="20" t="s">
        <v>333</v>
      </c>
      <c r="T231" s="20"/>
      <c r="U231" s="20"/>
      <c r="V231" s="20" t="s">
        <v>344</v>
      </c>
      <c r="W231" s="20" t="s">
        <v>333</v>
      </c>
      <c r="X231" s="20" t="s">
        <v>333</v>
      </c>
      <c r="Y231" s="20" t="s">
        <v>333</v>
      </c>
      <c r="Z231" s="20" t="s">
        <v>333</v>
      </c>
      <c r="AA231" s="20" t="s">
        <v>333</v>
      </c>
      <c r="AB231" s="20" t="s">
        <v>333</v>
      </c>
      <c r="AC231" s="20"/>
      <c r="AD231" s="20" t="s">
        <v>333</v>
      </c>
      <c r="AE231" s="20" t="s">
        <v>333</v>
      </c>
      <c r="AF231" s="20" t="s">
        <v>333</v>
      </c>
      <c r="AG231" s="20" t="s">
        <v>344</v>
      </c>
      <c r="AH231" s="20" t="s">
        <v>344</v>
      </c>
      <c r="AI231" s="20" t="s">
        <v>333</v>
      </c>
      <c r="AJ231" s="20"/>
      <c r="AK231" s="20" t="s">
        <v>1244</v>
      </c>
      <c r="AL231" s="20" t="s">
        <v>348</v>
      </c>
      <c r="AM231" s="20" t="s">
        <v>1244</v>
      </c>
      <c r="AN231" s="20" t="s">
        <v>349</v>
      </c>
      <c r="AO231" s="20"/>
      <c r="AP231" s="20" t="s">
        <v>1591</v>
      </c>
      <c r="AQ231" s="20" t="s">
        <v>2262</v>
      </c>
      <c r="AR231" s="20"/>
      <c r="AS231" s="20"/>
    </row>
    <row r="232">
      <c r="A232" s="32" t="s">
        <v>3066</v>
      </c>
      <c r="B232" s="32" t="s">
        <v>3067</v>
      </c>
      <c r="C232" s="32" t="s">
        <v>3068</v>
      </c>
      <c r="D232" s="48" t="s">
        <v>3069</v>
      </c>
      <c r="E232" s="32" t="s">
        <v>49</v>
      </c>
      <c r="F232" s="32" t="s">
        <v>3070</v>
      </c>
      <c r="G232" s="32" t="s">
        <v>3071</v>
      </c>
      <c r="H232" s="32" t="s">
        <v>3072</v>
      </c>
      <c r="I232" s="32" t="s">
        <v>3073</v>
      </c>
      <c r="J232" s="32" t="s">
        <v>3073</v>
      </c>
      <c r="K232" s="32" t="s">
        <v>55</v>
      </c>
      <c r="L232" s="32" t="s">
        <v>56</v>
      </c>
      <c r="M232" s="32" t="s">
        <v>57</v>
      </c>
      <c r="N232" s="32" t="s">
        <v>333</v>
      </c>
      <c r="O232" s="32" t="s">
        <v>1576</v>
      </c>
      <c r="P232" s="32" t="s">
        <v>2262</v>
      </c>
      <c r="Q232" s="32" t="s">
        <v>59</v>
      </c>
      <c r="R232" s="32" t="s">
        <v>333</v>
      </c>
      <c r="S232" s="32" t="s">
        <v>333</v>
      </c>
      <c r="T232" s="32"/>
      <c r="U232" s="32"/>
      <c r="V232" s="32" t="s">
        <v>344</v>
      </c>
      <c r="W232" s="32" t="s">
        <v>333</v>
      </c>
      <c r="X232" s="32" t="s">
        <v>333</v>
      </c>
      <c r="Y232" s="32" t="s">
        <v>333</v>
      </c>
      <c r="Z232" s="32" t="s">
        <v>333</v>
      </c>
      <c r="AA232" s="32" t="s">
        <v>333</v>
      </c>
      <c r="AB232" s="32" t="s">
        <v>333</v>
      </c>
      <c r="AC232" s="32"/>
      <c r="AD232" s="32" t="s">
        <v>333</v>
      </c>
      <c r="AE232" s="32" t="s">
        <v>333</v>
      </c>
      <c r="AF232" s="32" t="s">
        <v>333</v>
      </c>
      <c r="AG232" s="32" t="s">
        <v>344</v>
      </c>
      <c r="AH232" s="32" t="s">
        <v>344</v>
      </c>
      <c r="AI232" s="32" t="s">
        <v>333</v>
      </c>
      <c r="AJ232" s="32"/>
      <c r="AK232" s="32" t="s">
        <v>1244</v>
      </c>
      <c r="AL232" s="32" t="s">
        <v>1261</v>
      </c>
      <c r="AM232" s="32" t="s">
        <v>1244</v>
      </c>
      <c r="AN232" s="32" t="s">
        <v>349</v>
      </c>
      <c r="AO232" s="32"/>
      <c r="AP232" s="32" t="s">
        <v>1576</v>
      </c>
      <c r="AQ232" s="32" t="s">
        <v>2262</v>
      </c>
      <c r="AR232" s="21" t="s">
        <v>1931</v>
      </c>
      <c r="AS232" s="21">
        <v>2.0</v>
      </c>
    </row>
    <row r="233">
      <c r="A233" s="20" t="s">
        <v>3074</v>
      </c>
      <c r="B233" s="20" t="s">
        <v>2044</v>
      </c>
      <c r="C233" s="20" t="s">
        <v>2045</v>
      </c>
      <c r="D233" s="20"/>
      <c r="E233" s="20" t="s">
        <v>49</v>
      </c>
      <c r="F233" s="80" t="s">
        <v>3075</v>
      </c>
      <c r="G233" s="71" t="s">
        <v>3076</v>
      </c>
      <c r="H233" s="20" t="s">
        <v>123</v>
      </c>
      <c r="I233" s="20" t="s">
        <v>124</v>
      </c>
      <c r="J233" s="20" t="s">
        <v>74</v>
      </c>
      <c r="K233" s="20" t="s">
        <v>55</v>
      </c>
      <c r="L233" s="20" t="s">
        <v>56</v>
      </c>
      <c r="M233" s="20" t="s">
        <v>57</v>
      </c>
      <c r="N233" s="20" t="s">
        <v>333</v>
      </c>
      <c r="O233" s="20" t="s">
        <v>2262</v>
      </c>
      <c r="P233" s="20" t="s">
        <v>1669</v>
      </c>
      <c r="Q233" s="20" t="s">
        <v>59</v>
      </c>
      <c r="R233" s="20" t="s">
        <v>333</v>
      </c>
      <c r="S233" s="20" t="s">
        <v>333</v>
      </c>
      <c r="T233" s="20"/>
      <c r="U233" s="20"/>
      <c r="V233" s="20" t="s">
        <v>344</v>
      </c>
      <c r="W233" s="20" t="s">
        <v>333</v>
      </c>
      <c r="X233" s="20" t="s">
        <v>333</v>
      </c>
      <c r="Y233" s="20" t="s">
        <v>333</v>
      </c>
      <c r="Z233" s="20" t="s">
        <v>333</v>
      </c>
      <c r="AA233" s="20" t="s">
        <v>333</v>
      </c>
      <c r="AB233" s="20" t="s">
        <v>333</v>
      </c>
      <c r="AC233" s="20"/>
      <c r="AD233" s="20" t="s">
        <v>333</v>
      </c>
      <c r="AE233" s="20" t="s">
        <v>333</v>
      </c>
      <c r="AF233" s="20" t="s">
        <v>333</v>
      </c>
      <c r="AG233" s="20" t="s">
        <v>344</v>
      </c>
      <c r="AH233" s="20" t="s">
        <v>344</v>
      </c>
      <c r="AI233" s="20" t="s">
        <v>333</v>
      </c>
      <c r="AJ233" s="20"/>
      <c r="AK233" s="20" t="s">
        <v>1663</v>
      </c>
      <c r="AL233" s="20" t="s">
        <v>1586</v>
      </c>
      <c r="AM233" s="20" t="s">
        <v>1663</v>
      </c>
      <c r="AN233" s="20" t="s">
        <v>349</v>
      </c>
      <c r="AO233" s="20"/>
      <c r="AP233" s="20" t="s">
        <v>2262</v>
      </c>
      <c r="AQ233" s="20" t="s">
        <v>1669</v>
      </c>
      <c r="AR233" s="20"/>
      <c r="AS233" s="20"/>
    </row>
    <row r="234">
      <c r="A234" s="20" t="s">
        <v>3079</v>
      </c>
      <c r="B234" s="20" t="s">
        <v>873</v>
      </c>
      <c r="C234" s="20" t="s">
        <v>875</v>
      </c>
      <c r="D234" s="20"/>
      <c r="E234" s="20" t="s">
        <v>49</v>
      </c>
      <c r="F234" s="80" t="s">
        <v>3080</v>
      </c>
      <c r="G234" s="95">
        <v>8.087730417E9</v>
      </c>
      <c r="H234" s="20" t="s">
        <v>147</v>
      </c>
      <c r="I234" s="20" t="s">
        <v>148</v>
      </c>
      <c r="J234" s="20" t="s">
        <v>148</v>
      </c>
      <c r="K234" s="20" t="s">
        <v>55</v>
      </c>
      <c r="L234" s="20" t="s">
        <v>56</v>
      </c>
      <c r="M234" s="20" t="s">
        <v>57</v>
      </c>
      <c r="N234" s="20" t="s">
        <v>333</v>
      </c>
      <c r="O234" s="20" t="s">
        <v>1596</v>
      </c>
      <c r="P234" s="20" t="s">
        <v>1238</v>
      </c>
      <c r="Q234" s="20" t="s">
        <v>59</v>
      </c>
      <c r="R234" s="20" t="s">
        <v>333</v>
      </c>
      <c r="S234" s="20" t="s">
        <v>333</v>
      </c>
      <c r="T234" s="20"/>
      <c r="U234" s="20"/>
      <c r="V234" s="20" t="s">
        <v>344</v>
      </c>
      <c r="W234" s="20" t="s">
        <v>333</v>
      </c>
      <c r="X234" s="20" t="s">
        <v>333</v>
      </c>
      <c r="Y234" s="20" t="s">
        <v>333</v>
      </c>
      <c r="Z234" s="20" t="s">
        <v>333</v>
      </c>
      <c r="AA234" s="20" t="s">
        <v>333</v>
      </c>
      <c r="AB234" s="20" t="s">
        <v>333</v>
      </c>
      <c r="AC234" s="20"/>
      <c r="AD234" s="20" t="s">
        <v>333</v>
      </c>
      <c r="AE234" s="20" t="s">
        <v>333</v>
      </c>
      <c r="AF234" s="20" t="s">
        <v>333</v>
      </c>
      <c r="AG234" s="20" t="s">
        <v>344</v>
      </c>
      <c r="AH234" s="20" t="s">
        <v>344</v>
      </c>
      <c r="AI234" s="20" t="s">
        <v>333</v>
      </c>
      <c r="AJ234" s="20"/>
      <c r="AK234" s="20" t="s">
        <v>1260</v>
      </c>
      <c r="AL234" s="20" t="s">
        <v>1586</v>
      </c>
      <c r="AM234" s="20" t="s">
        <v>1260</v>
      </c>
      <c r="AN234" s="20" t="s">
        <v>349</v>
      </c>
      <c r="AO234" s="20"/>
      <c r="AP234" s="20" t="s">
        <v>1596</v>
      </c>
      <c r="AQ234" s="20" t="s">
        <v>1238</v>
      </c>
      <c r="AR234" s="20"/>
      <c r="AS234" s="20"/>
    </row>
    <row r="235">
      <c r="A235" s="20" t="s">
        <v>3085</v>
      </c>
      <c r="B235" s="20" t="s">
        <v>3086</v>
      </c>
      <c r="C235" s="20" t="s">
        <v>3087</v>
      </c>
      <c r="D235" s="20"/>
      <c r="E235" s="20" t="s">
        <v>49</v>
      </c>
      <c r="F235" s="80" t="s">
        <v>3088</v>
      </c>
      <c r="G235" s="20" t="s">
        <v>3089</v>
      </c>
      <c r="H235" s="20" t="s">
        <v>1020</v>
      </c>
      <c r="I235" s="20" t="s">
        <v>587</v>
      </c>
      <c r="J235" s="20" t="s">
        <v>74</v>
      </c>
      <c r="K235" s="20" t="s">
        <v>55</v>
      </c>
      <c r="L235" s="20" t="s">
        <v>56</v>
      </c>
      <c r="M235" s="20" t="s">
        <v>57</v>
      </c>
      <c r="N235" s="20" t="s">
        <v>333</v>
      </c>
      <c r="O235" s="20" t="s">
        <v>2400</v>
      </c>
      <c r="P235" s="20"/>
      <c r="Q235" s="20" t="s">
        <v>59</v>
      </c>
      <c r="R235" s="20" t="s">
        <v>333</v>
      </c>
      <c r="S235" s="20" t="s">
        <v>333</v>
      </c>
      <c r="T235" s="20"/>
      <c r="U235" s="20"/>
      <c r="V235" s="20" t="s">
        <v>344</v>
      </c>
      <c r="W235" s="20" t="s">
        <v>333</v>
      </c>
      <c r="X235" s="20" t="s">
        <v>333</v>
      </c>
      <c r="Y235" s="20" t="s">
        <v>333</v>
      </c>
      <c r="Z235" s="20" t="s">
        <v>333</v>
      </c>
      <c r="AA235" s="20" t="s">
        <v>333</v>
      </c>
      <c r="AB235" s="20" t="s">
        <v>333</v>
      </c>
      <c r="AC235" s="20"/>
      <c r="AD235" s="20" t="s">
        <v>333</v>
      </c>
      <c r="AE235" s="20" t="s">
        <v>333</v>
      </c>
      <c r="AF235" s="20" t="s">
        <v>333</v>
      </c>
      <c r="AG235" s="20" t="s">
        <v>344</v>
      </c>
      <c r="AH235" s="20" t="s">
        <v>344</v>
      </c>
      <c r="AI235" s="20" t="s">
        <v>333</v>
      </c>
      <c r="AJ235" s="20"/>
      <c r="AK235" s="20" t="s">
        <v>1581</v>
      </c>
      <c r="AL235" s="20" t="s">
        <v>348</v>
      </c>
      <c r="AM235" s="20" t="s">
        <v>1581</v>
      </c>
      <c r="AN235" s="20" t="s">
        <v>349</v>
      </c>
      <c r="AO235" s="20"/>
      <c r="AP235" s="20" t="s">
        <v>2400</v>
      </c>
      <c r="AQ235" s="20" t="s">
        <v>349</v>
      </c>
      <c r="AR235" s="20"/>
      <c r="AS235" s="20"/>
    </row>
    <row r="236">
      <c r="A236" s="20" t="s">
        <v>3091</v>
      </c>
      <c r="B236" s="20" t="s">
        <v>2402</v>
      </c>
      <c r="C236" s="20" t="s">
        <v>2403</v>
      </c>
      <c r="D236" s="20"/>
      <c r="E236" s="20" t="s">
        <v>49</v>
      </c>
      <c r="F236" s="80" t="s">
        <v>3092</v>
      </c>
      <c r="G236" s="75" t="s">
        <v>2410</v>
      </c>
      <c r="H236" s="20" t="s">
        <v>1385</v>
      </c>
      <c r="I236" s="20" t="s">
        <v>1386</v>
      </c>
      <c r="J236" s="20" t="s">
        <v>74</v>
      </c>
      <c r="K236" s="20" t="s">
        <v>55</v>
      </c>
      <c r="L236" s="20" t="s">
        <v>56</v>
      </c>
      <c r="M236" s="20" t="s">
        <v>57</v>
      </c>
      <c r="N236" s="20" t="s">
        <v>333</v>
      </c>
      <c r="O236" s="20"/>
      <c r="P236" s="20"/>
      <c r="Q236" s="20" t="s">
        <v>59</v>
      </c>
      <c r="R236" s="20" t="s">
        <v>333</v>
      </c>
      <c r="S236" s="20" t="s">
        <v>333</v>
      </c>
      <c r="T236" s="20"/>
      <c r="U236" s="20"/>
      <c r="V236" s="20" t="s">
        <v>344</v>
      </c>
      <c r="W236" s="20" t="s">
        <v>333</v>
      </c>
      <c r="X236" s="20" t="s">
        <v>333</v>
      </c>
      <c r="Y236" s="20" t="s">
        <v>333</v>
      </c>
      <c r="Z236" s="20" t="s">
        <v>333</v>
      </c>
      <c r="AA236" s="20" t="s">
        <v>333</v>
      </c>
      <c r="AB236" s="20" t="s">
        <v>333</v>
      </c>
      <c r="AC236" s="20"/>
      <c r="AD236" s="20" t="s">
        <v>333</v>
      </c>
      <c r="AE236" s="20" t="s">
        <v>333</v>
      </c>
      <c r="AF236" s="20" t="s">
        <v>333</v>
      </c>
      <c r="AG236" s="20" t="s">
        <v>344</v>
      </c>
      <c r="AH236" s="20" t="s">
        <v>344</v>
      </c>
      <c r="AI236" s="20" t="s">
        <v>333</v>
      </c>
      <c r="AJ236" s="20"/>
      <c r="AK236" s="20" t="s">
        <v>349</v>
      </c>
      <c r="AL236" s="20" t="s">
        <v>349</v>
      </c>
      <c r="AM236" s="20" t="s">
        <v>349</v>
      </c>
      <c r="AN236" s="20" t="s">
        <v>349</v>
      </c>
      <c r="AO236" s="20"/>
      <c r="AP236" s="20" t="s">
        <v>349</v>
      </c>
      <c r="AQ236" s="20" t="s">
        <v>349</v>
      </c>
      <c r="AR236" s="20"/>
      <c r="AS236" s="20"/>
    </row>
    <row r="237">
      <c r="A237" s="20" t="s">
        <v>3099</v>
      </c>
      <c r="B237" s="20" t="s">
        <v>3100</v>
      </c>
      <c r="C237" s="20" t="s">
        <v>3101</v>
      </c>
      <c r="D237" s="20" t="s">
        <v>3102</v>
      </c>
      <c r="E237" s="20" t="s">
        <v>49</v>
      </c>
      <c r="F237" s="29" t="s">
        <v>69</v>
      </c>
      <c r="G237" s="29" t="s">
        <v>69</v>
      </c>
      <c r="H237" s="20" t="s">
        <v>303</v>
      </c>
      <c r="I237" s="20" t="s">
        <v>303</v>
      </c>
      <c r="J237" s="20" t="s">
        <v>74</v>
      </c>
      <c r="K237" s="20" t="s">
        <v>55</v>
      </c>
      <c r="L237" s="20" t="s">
        <v>56</v>
      </c>
      <c r="M237" s="20" t="s">
        <v>57</v>
      </c>
      <c r="N237" s="20" t="s">
        <v>333</v>
      </c>
      <c r="O237" s="20" t="s">
        <v>1695</v>
      </c>
      <c r="P237" s="20" t="s">
        <v>1682</v>
      </c>
      <c r="Q237" s="20" t="s">
        <v>59</v>
      </c>
      <c r="R237" s="20" t="s">
        <v>333</v>
      </c>
      <c r="S237" s="20" t="s">
        <v>333</v>
      </c>
      <c r="T237" s="20" t="s">
        <v>3103</v>
      </c>
      <c r="U237" s="20"/>
      <c r="V237" s="20" t="s">
        <v>344</v>
      </c>
      <c r="W237" s="20" t="s">
        <v>333</v>
      </c>
      <c r="X237" s="20" t="s">
        <v>333</v>
      </c>
      <c r="Y237" s="20" t="s">
        <v>333</v>
      </c>
      <c r="Z237" s="20" t="s">
        <v>333</v>
      </c>
      <c r="AA237" s="20" t="s">
        <v>333</v>
      </c>
      <c r="AB237" s="20" t="s">
        <v>333</v>
      </c>
      <c r="AC237" s="20"/>
      <c r="AD237" s="20" t="s">
        <v>333</v>
      </c>
      <c r="AE237" s="20" t="s">
        <v>333</v>
      </c>
      <c r="AF237" s="20" t="s">
        <v>333</v>
      </c>
      <c r="AG237" s="20" t="s">
        <v>344</v>
      </c>
      <c r="AH237" s="20" t="s">
        <v>344</v>
      </c>
      <c r="AI237" s="20" t="s">
        <v>333</v>
      </c>
      <c r="AJ237" s="20"/>
      <c r="AK237" s="20" t="s">
        <v>1587</v>
      </c>
      <c r="AL237" s="20" t="s">
        <v>1663</v>
      </c>
      <c r="AM237" s="20" t="s">
        <v>1587</v>
      </c>
      <c r="AN237" s="20" t="s">
        <v>349</v>
      </c>
      <c r="AO237" s="20"/>
      <c r="AP237" s="20" t="s">
        <v>1695</v>
      </c>
      <c r="AQ237" s="20" t="s">
        <v>1682</v>
      </c>
      <c r="AR237" s="20"/>
      <c r="AS237" s="20"/>
    </row>
    <row r="238">
      <c r="A238" s="20" t="s">
        <v>3104</v>
      </c>
      <c r="B238" s="20" t="s">
        <v>2119</v>
      </c>
      <c r="C238" s="20" t="s">
        <v>2120</v>
      </c>
      <c r="D238" s="20"/>
      <c r="E238" s="20" t="s">
        <v>49</v>
      </c>
      <c r="F238" s="80" t="s">
        <v>2123</v>
      </c>
      <c r="G238" s="75" t="s">
        <v>3105</v>
      </c>
      <c r="H238" s="20" t="s">
        <v>361</v>
      </c>
      <c r="I238" s="20" t="s">
        <v>362</v>
      </c>
      <c r="J238" s="20" t="s">
        <v>74</v>
      </c>
      <c r="K238" s="20" t="s">
        <v>55</v>
      </c>
      <c r="L238" s="20" t="s">
        <v>56</v>
      </c>
      <c r="M238" s="20" t="s">
        <v>57</v>
      </c>
      <c r="N238" s="20" t="s">
        <v>333</v>
      </c>
      <c r="O238" s="20" t="s">
        <v>1576</v>
      </c>
      <c r="P238" s="20" t="s">
        <v>2262</v>
      </c>
      <c r="Q238" s="20" t="s">
        <v>59</v>
      </c>
      <c r="R238" s="20" t="s">
        <v>333</v>
      </c>
      <c r="S238" s="20" t="s">
        <v>333</v>
      </c>
      <c r="T238" s="20"/>
      <c r="U238" s="20"/>
      <c r="V238" s="20" t="s">
        <v>344</v>
      </c>
      <c r="W238" s="20" t="s">
        <v>333</v>
      </c>
      <c r="X238" s="20" t="s">
        <v>333</v>
      </c>
      <c r="Y238" s="20" t="s">
        <v>333</v>
      </c>
      <c r="Z238" s="20" t="s">
        <v>333</v>
      </c>
      <c r="AA238" s="20" t="s">
        <v>333</v>
      </c>
      <c r="AB238" s="20" t="s">
        <v>333</v>
      </c>
      <c r="AC238" s="20"/>
      <c r="AD238" s="20" t="s">
        <v>333</v>
      </c>
      <c r="AE238" s="20" t="s">
        <v>333</v>
      </c>
      <c r="AF238" s="20" t="s">
        <v>333</v>
      </c>
      <c r="AG238" s="20" t="s">
        <v>344</v>
      </c>
      <c r="AH238" s="20" t="s">
        <v>344</v>
      </c>
      <c r="AI238" s="20" t="s">
        <v>333</v>
      </c>
      <c r="AJ238" s="20"/>
      <c r="AK238" s="20" t="s">
        <v>347</v>
      </c>
      <c r="AL238" s="20" t="s">
        <v>1673</v>
      </c>
      <c r="AM238" s="20" t="s">
        <v>347</v>
      </c>
      <c r="AN238" s="20" t="s">
        <v>349</v>
      </c>
      <c r="AO238" s="20"/>
      <c r="AP238" s="20" t="s">
        <v>1576</v>
      </c>
      <c r="AQ238" s="20" t="s">
        <v>2262</v>
      </c>
      <c r="AR238" s="20"/>
      <c r="AS238" s="20"/>
    </row>
    <row r="239">
      <c r="A239" s="20" t="s">
        <v>3106</v>
      </c>
      <c r="B239" s="20" t="s">
        <v>2880</v>
      </c>
      <c r="C239" s="20" t="s">
        <v>2881</v>
      </c>
      <c r="D239" s="20" t="s">
        <v>2882</v>
      </c>
      <c r="E239" s="20" t="s">
        <v>49</v>
      </c>
      <c r="F239" s="51" t="s">
        <v>3107</v>
      </c>
      <c r="G239" s="75" t="s">
        <v>2684</v>
      </c>
      <c r="H239" s="20" t="s">
        <v>303</v>
      </c>
      <c r="I239" s="20" t="s">
        <v>303</v>
      </c>
      <c r="J239" s="20" t="s">
        <v>74</v>
      </c>
      <c r="K239" s="20" t="s">
        <v>55</v>
      </c>
      <c r="L239" s="20" t="s">
        <v>56</v>
      </c>
      <c r="M239" s="20" t="s">
        <v>57</v>
      </c>
      <c r="N239" s="20" t="s">
        <v>333</v>
      </c>
      <c r="O239" s="20" t="s">
        <v>1596</v>
      </c>
      <c r="P239" s="20" t="s">
        <v>1695</v>
      </c>
      <c r="Q239" s="20" t="s">
        <v>59</v>
      </c>
      <c r="R239" s="20" t="s">
        <v>333</v>
      </c>
      <c r="S239" s="20" t="s">
        <v>333</v>
      </c>
      <c r="T239" s="20" t="s">
        <v>2885</v>
      </c>
      <c r="U239" s="20"/>
      <c r="V239" s="20" t="s">
        <v>344</v>
      </c>
      <c r="W239" s="20" t="s">
        <v>333</v>
      </c>
      <c r="X239" s="20" t="s">
        <v>333</v>
      </c>
      <c r="Y239" s="20" t="s">
        <v>333</v>
      </c>
      <c r="Z239" s="20" t="s">
        <v>333</v>
      </c>
      <c r="AA239" s="20" t="s">
        <v>333</v>
      </c>
      <c r="AB239" s="20" t="s">
        <v>333</v>
      </c>
      <c r="AC239" s="20"/>
      <c r="AD239" s="20" t="s">
        <v>333</v>
      </c>
      <c r="AE239" s="20" t="s">
        <v>333</v>
      </c>
      <c r="AF239" s="20" t="s">
        <v>333</v>
      </c>
      <c r="AG239" s="20" t="s">
        <v>344</v>
      </c>
      <c r="AH239" s="20" t="s">
        <v>344</v>
      </c>
      <c r="AI239" s="20" t="s">
        <v>333</v>
      </c>
      <c r="AJ239" s="20"/>
      <c r="AK239" s="20" t="s">
        <v>1663</v>
      </c>
      <c r="AL239" s="20" t="s">
        <v>1556</v>
      </c>
      <c r="AM239" s="20" t="s">
        <v>1663</v>
      </c>
      <c r="AN239" s="20" t="s">
        <v>349</v>
      </c>
      <c r="AO239" s="20"/>
      <c r="AP239" s="20" t="s">
        <v>1596</v>
      </c>
      <c r="AQ239" s="20" t="s">
        <v>1695</v>
      </c>
      <c r="AR239" s="20"/>
      <c r="AS239" s="20"/>
    </row>
    <row r="240">
      <c r="A240" s="20" t="s">
        <v>3112</v>
      </c>
      <c r="B240" s="20" t="s">
        <v>3113</v>
      </c>
      <c r="C240" s="20" t="s">
        <v>3114</v>
      </c>
      <c r="D240" s="20"/>
      <c r="E240" s="20" t="s">
        <v>49</v>
      </c>
      <c r="F240" s="80" t="s">
        <v>3115</v>
      </c>
      <c r="G240" s="20" t="s">
        <v>3116</v>
      </c>
      <c r="H240" s="20" t="s">
        <v>285</v>
      </c>
      <c r="I240" s="20" t="s">
        <v>286</v>
      </c>
      <c r="J240" s="20" t="s">
        <v>74</v>
      </c>
      <c r="K240" s="20" t="s">
        <v>55</v>
      </c>
      <c r="L240" s="20" t="s">
        <v>56</v>
      </c>
      <c r="M240" s="20" t="s">
        <v>57</v>
      </c>
      <c r="N240" s="20" t="s">
        <v>333</v>
      </c>
      <c r="O240" s="20" t="s">
        <v>1695</v>
      </c>
      <c r="P240" s="20" t="s">
        <v>1682</v>
      </c>
      <c r="Q240" s="20" t="s">
        <v>59</v>
      </c>
      <c r="R240" s="20" t="s">
        <v>333</v>
      </c>
      <c r="S240" s="20" t="s">
        <v>333</v>
      </c>
      <c r="T240" s="20"/>
      <c r="U240" s="20"/>
      <c r="V240" s="20" t="s">
        <v>344</v>
      </c>
      <c r="W240" s="20" t="s">
        <v>333</v>
      </c>
      <c r="X240" s="20" t="s">
        <v>333</v>
      </c>
      <c r="Y240" s="20" t="s">
        <v>333</v>
      </c>
      <c r="Z240" s="20" t="s">
        <v>333</v>
      </c>
      <c r="AA240" s="20" t="s">
        <v>333</v>
      </c>
      <c r="AB240" s="20" t="s">
        <v>333</v>
      </c>
      <c r="AC240" s="20"/>
      <c r="AD240" s="20" t="s">
        <v>333</v>
      </c>
      <c r="AE240" s="20" t="s">
        <v>333</v>
      </c>
      <c r="AF240" s="20" t="s">
        <v>333</v>
      </c>
      <c r="AG240" s="20" t="s">
        <v>344</v>
      </c>
      <c r="AH240" s="20" t="s">
        <v>344</v>
      </c>
      <c r="AI240" s="20" t="s">
        <v>333</v>
      </c>
      <c r="AJ240" s="20"/>
      <c r="AK240" s="20" t="s">
        <v>1260</v>
      </c>
      <c r="AL240" s="20" t="s">
        <v>348</v>
      </c>
      <c r="AM240" s="20" t="s">
        <v>1260</v>
      </c>
      <c r="AN240" s="20" t="s">
        <v>349</v>
      </c>
      <c r="AO240" s="20"/>
      <c r="AP240" s="20" t="s">
        <v>1695</v>
      </c>
      <c r="AQ240" s="20" t="s">
        <v>1682</v>
      </c>
      <c r="AR240" s="20"/>
      <c r="AS240" s="20"/>
    </row>
    <row r="241">
      <c r="A241" s="20" t="s">
        <v>3117</v>
      </c>
      <c r="B241" s="20" t="s">
        <v>3118</v>
      </c>
      <c r="C241" s="20" t="s">
        <v>3119</v>
      </c>
      <c r="D241" s="20" t="s">
        <v>3120</v>
      </c>
      <c r="E241" s="20" t="s">
        <v>49</v>
      </c>
      <c r="F241" s="80" t="s">
        <v>3121</v>
      </c>
      <c r="G241" s="29" t="s">
        <v>69</v>
      </c>
      <c r="H241" s="20" t="s">
        <v>1020</v>
      </c>
      <c r="I241" s="20" t="s">
        <v>587</v>
      </c>
      <c r="J241" s="20" t="s">
        <v>74</v>
      </c>
      <c r="K241" s="20" t="s">
        <v>55</v>
      </c>
      <c r="L241" s="20" t="s">
        <v>56</v>
      </c>
      <c r="M241" s="20" t="s">
        <v>57</v>
      </c>
      <c r="N241" s="20" t="s">
        <v>333</v>
      </c>
      <c r="O241" s="20" t="s">
        <v>1596</v>
      </c>
      <c r="P241" s="20" t="s">
        <v>1576</v>
      </c>
      <c r="Q241" s="20" t="s">
        <v>59</v>
      </c>
      <c r="R241" s="20" t="s">
        <v>333</v>
      </c>
      <c r="S241" s="20" t="s">
        <v>333</v>
      </c>
      <c r="T241" s="20" t="s">
        <v>3122</v>
      </c>
      <c r="U241" s="20"/>
      <c r="V241" s="20" t="s">
        <v>344</v>
      </c>
      <c r="W241" s="20" t="s">
        <v>333</v>
      </c>
      <c r="X241" s="20" t="s">
        <v>333</v>
      </c>
      <c r="Y241" s="20" t="s">
        <v>333</v>
      </c>
      <c r="Z241" s="20" t="s">
        <v>333</v>
      </c>
      <c r="AA241" s="20" t="s">
        <v>333</v>
      </c>
      <c r="AB241" s="20" t="s">
        <v>333</v>
      </c>
      <c r="AC241" s="20"/>
      <c r="AD241" s="20" t="s">
        <v>333</v>
      </c>
      <c r="AE241" s="20" t="s">
        <v>333</v>
      </c>
      <c r="AF241" s="20" t="s">
        <v>333</v>
      </c>
      <c r="AG241" s="20" t="s">
        <v>344</v>
      </c>
      <c r="AH241" s="20" t="s">
        <v>344</v>
      </c>
      <c r="AI241" s="20" t="s">
        <v>333</v>
      </c>
      <c r="AJ241" s="20"/>
      <c r="AK241" s="20" t="s">
        <v>1244</v>
      </c>
      <c r="AL241" s="20" t="s">
        <v>1556</v>
      </c>
      <c r="AM241" s="20" t="s">
        <v>1244</v>
      </c>
      <c r="AN241" s="20" t="s">
        <v>349</v>
      </c>
      <c r="AO241" s="20"/>
      <c r="AP241" s="20" t="s">
        <v>1596</v>
      </c>
      <c r="AQ241" s="20" t="s">
        <v>1576</v>
      </c>
      <c r="AR241" s="20"/>
      <c r="AS241" s="20"/>
    </row>
    <row r="242">
      <c r="A242" s="20" t="s">
        <v>3123</v>
      </c>
      <c r="B242" s="20" t="s">
        <v>3124</v>
      </c>
      <c r="C242" s="20" t="s">
        <v>3125</v>
      </c>
      <c r="D242" s="20" t="s">
        <v>3126</v>
      </c>
      <c r="E242" s="20" t="s">
        <v>49</v>
      </c>
      <c r="F242" s="29" t="s">
        <v>69</v>
      </c>
      <c r="G242" s="20" t="s">
        <v>3127</v>
      </c>
      <c r="H242" s="20" t="s">
        <v>303</v>
      </c>
      <c r="I242" s="20" t="s">
        <v>303</v>
      </c>
      <c r="J242" s="20" t="s">
        <v>74</v>
      </c>
      <c r="K242" s="20" t="s">
        <v>55</v>
      </c>
      <c r="L242" s="20" t="s">
        <v>56</v>
      </c>
      <c r="M242" s="20" t="s">
        <v>57</v>
      </c>
      <c r="N242" s="20" t="s">
        <v>333</v>
      </c>
      <c r="O242" s="20" t="s">
        <v>1238</v>
      </c>
      <c r="P242" s="20" t="s">
        <v>1556</v>
      </c>
      <c r="Q242" s="20" t="s">
        <v>59</v>
      </c>
      <c r="R242" s="20" t="s">
        <v>333</v>
      </c>
      <c r="S242" s="20" t="s">
        <v>333</v>
      </c>
      <c r="T242" s="20" t="s">
        <v>948</v>
      </c>
      <c r="U242" s="20"/>
      <c r="V242" s="20" t="s">
        <v>344</v>
      </c>
      <c r="W242" s="20" t="s">
        <v>333</v>
      </c>
      <c r="X242" s="20" t="s">
        <v>333</v>
      </c>
      <c r="Y242" s="20" t="s">
        <v>333</v>
      </c>
      <c r="Z242" s="20" t="s">
        <v>333</v>
      </c>
      <c r="AA242" s="20" t="s">
        <v>333</v>
      </c>
      <c r="AB242" s="20" t="s">
        <v>333</v>
      </c>
      <c r="AC242" s="20"/>
      <c r="AD242" s="20" t="s">
        <v>333</v>
      </c>
      <c r="AE242" s="20" t="s">
        <v>333</v>
      </c>
      <c r="AF242" s="20" t="s">
        <v>333</v>
      </c>
      <c r="AG242" s="20" t="s">
        <v>344</v>
      </c>
      <c r="AH242" s="20" t="s">
        <v>344</v>
      </c>
      <c r="AI242" s="20" t="s">
        <v>333</v>
      </c>
      <c r="AJ242" s="20"/>
      <c r="AK242" s="20" t="s">
        <v>349</v>
      </c>
      <c r="AL242" s="20" t="s">
        <v>349</v>
      </c>
      <c r="AM242" s="20" t="s">
        <v>349</v>
      </c>
      <c r="AN242" s="20" t="s">
        <v>349</v>
      </c>
      <c r="AO242" s="20"/>
      <c r="AP242" s="20" t="s">
        <v>1238</v>
      </c>
      <c r="AQ242" s="20" t="s">
        <v>1556</v>
      </c>
      <c r="AR242" s="20"/>
      <c r="AS242" s="20"/>
    </row>
    <row r="243">
      <c r="A243" s="20" t="s">
        <v>3131</v>
      </c>
      <c r="B243" s="20" t="s">
        <v>3132</v>
      </c>
      <c r="C243" s="20" t="s">
        <v>3133</v>
      </c>
      <c r="D243" s="20"/>
      <c r="E243" s="20" t="s">
        <v>49</v>
      </c>
      <c r="F243" s="80" t="s">
        <v>3134</v>
      </c>
      <c r="G243" s="75" t="s">
        <v>3135</v>
      </c>
      <c r="H243" s="20" t="s">
        <v>449</v>
      </c>
      <c r="I243" s="20" t="s">
        <v>450</v>
      </c>
      <c r="J243" s="20" t="s">
        <v>74</v>
      </c>
      <c r="K243" s="20" t="s">
        <v>55</v>
      </c>
      <c r="L243" s="20" t="s">
        <v>56</v>
      </c>
      <c r="M243" s="20" t="s">
        <v>57</v>
      </c>
      <c r="N243" s="20" t="s">
        <v>333</v>
      </c>
      <c r="O243" s="20" t="s">
        <v>1256</v>
      </c>
      <c r="P243" s="20" t="s">
        <v>1556</v>
      </c>
      <c r="Q243" s="20" t="s">
        <v>59</v>
      </c>
      <c r="R243" s="20" t="s">
        <v>333</v>
      </c>
      <c r="S243" s="20" t="s">
        <v>333</v>
      </c>
      <c r="T243" s="20"/>
      <c r="U243" s="20"/>
      <c r="V243" s="20" t="s">
        <v>344</v>
      </c>
      <c r="W243" s="20" t="s">
        <v>333</v>
      </c>
      <c r="X243" s="20" t="s">
        <v>333</v>
      </c>
      <c r="Y243" s="20" t="s">
        <v>333</v>
      </c>
      <c r="Z243" s="20" t="s">
        <v>333</v>
      </c>
      <c r="AA243" s="20" t="s">
        <v>333</v>
      </c>
      <c r="AB243" s="20" t="s">
        <v>333</v>
      </c>
      <c r="AC243" s="20"/>
      <c r="AD243" s="20" t="s">
        <v>333</v>
      </c>
      <c r="AE243" s="20" t="s">
        <v>333</v>
      </c>
      <c r="AF243" s="20" t="s">
        <v>333</v>
      </c>
      <c r="AG243" s="20" t="s">
        <v>344</v>
      </c>
      <c r="AH243" s="20" t="s">
        <v>344</v>
      </c>
      <c r="AI243" s="20" t="s">
        <v>333</v>
      </c>
      <c r="AJ243" s="20"/>
      <c r="AK243" s="20" t="s">
        <v>2094</v>
      </c>
      <c r="AL243" s="20" t="s">
        <v>1736</v>
      </c>
      <c r="AM243" s="20" t="s">
        <v>2094</v>
      </c>
      <c r="AN243" s="20" t="s">
        <v>349</v>
      </c>
      <c r="AO243" s="20"/>
      <c r="AP243" s="20" t="s">
        <v>1256</v>
      </c>
      <c r="AQ243" s="20" t="s">
        <v>1556</v>
      </c>
      <c r="AR243" s="20"/>
      <c r="AS243" s="20"/>
    </row>
    <row r="244">
      <c r="A244" s="20" t="s">
        <v>3140</v>
      </c>
      <c r="B244" s="20" t="s">
        <v>2247</v>
      </c>
      <c r="C244" s="20" t="s">
        <v>2248</v>
      </c>
      <c r="D244" s="20"/>
      <c r="E244" s="20" t="s">
        <v>49</v>
      </c>
      <c r="F244" s="29" t="s">
        <v>69</v>
      </c>
      <c r="G244" s="29" t="s">
        <v>69</v>
      </c>
      <c r="H244" s="20" t="s">
        <v>2251</v>
      </c>
      <c r="I244" s="20" t="s">
        <v>2252</v>
      </c>
      <c r="J244" s="20" t="s">
        <v>74</v>
      </c>
      <c r="K244" s="20" t="s">
        <v>55</v>
      </c>
      <c r="L244" s="20" t="s">
        <v>56</v>
      </c>
      <c r="M244" s="20" t="s">
        <v>57</v>
      </c>
      <c r="N244" s="20" t="s">
        <v>333</v>
      </c>
      <c r="O244" s="20" t="s">
        <v>3142</v>
      </c>
      <c r="P244" s="20"/>
      <c r="Q244" s="20" t="s">
        <v>59</v>
      </c>
      <c r="R244" s="20" t="s">
        <v>333</v>
      </c>
      <c r="S244" s="20" t="s">
        <v>333</v>
      </c>
      <c r="T244" s="20"/>
      <c r="U244" s="20"/>
      <c r="V244" s="20" t="s">
        <v>344</v>
      </c>
      <c r="W244" s="20" t="s">
        <v>333</v>
      </c>
      <c r="X244" s="20" t="s">
        <v>333</v>
      </c>
      <c r="Y244" s="20" t="s">
        <v>333</v>
      </c>
      <c r="Z244" s="20" t="s">
        <v>333</v>
      </c>
      <c r="AA244" s="20" t="s">
        <v>333</v>
      </c>
      <c r="AB244" s="20" t="s">
        <v>333</v>
      </c>
      <c r="AC244" s="20"/>
      <c r="AD244" s="20" t="s">
        <v>333</v>
      </c>
      <c r="AE244" s="20" t="s">
        <v>333</v>
      </c>
      <c r="AF244" s="20" t="s">
        <v>333</v>
      </c>
      <c r="AG244" s="20" t="s">
        <v>344</v>
      </c>
      <c r="AH244" s="20" t="s">
        <v>344</v>
      </c>
      <c r="AI244" s="20" t="s">
        <v>333</v>
      </c>
      <c r="AJ244" s="20"/>
      <c r="AK244" s="20" t="s">
        <v>1274</v>
      </c>
      <c r="AL244" s="20" t="s">
        <v>1556</v>
      </c>
      <c r="AM244" s="20" t="s">
        <v>1274</v>
      </c>
      <c r="AN244" s="20" t="s">
        <v>349</v>
      </c>
      <c r="AO244" s="20"/>
      <c r="AP244" s="20" t="s">
        <v>3142</v>
      </c>
      <c r="AQ244" s="20" t="s">
        <v>349</v>
      </c>
      <c r="AR244" s="20"/>
      <c r="AS244" s="20"/>
    </row>
    <row r="245">
      <c r="A245" s="32" t="s">
        <v>3144</v>
      </c>
      <c r="B245" s="32" t="s">
        <v>3146</v>
      </c>
      <c r="C245" s="32" t="s">
        <v>3147</v>
      </c>
      <c r="D245" s="107" t="s">
        <v>3146</v>
      </c>
      <c r="E245" s="32" t="s">
        <v>49</v>
      </c>
      <c r="F245" s="32" t="s">
        <v>3150</v>
      </c>
      <c r="G245" s="32" t="s">
        <v>3151</v>
      </c>
      <c r="H245" s="32" t="s">
        <v>123</v>
      </c>
      <c r="I245" s="32" t="s">
        <v>124</v>
      </c>
      <c r="J245" s="32" t="s">
        <v>74</v>
      </c>
      <c r="K245" s="32" t="s">
        <v>55</v>
      </c>
      <c r="L245" s="32" t="s">
        <v>56</v>
      </c>
      <c r="M245" s="32" t="s">
        <v>57</v>
      </c>
      <c r="N245" s="32" t="s">
        <v>333</v>
      </c>
      <c r="O245" s="32" t="s">
        <v>1256</v>
      </c>
      <c r="P245" s="32" t="s">
        <v>1556</v>
      </c>
      <c r="Q245" s="32" t="s">
        <v>59</v>
      </c>
      <c r="R245" s="32" t="s">
        <v>333</v>
      </c>
      <c r="S245" s="32" t="s">
        <v>333</v>
      </c>
      <c r="T245" s="32"/>
      <c r="U245" s="32"/>
      <c r="V245" s="32" t="s">
        <v>344</v>
      </c>
      <c r="W245" s="32" t="s">
        <v>333</v>
      </c>
      <c r="X245" s="32" t="s">
        <v>333</v>
      </c>
      <c r="Y245" s="32" t="s">
        <v>333</v>
      </c>
      <c r="Z245" s="32" t="s">
        <v>333</v>
      </c>
      <c r="AA245" s="32" t="s">
        <v>333</v>
      </c>
      <c r="AB245" s="32" t="s">
        <v>333</v>
      </c>
      <c r="AC245" s="32"/>
      <c r="AD245" s="32" t="s">
        <v>333</v>
      </c>
      <c r="AE245" s="32" t="s">
        <v>333</v>
      </c>
      <c r="AF245" s="32" t="s">
        <v>333</v>
      </c>
      <c r="AG245" s="32" t="s">
        <v>344</v>
      </c>
      <c r="AH245" s="32" t="s">
        <v>344</v>
      </c>
      <c r="AI245" s="32" t="s">
        <v>333</v>
      </c>
      <c r="AJ245" s="32"/>
      <c r="AK245" s="32" t="s">
        <v>347</v>
      </c>
      <c r="AL245" s="32" t="s">
        <v>1261</v>
      </c>
      <c r="AM245" s="32" t="s">
        <v>347</v>
      </c>
      <c r="AN245" s="32" t="s">
        <v>349</v>
      </c>
      <c r="AO245" s="32"/>
      <c r="AP245" s="32" t="s">
        <v>1256</v>
      </c>
      <c r="AQ245" s="32" t="s">
        <v>1556</v>
      </c>
      <c r="AR245" s="21" t="s">
        <v>1931</v>
      </c>
      <c r="AS245" s="21">
        <v>2.0</v>
      </c>
    </row>
    <row r="246">
      <c r="A246" s="20" t="s">
        <v>3154</v>
      </c>
      <c r="B246" s="20" t="s">
        <v>1813</v>
      </c>
      <c r="C246" s="20" t="s">
        <v>1814</v>
      </c>
      <c r="D246" s="20"/>
      <c r="E246" s="20" t="s">
        <v>49</v>
      </c>
      <c r="F246" s="80" t="s">
        <v>1816</v>
      </c>
      <c r="G246" s="29" t="s">
        <v>69</v>
      </c>
      <c r="H246" s="20" t="s">
        <v>303</v>
      </c>
      <c r="I246" s="20" t="s">
        <v>303</v>
      </c>
      <c r="J246" s="20" t="s">
        <v>74</v>
      </c>
      <c r="K246" s="20" t="s">
        <v>55</v>
      </c>
      <c r="L246" s="20" t="s">
        <v>56</v>
      </c>
      <c r="M246" s="20" t="s">
        <v>57</v>
      </c>
      <c r="N246" s="20" t="s">
        <v>333</v>
      </c>
      <c r="O246" s="20"/>
      <c r="P246" s="20"/>
      <c r="Q246" s="20" t="s">
        <v>59</v>
      </c>
      <c r="R246" s="20" t="s">
        <v>333</v>
      </c>
      <c r="S246" s="20" t="s">
        <v>333</v>
      </c>
      <c r="T246" s="20"/>
      <c r="U246" s="20"/>
      <c r="V246" s="20" t="s">
        <v>344</v>
      </c>
      <c r="W246" s="20" t="s">
        <v>333</v>
      </c>
      <c r="X246" s="20" t="s">
        <v>333</v>
      </c>
      <c r="Y246" s="20" t="s">
        <v>333</v>
      </c>
      <c r="Z246" s="20" t="s">
        <v>333</v>
      </c>
      <c r="AA246" s="20" t="s">
        <v>333</v>
      </c>
      <c r="AB246" s="20" t="s">
        <v>333</v>
      </c>
      <c r="AC246" s="20"/>
      <c r="AD246" s="20" t="s">
        <v>333</v>
      </c>
      <c r="AE246" s="20" t="s">
        <v>333</v>
      </c>
      <c r="AF246" s="20" t="s">
        <v>333</v>
      </c>
      <c r="AG246" s="20" t="s">
        <v>344</v>
      </c>
      <c r="AH246" s="20" t="s">
        <v>344</v>
      </c>
      <c r="AI246" s="20" t="s">
        <v>333</v>
      </c>
      <c r="AJ246" s="20"/>
      <c r="AK246" s="20" t="s">
        <v>349</v>
      </c>
      <c r="AL246" s="20" t="s">
        <v>349</v>
      </c>
      <c r="AM246" s="20" t="s">
        <v>349</v>
      </c>
      <c r="AN246" s="20" t="s">
        <v>349</v>
      </c>
      <c r="AO246" s="20"/>
      <c r="AP246" s="20" t="s">
        <v>349</v>
      </c>
      <c r="AQ246" s="20" t="s">
        <v>349</v>
      </c>
      <c r="AR246" s="20"/>
      <c r="AS246" s="20"/>
    </row>
    <row r="247">
      <c r="A247" s="20" t="s">
        <v>3159</v>
      </c>
      <c r="B247" s="20" t="s">
        <v>614</v>
      </c>
      <c r="C247" s="20" t="s">
        <v>615</v>
      </c>
      <c r="D247" s="20"/>
      <c r="E247" s="20" t="s">
        <v>49</v>
      </c>
      <c r="F247" s="29" t="s">
        <v>69</v>
      </c>
      <c r="G247" s="29" t="s">
        <v>69</v>
      </c>
      <c r="H247" s="20" t="s">
        <v>618</v>
      </c>
      <c r="I247" s="20" t="s">
        <v>148</v>
      </c>
      <c r="J247" s="20" t="s">
        <v>74</v>
      </c>
      <c r="K247" s="20" t="s">
        <v>55</v>
      </c>
      <c r="L247" s="20" t="s">
        <v>56</v>
      </c>
      <c r="M247" s="20" t="s">
        <v>57</v>
      </c>
      <c r="N247" s="20" t="s">
        <v>333</v>
      </c>
      <c r="O247" s="20" t="s">
        <v>1256</v>
      </c>
      <c r="P247" s="20" t="s">
        <v>3160</v>
      </c>
      <c r="Q247" s="20" t="s">
        <v>59</v>
      </c>
      <c r="R247" s="20" t="s">
        <v>333</v>
      </c>
      <c r="S247" s="20" t="s">
        <v>333</v>
      </c>
      <c r="T247" s="20"/>
      <c r="U247" s="20"/>
      <c r="V247" s="20" t="s">
        <v>344</v>
      </c>
      <c r="W247" s="20" t="s">
        <v>333</v>
      </c>
      <c r="X247" s="20" t="s">
        <v>333</v>
      </c>
      <c r="Y247" s="20" t="s">
        <v>333</v>
      </c>
      <c r="Z247" s="20" t="s">
        <v>333</v>
      </c>
      <c r="AA247" s="20" t="s">
        <v>333</v>
      </c>
      <c r="AB247" s="20" t="s">
        <v>333</v>
      </c>
      <c r="AC247" s="20"/>
      <c r="AD247" s="20" t="s">
        <v>333</v>
      </c>
      <c r="AE247" s="20" t="s">
        <v>333</v>
      </c>
      <c r="AF247" s="20" t="s">
        <v>333</v>
      </c>
      <c r="AG247" s="20" t="s">
        <v>344</v>
      </c>
      <c r="AH247" s="20" t="s">
        <v>344</v>
      </c>
      <c r="AI247" s="20" t="s">
        <v>333</v>
      </c>
      <c r="AJ247" s="20"/>
      <c r="AK247" s="20" t="s">
        <v>1274</v>
      </c>
      <c r="AL247" s="20" t="s">
        <v>1238</v>
      </c>
      <c r="AM247" s="20" t="s">
        <v>1274</v>
      </c>
      <c r="AN247" s="20" t="s">
        <v>349</v>
      </c>
      <c r="AO247" s="20"/>
      <c r="AP247" s="20" t="s">
        <v>1256</v>
      </c>
      <c r="AQ247" s="20" t="s">
        <v>3160</v>
      </c>
      <c r="AR247" s="20"/>
      <c r="AS247" s="20"/>
    </row>
    <row r="248">
      <c r="A248" s="20" t="s">
        <v>3165</v>
      </c>
      <c r="B248" s="20" t="s">
        <v>3166</v>
      </c>
      <c r="C248" s="20" t="s">
        <v>3167</v>
      </c>
      <c r="D248" s="20"/>
      <c r="E248" s="20" t="s">
        <v>49</v>
      </c>
      <c r="F248" s="80" t="s">
        <v>3168</v>
      </c>
      <c r="G248" s="29" t="s">
        <v>69</v>
      </c>
      <c r="H248" s="20" t="s">
        <v>1336</v>
      </c>
      <c r="I248" s="20" t="s">
        <v>1337</v>
      </c>
      <c r="J248" s="20" t="s">
        <v>74</v>
      </c>
      <c r="K248" s="20" t="s">
        <v>55</v>
      </c>
      <c r="L248" s="20" t="s">
        <v>56</v>
      </c>
      <c r="M248" s="20" t="s">
        <v>57</v>
      </c>
      <c r="N248" s="20" t="s">
        <v>333</v>
      </c>
      <c r="O248" s="20" t="s">
        <v>1576</v>
      </c>
      <c r="P248" s="20" t="s">
        <v>1591</v>
      </c>
      <c r="Q248" s="20" t="s">
        <v>59</v>
      </c>
      <c r="R248" s="20" t="s">
        <v>333</v>
      </c>
      <c r="S248" s="20" t="s">
        <v>333</v>
      </c>
      <c r="T248" s="20"/>
      <c r="U248" s="20"/>
      <c r="V248" s="20" t="s">
        <v>344</v>
      </c>
      <c r="W248" s="20" t="s">
        <v>333</v>
      </c>
      <c r="X248" s="20" t="s">
        <v>333</v>
      </c>
      <c r="Y248" s="20" t="s">
        <v>333</v>
      </c>
      <c r="Z248" s="20" t="s">
        <v>333</v>
      </c>
      <c r="AA248" s="20" t="s">
        <v>333</v>
      </c>
      <c r="AB248" s="20" t="s">
        <v>333</v>
      </c>
      <c r="AC248" s="20"/>
      <c r="AD248" s="20" t="s">
        <v>333</v>
      </c>
      <c r="AE248" s="20" t="s">
        <v>333</v>
      </c>
      <c r="AF248" s="20" t="s">
        <v>333</v>
      </c>
      <c r="AG248" s="20" t="s">
        <v>344</v>
      </c>
      <c r="AH248" s="20" t="s">
        <v>344</v>
      </c>
      <c r="AI248" s="20" t="s">
        <v>333</v>
      </c>
      <c r="AJ248" s="20"/>
      <c r="AK248" s="20" t="s">
        <v>1244</v>
      </c>
      <c r="AL248" s="20" t="s">
        <v>348</v>
      </c>
      <c r="AM248" s="20" t="s">
        <v>1244</v>
      </c>
      <c r="AN248" s="20" t="s">
        <v>349</v>
      </c>
      <c r="AO248" s="20"/>
      <c r="AP248" s="20" t="s">
        <v>1576</v>
      </c>
      <c r="AQ248" s="20" t="s">
        <v>1591</v>
      </c>
      <c r="AR248" s="20"/>
      <c r="AS248" s="20"/>
    </row>
    <row r="249">
      <c r="A249" s="20" t="s">
        <v>3170</v>
      </c>
      <c r="B249" s="20" t="s">
        <v>3171</v>
      </c>
      <c r="C249" s="20" t="s">
        <v>3172</v>
      </c>
      <c r="D249" s="20" t="s">
        <v>3173</v>
      </c>
      <c r="E249" s="20" t="s">
        <v>49</v>
      </c>
      <c r="F249" s="29" t="s">
        <v>69</v>
      </c>
      <c r="G249" s="29" t="s">
        <v>69</v>
      </c>
      <c r="H249" s="20" t="s">
        <v>107</v>
      </c>
      <c r="I249" s="20" t="s">
        <v>109</v>
      </c>
      <c r="J249" s="20" t="s">
        <v>74</v>
      </c>
      <c r="K249" s="20" t="s">
        <v>55</v>
      </c>
      <c r="L249" s="20" t="s">
        <v>56</v>
      </c>
      <c r="M249" s="20" t="s">
        <v>57</v>
      </c>
      <c r="N249" s="20" t="s">
        <v>333</v>
      </c>
      <c r="O249" s="20" t="s">
        <v>1581</v>
      </c>
      <c r="P249" s="20"/>
      <c r="Q249" s="20" t="s">
        <v>59</v>
      </c>
      <c r="R249" s="20" t="s">
        <v>333</v>
      </c>
      <c r="S249" s="20" t="s">
        <v>333</v>
      </c>
      <c r="T249" s="20" t="s">
        <v>275</v>
      </c>
      <c r="U249" s="20"/>
      <c r="V249" s="20" t="s">
        <v>344</v>
      </c>
      <c r="W249" s="20" t="s">
        <v>333</v>
      </c>
      <c r="X249" s="20" t="s">
        <v>333</v>
      </c>
      <c r="Y249" s="20" t="s">
        <v>333</v>
      </c>
      <c r="Z249" s="20" t="s">
        <v>333</v>
      </c>
      <c r="AA249" s="20" t="s">
        <v>333</v>
      </c>
      <c r="AB249" s="20" t="s">
        <v>333</v>
      </c>
      <c r="AC249" s="20"/>
      <c r="AD249" s="20" t="s">
        <v>333</v>
      </c>
      <c r="AE249" s="20" t="s">
        <v>333</v>
      </c>
      <c r="AF249" s="20" t="s">
        <v>333</v>
      </c>
      <c r="AG249" s="20" t="s">
        <v>344</v>
      </c>
      <c r="AH249" s="20" t="s">
        <v>344</v>
      </c>
      <c r="AI249" s="20" t="s">
        <v>333</v>
      </c>
      <c r="AJ249" s="20"/>
      <c r="AK249" s="20" t="s">
        <v>347</v>
      </c>
      <c r="AL249" s="20" t="s">
        <v>1596</v>
      </c>
      <c r="AM249" s="20" t="s">
        <v>347</v>
      </c>
      <c r="AN249" s="20" t="s">
        <v>349</v>
      </c>
      <c r="AO249" s="20"/>
      <c r="AP249" s="20" t="s">
        <v>1581</v>
      </c>
      <c r="AQ249" s="20" t="s">
        <v>349</v>
      </c>
      <c r="AR249" s="20"/>
      <c r="AS249" s="20"/>
    </row>
    <row r="250">
      <c r="A250" s="20" t="s">
        <v>3177</v>
      </c>
      <c r="B250" s="20" t="s">
        <v>1806</v>
      </c>
      <c r="C250" s="20" t="s">
        <v>1807</v>
      </c>
      <c r="D250" s="20"/>
      <c r="E250" s="20" t="s">
        <v>49</v>
      </c>
      <c r="F250" s="80" t="s">
        <v>3178</v>
      </c>
      <c r="G250" s="75" t="s">
        <v>3182</v>
      </c>
      <c r="H250" s="20" t="s">
        <v>1385</v>
      </c>
      <c r="I250" s="20" t="s">
        <v>1386</v>
      </c>
      <c r="J250" s="20" t="s">
        <v>74</v>
      </c>
      <c r="K250" s="20" t="s">
        <v>55</v>
      </c>
      <c r="L250" s="20" t="s">
        <v>56</v>
      </c>
      <c r="M250" s="20" t="s">
        <v>57</v>
      </c>
      <c r="N250" s="20" t="s">
        <v>333</v>
      </c>
      <c r="O250" s="20" t="s">
        <v>1695</v>
      </c>
      <c r="P250" s="20"/>
      <c r="Q250" s="20" t="s">
        <v>59</v>
      </c>
      <c r="R250" s="20" t="s">
        <v>333</v>
      </c>
      <c r="S250" s="20" t="s">
        <v>333</v>
      </c>
      <c r="T250" s="20"/>
      <c r="U250" s="20"/>
      <c r="V250" s="20" t="s">
        <v>344</v>
      </c>
      <c r="W250" s="20" t="s">
        <v>333</v>
      </c>
      <c r="X250" s="20" t="s">
        <v>333</v>
      </c>
      <c r="Y250" s="20" t="s">
        <v>333</v>
      </c>
      <c r="Z250" s="20" t="s">
        <v>333</v>
      </c>
      <c r="AA250" s="20" t="s">
        <v>333</v>
      </c>
      <c r="AB250" s="20" t="s">
        <v>333</v>
      </c>
      <c r="AC250" s="20"/>
      <c r="AD250" s="20" t="s">
        <v>333</v>
      </c>
      <c r="AE250" s="20" t="s">
        <v>333</v>
      </c>
      <c r="AF250" s="20" t="s">
        <v>333</v>
      </c>
      <c r="AG250" s="20" t="s">
        <v>344</v>
      </c>
      <c r="AH250" s="20" t="s">
        <v>344</v>
      </c>
      <c r="AI250" s="20" t="s">
        <v>333</v>
      </c>
      <c r="AJ250" s="20"/>
      <c r="AK250" s="20" t="s">
        <v>347</v>
      </c>
      <c r="AL250" s="20" t="s">
        <v>1269</v>
      </c>
      <c r="AM250" s="20" t="s">
        <v>347</v>
      </c>
      <c r="AN250" s="20" t="s">
        <v>349</v>
      </c>
      <c r="AO250" s="20"/>
      <c r="AP250" s="20" t="s">
        <v>1695</v>
      </c>
      <c r="AQ250" s="20" t="s">
        <v>349</v>
      </c>
      <c r="AR250" s="20"/>
      <c r="AS250" s="20"/>
    </row>
    <row r="251">
      <c r="A251" s="20" t="s">
        <v>3184</v>
      </c>
      <c r="B251" s="20" t="s">
        <v>2379</v>
      </c>
      <c r="C251" s="20" t="s">
        <v>2380</v>
      </c>
      <c r="D251" s="20" t="s">
        <v>2381</v>
      </c>
      <c r="E251" s="20" t="s">
        <v>49</v>
      </c>
      <c r="F251" s="80" t="s">
        <v>3185</v>
      </c>
      <c r="G251" s="95">
        <v>9.6676899E9</v>
      </c>
      <c r="H251" s="20" t="s">
        <v>142</v>
      </c>
      <c r="I251" s="20" t="s">
        <v>144</v>
      </c>
      <c r="J251" s="20" t="s">
        <v>74</v>
      </c>
      <c r="K251" s="20" t="s">
        <v>55</v>
      </c>
      <c r="L251" s="20" t="s">
        <v>56</v>
      </c>
      <c r="M251" s="20" t="s">
        <v>57</v>
      </c>
      <c r="N251" s="20" t="s">
        <v>333</v>
      </c>
      <c r="O251" s="20" t="s">
        <v>1581</v>
      </c>
      <c r="P251" s="20" t="s">
        <v>1717</v>
      </c>
      <c r="Q251" s="20" t="s">
        <v>59</v>
      </c>
      <c r="R251" s="20" t="s">
        <v>333</v>
      </c>
      <c r="S251" s="20" t="s">
        <v>333</v>
      </c>
      <c r="T251" s="20" t="s">
        <v>2384</v>
      </c>
      <c r="U251" s="20" t="s">
        <v>2384</v>
      </c>
      <c r="V251" s="20" t="s">
        <v>344</v>
      </c>
      <c r="W251" s="20" t="s">
        <v>333</v>
      </c>
      <c r="X251" s="20" t="s">
        <v>333</v>
      </c>
      <c r="Y251" s="20" t="s">
        <v>333</v>
      </c>
      <c r="Z251" s="20" t="s">
        <v>333</v>
      </c>
      <c r="AA251" s="20" t="s">
        <v>333</v>
      </c>
      <c r="AB251" s="20" t="s">
        <v>333</v>
      </c>
      <c r="AC251" s="20"/>
      <c r="AD251" s="20" t="s">
        <v>333</v>
      </c>
      <c r="AE251" s="20" t="s">
        <v>333</v>
      </c>
      <c r="AF251" s="20" t="s">
        <v>333</v>
      </c>
      <c r="AG251" s="20" t="s">
        <v>344</v>
      </c>
      <c r="AH251" s="20" t="s">
        <v>344</v>
      </c>
      <c r="AI251" s="20" t="s">
        <v>333</v>
      </c>
      <c r="AJ251" s="20"/>
      <c r="AK251" s="20" t="s">
        <v>1736</v>
      </c>
      <c r="AL251" s="20" t="s">
        <v>1581</v>
      </c>
      <c r="AM251" s="20" t="s">
        <v>1736</v>
      </c>
      <c r="AN251" s="20" t="s">
        <v>349</v>
      </c>
      <c r="AO251" s="20"/>
      <c r="AP251" s="20" t="s">
        <v>1581</v>
      </c>
      <c r="AQ251" s="20" t="s">
        <v>1717</v>
      </c>
      <c r="AR251" s="20"/>
      <c r="AS251" s="20"/>
    </row>
    <row r="252">
      <c r="A252" s="20" t="s">
        <v>3187</v>
      </c>
      <c r="B252" s="20" t="s">
        <v>3188</v>
      </c>
      <c r="C252" s="20" t="s">
        <v>3189</v>
      </c>
      <c r="D252" s="20" t="s">
        <v>3190</v>
      </c>
      <c r="E252" s="20" t="s">
        <v>49</v>
      </c>
      <c r="F252" s="80" t="s">
        <v>3191</v>
      </c>
      <c r="G252" s="71" t="s">
        <v>3193</v>
      </c>
      <c r="H252" s="20" t="s">
        <v>303</v>
      </c>
      <c r="I252" s="20" t="s">
        <v>303</v>
      </c>
      <c r="J252" s="20" t="s">
        <v>74</v>
      </c>
      <c r="K252" s="20" t="s">
        <v>55</v>
      </c>
      <c r="L252" s="20" t="s">
        <v>56</v>
      </c>
      <c r="M252" s="20" t="s">
        <v>57</v>
      </c>
      <c r="N252" s="20" t="s">
        <v>333</v>
      </c>
      <c r="O252" s="20" t="s">
        <v>1717</v>
      </c>
      <c r="P252" s="20"/>
      <c r="Q252" s="20" t="s">
        <v>59</v>
      </c>
      <c r="R252" s="20" t="s">
        <v>333</v>
      </c>
      <c r="S252" s="20" t="s">
        <v>333</v>
      </c>
      <c r="T252" s="20" t="s">
        <v>948</v>
      </c>
      <c r="U252" s="20"/>
      <c r="V252" s="20" t="s">
        <v>344</v>
      </c>
      <c r="W252" s="20" t="s">
        <v>333</v>
      </c>
      <c r="X252" s="20" t="s">
        <v>333</v>
      </c>
      <c r="Y252" s="20" t="s">
        <v>333</v>
      </c>
      <c r="Z252" s="20" t="s">
        <v>333</v>
      </c>
      <c r="AA252" s="20" t="s">
        <v>333</v>
      </c>
      <c r="AB252" s="20" t="s">
        <v>333</v>
      </c>
      <c r="AC252" s="20"/>
      <c r="AD252" s="20" t="s">
        <v>333</v>
      </c>
      <c r="AE252" s="20" t="s">
        <v>333</v>
      </c>
      <c r="AF252" s="20" t="s">
        <v>333</v>
      </c>
      <c r="AG252" s="20" t="s">
        <v>344</v>
      </c>
      <c r="AH252" s="20" t="s">
        <v>344</v>
      </c>
      <c r="AI252" s="20" t="s">
        <v>333</v>
      </c>
      <c r="AJ252" s="20"/>
      <c r="AK252" s="20" t="s">
        <v>349</v>
      </c>
      <c r="AL252" s="20" t="s">
        <v>349</v>
      </c>
      <c r="AM252" s="20" t="s">
        <v>349</v>
      </c>
      <c r="AN252" s="20" t="s">
        <v>349</v>
      </c>
      <c r="AO252" s="20"/>
      <c r="AP252" s="20" t="s">
        <v>1717</v>
      </c>
      <c r="AQ252" s="20" t="s">
        <v>349</v>
      </c>
      <c r="AR252" s="20"/>
      <c r="AS252" s="20"/>
    </row>
    <row r="253">
      <c r="A253" s="20" t="s">
        <v>3204</v>
      </c>
      <c r="B253" s="20" t="s">
        <v>1153</v>
      </c>
      <c r="C253" s="20" t="s">
        <v>1154</v>
      </c>
      <c r="D253" s="20" t="s">
        <v>1155</v>
      </c>
      <c r="E253" s="20" t="s">
        <v>49</v>
      </c>
      <c r="F253" s="80" t="s">
        <v>3205</v>
      </c>
      <c r="G253" s="20" t="s">
        <v>3206</v>
      </c>
      <c r="H253" s="20" t="s">
        <v>664</v>
      </c>
      <c r="I253" s="20" t="s">
        <v>665</v>
      </c>
      <c r="J253" s="20" t="s">
        <v>665</v>
      </c>
      <c r="K253" s="20" t="s">
        <v>55</v>
      </c>
      <c r="L253" s="20" t="s">
        <v>56</v>
      </c>
      <c r="M253" s="20" t="s">
        <v>57</v>
      </c>
      <c r="N253" s="20" t="s">
        <v>333</v>
      </c>
      <c r="O253" s="20" t="s">
        <v>1682</v>
      </c>
      <c r="P253" s="20" t="s">
        <v>3207</v>
      </c>
      <c r="Q253" s="20" t="s">
        <v>59</v>
      </c>
      <c r="R253" s="20" t="s">
        <v>333</v>
      </c>
      <c r="S253" s="20" t="s">
        <v>333</v>
      </c>
      <c r="T253" s="20" t="s">
        <v>275</v>
      </c>
      <c r="U253" s="20" t="s">
        <v>275</v>
      </c>
      <c r="V253" s="20" t="s">
        <v>344</v>
      </c>
      <c r="W253" s="20" t="s">
        <v>333</v>
      </c>
      <c r="X253" s="20" t="s">
        <v>333</v>
      </c>
      <c r="Y253" s="20" t="s">
        <v>333</v>
      </c>
      <c r="Z253" s="20" t="s">
        <v>333</v>
      </c>
      <c r="AA253" s="20" t="s">
        <v>333</v>
      </c>
      <c r="AB253" s="20" t="s">
        <v>333</v>
      </c>
      <c r="AC253" s="20"/>
      <c r="AD253" s="20" t="s">
        <v>333</v>
      </c>
      <c r="AE253" s="20" t="s">
        <v>344</v>
      </c>
      <c r="AF253" s="20" t="s">
        <v>333</v>
      </c>
      <c r="AG253" s="20" t="s">
        <v>344</v>
      </c>
      <c r="AH253" s="20" t="s">
        <v>344</v>
      </c>
      <c r="AI253" s="20" t="s">
        <v>333</v>
      </c>
      <c r="AJ253" s="20"/>
      <c r="AK253" s="20" t="s">
        <v>347</v>
      </c>
      <c r="AL253" s="20" t="s">
        <v>1245</v>
      </c>
      <c r="AM253" s="20" t="s">
        <v>347</v>
      </c>
      <c r="AN253" s="20" t="s">
        <v>349</v>
      </c>
      <c r="AO253" s="20" t="s">
        <v>1161</v>
      </c>
      <c r="AP253" s="20" t="s">
        <v>1682</v>
      </c>
      <c r="AQ253" s="20" t="s">
        <v>3207</v>
      </c>
      <c r="AR253" s="20"/>
      <c r="AS253" s="20"/>
    </row>
    <row r="254">
      <c r="A254" s="20" t="s">
        <v>3208</v>
      </c>
      <c r="B254" s="20" t="s">
        <v>946</v>
      </c>
      <c r="C254" s="20" t="s">
        <v>947</v>
      </c>
      <c r="D254" s="20"/>
      <c r="E254" s="20" t="s">
        <v>49</v>
      </c>
      <c r="F254" s="29" t="s">
        <v>69</v>
      </c>
      <c r="G254" s="29" t="s">
        <v>69</v>
      </c>
      <c r="H254" s="20" t="s">
        <v>53</v>
      </c>
      <c r="I254" s="20" t="s">
        <v>54</v>
      </c>
      <c r="J254" s="20" t="s">
        <v>54</v>
      </c>
      <c r="K254" s="20" t="s">
        <v>55</v>
      </c>
      <c r="L254" s="20" t="s">
        <v>56</v>
      </c>
      <c r="M254" s="20" t="s">
        <v>57</v>
      </c>
      <c r="N254" s="20" t="s">
        <v>333</v>
      </c>
      <c r="O254" s="20" t="s">
        <v>1695</v>
      </c>
      <c r="P254" s="20" t="s">
        <v>1682</v>
      </c>
      <c r="Q254" s="20" t="s">
        <v>59</v>
      </c>
      <c r="R254" s="20" t="s">
        <v>333</v>
      </c>
      <c r="S254" s="20" t="s">
        <v>333</v>
      </c>
      <c r="T254" s="20"/>
      <c r="U254" s="20"/>
      <c r="V254" s="20" t="s">
        <v>344</v>
      </c>
      <c r="W254" s="20" t="s">
        <v>333</v>
      </c>
      <c r="X254" s="20" t="s">
        <v>333</v>
      </c>
      <c r="Y254" s="20" t="s">
        <v>333</v>
      </c>
      <c r="Z254" s="20" t="s">
        <v>333</v>
      </c>
      <c r="AA254" s="20" t="s">
        <v>333</v>
      </c>
      <c r="AB254" s="20" t="s">
        <v>333</v>
      </c>
      <c r="AC254" s="20"/>
      <c r="AD254" s="20" t="s">
        <v>333</v>
      </c>
      <c r="AE254" s="20" t="s">
        <v>333</v>
      </c>
      <c r="AF254" s="20" t="s">
        <v>333</v>
      </c>
      <c r="AG254" s="20" t="s">
        <v>344</v>
      </c>
      <c r="AH254" s="20" t="s">
        <v>344</v>
      </c>
      <c r="AI254" s="20" t="s">
        <v>333</v>
      </c>
      <c r="AJ254" s="20"/>
      <c r="AK254" s="20" t="s">
        <v>1260</v>
      </c>
      <c r="AL254" s="20" t="s">
        <v>1556</v>
      </c>
      <c r="AM254" s="20" t="s">
        <v>1260</v>
      </c>
      <c r="AN254" s="20" t="s">
        <v>349</v>
      </c>
      <c r="AO254" s="20"/>
      <c r="AP254" s="20" t="s">
        <v>1695</v>
      </c>
      <c r="AQ254" s="20" t="s">
        <v>1682</v>
      </c>
      <c r="AR254" s="20"/>
      <c r="AS254" s="20"/>
    </row>
    <row r="255">
      <c r="A255" s="20" t="s">
        <v>3213</v>
      </c>
      <c r="B255" s="20" t="s">
        <v>3214</v>
      </c>
      <c r="C255" s="20" t="s">
        <v>3215</v>
      </c>
      <c r="D255" s="20"/>
      <c r="E255" s="20" t="s">
        <v>49</v>
      </c>
      <c r="F255" s="80" t="s">
        <v>3216</v>
      </c>
      <c r="G255" s="75" t="s">
        <v>3217</v>
      </c>
      <c r="H255" s="20" t="s">
        <v>1110</v>
      </c>
      <c r="I255" s="20" t="s">
        <v>1111</v>
      </c>
      <c r="J255" s="20" t="s">
        <v>74</v>
      </c>
      <c r="K255" s="20" t="s">
        <v>55</v>
      </c>
      <c r="L255" s="20" t="s">
        <v>56</v>
      </c>
      <c r="M255" s="20" t="s">
        <v>57</v>
      </c>
      <c r="N255" s="20" t="s">
        <v>333</v>
      </c>
      <c r="O255" s="20" t="s">
        <v>1238</v>
      </c>
      <c r="P255" s="20" t="s">
        <v>1559</v>
      </c>
      <c r="Q255" s="20" t="s">
        <v>59</v>
      </c>
      <c r="R255" s="20" t="s">
        <v>333</v>
      </c>
      <c r="S255" s="20" t="s">
        <v>333</v>
      </c>
      <c r="T255" s="20"/>
      <c r="U255" s="20"/>
      <c r="V255" s="20" t="s">
        <v>344</v>
      </c>
      <c r="W255" s="20" t="s">
        <v>333</v>
      </c>
      <c r="X255" s="20" t="s">
        <v>333</v>
      </c>
      <c r="Y255" s="20" t="s">
        <v>333</v>
      </c>
      <c r="Z255" s="20" t="s">
        <v>333</v>
      </c>
      <c r="AA255" s="20" t="s">
        <v>333</v>
      </c>
      <c r="AB255" s="20" t="s">
        <v>333</v>
      </c>
      <c r="AC255" s="20"/>
      <c r="AD255" s="20" t="s">
        <v>333</v>
      </c>
      <c r="AE255" s="20" t="s">
        <v>333</v>
      </c>
      <c r="AF255" s="20" t="s">
        <v>333</v>
      </c>
      <c r="AG255" s="20" t="s">
        <v>344</v>
      </c>
      <c r="AH255" s="20" t="s">
        <v>344</v>
      </c>
      <c r="AI255" s="20" t="s">
        <v>333</v>
      </c>
      <c r="AJ255" s="20"/>
      <c r="AK255" s="20" t="s">
        <v>347</v>
      </c>
      <c r="AL255" s="20" t="s">
        <v>1261</v>
      </c>
      <c r="AM255" s="20" t="s">
        <v>347</v>
      </c>
      <c r="AN255" s="20" t="s">
        <v>349</v>
      </c>
      <c r="AO255" s="20"/>
      <c r="AP255" s="20" t="s">
        <v>1238</v>
      </c>
      <c r="AQ255" s="20" t="s">
        <v>1559</v>
      </c>
      <c r="AR255" s="20"/>
      <c r="AS255" s="20"/>
    </row>
    <row r="256">
      <c r="A256" s="20" t="s">
        <v>3221</v>
      </c>
      <c r="B256" s="20" t="s">
        <v>1943</v>
      </c>
      <c r="C256" s="20" t="s">
        <v>1944</v>
      </c>
      <c r="D256" s="20"/>
      <c r="E256" s="20" t="s">
        <v>49</v>
      </c>
      <c r="F256" s="80" t="s">
        <v>1946</v>
      </c>
      <c r="G256" s="75" t="s">
        <v>1949</v>
      </c>
      <c r="H256" s="20" t="s">
        <v>123</v>
      </c>
      <c r="I256" s="20" t="s">
        <v>124</v>
      </c>
      <c r="J256" s="20" t="s">
        <v>74</v>
      </c>
      <c r="K256" s="20" t="s">
        <v>55</v>
      </c>
      <c r="L256" s="20" t="s">
        <v>56</v>
      </c>
      <c r="M256" s="20" t="s">
        <v>57</v>
      </c>
      <c r="N256" s="20" t="s">
        <v>333</v>
      </c>
      <c r="O256" s="20"/>
      <c r="P256" s="20"/>
      <c r="Q256" s="20" t="s">
        <v>59</v>
      </c>
      <c r="R256" s="20" t="s">
        <v>333</v>
      </c>
      <c r="S256" s="20" t="s">
        <v>333</v>
      </c>
      <c r="T256" s="20"/>
      <c r="U256" s="20"/>
      <c r="V256" s="20" t="s">
        <v>344</v>
      </c>
      <c r="W256" s="20" t="s">
        <v>333</v>
      </c>
      <c r="X256" s="20" t="s">
        <v>333</v>
      </c>
      <c r="Y256" s="20" t="s">
        <v>333</v>
      </c>
      <c r="Z256" s="20" t="s">
        <v>333</v>
      </c>
      <c r="AA256" s="20" t="s">
        <v>333</v>
      </c>
      <c r="AB256" s="20" t="s">
        <v>333</v>
      </c>
      <c r="AC256" s="20"/>
      <c r="AD256" s="20" t="s">
        <v>333</v>
      </c>
      <c r="AE256" s="20" t="s">
        <v>333</v>
      </c>
      <c r="AF256" s="20" t="s">
        <v>333</v>
      </c>
      <c r="AG256" s="20" t="s">
        <v>344</v>
      </c>
      <c r="AH256" s="20" t="s">
        <v>344</v>
      </c>
      <c r="AI256" s="20" t="s">
        <v>333</v>
      </c>
      <c r="AJ256" s="20"/>
      <c r="AK256" s="20" t="s">
        <v>349</v>
      </c>
      <c r="AL256" s="20" t="s">
        <v>349</v>
      </c>
      <c r="AM256" s="20" t="s">
        <v>349</v>
      </c>
      <c r="AN256" s="20" t="s">
        <v>349</v>
      </c>
      <c r="AO256" s="20"/>
      <c r="AP256" s="20" t="s">
        <v>349</v>
      </c>
      <c r="AQ256" s="20" t="s">
        <v>349</v>
      </c>
      <c r="AR256" s="20"/>
      <c r="AS256" s="20"/>
    </row>
    <row r="257">
      <c r="A257" s="20" t="s">
        <v>3224</v>
      </c>
      <c r="B257" s="20" t="s">
        <v>3225</v>
      </c>
      <c r="C257" s="20" t="s">
        <v>3226</v>
      </c>
      <c r="D257" s="20"/>
      <c r="E257" s="20" t="s">
        <v>49</v>
      </c>
      <c r="F257" s="80" t="s">
        <v>3227</v>
      </c>
      <c r="G257" s="20" t="s">
        <v>3228</v>
      </c>
      <c r="H257" s="20" t="s">
        <v>3229</v>
      </c>
      <c r="I257" s="20" t="s">
        <v>3230</v>
      </c>
      <c r="J257" s="20" t="s">
        <v>74</v>
      </c>
      <c r="K257" s="20" t="s">
        <v>55</v>
      </c>
      <c r="L257" s="20" t="s">
        <v>56</v>
      </c>
      <c r="M257" s="20" t="s">
        <v>57</v>
      </c>
      <c r="N257" s="20" t="s">
        <v>333</v>
      </c>
      <c r="O257" s="20" t="s">
        <v>2262</v>
      </c>
      <c r="P257" s="20" t="s">
        <v>1669</v>
      </c>
      <c r="Q257" s="20" t="s">
        <v>59</v>
      </c>
      <c r="R257" s="20" t="s">
        <v>333</v>
      </c>
      <c r="S257" s="20" t="s">
        <v>333</v>
      </c>
      <c r="T257" s="20"/>
      <c r="U257" s="20"/>
      <c r="V257" s="20" t="s">
        <v>344</v>
      </c>
      <c r="W257" s="20" t="s">
        <v>333</v>
      </c>
      <c r="X257" s="20" t="s">
        <v>333</v>
      </c>
      <c r="Y257" s="20" t="s">
        <v>333</v>
      </c>
      <c r="Z257" s="20" t="s">
        <v>333</v>
      </c>
      <c r="AA257" s="20" t="s">
        <v>333</v>
      </c>
      <c r="AB257" s="20" t="s">
        <v>333</v>
      </c>
      <c r="AC257" s="20"/>
      <c r="AD257" s="20" t="s">
        <v>333</v>
      </c>
      <c r="AE257" s="20" t="s">
        <v>333</v>
      </c>
      <c r="AF257" s="20" t="s">
        <v>333</v>
      </c>
      <c r="AG257" s="20" t="s">
        <v>344</v>
      </c>
      <c r="AH257" s="20" t="s">
        <v>344</v>
      </c>
      <c r="AI257" s="20" t="s">
        <v>333</v>
      </c>
      <c r="AJ257" s="20"/>
      <c r="AK257" s="20" t="s">
        <v>1244</v>
      </c>
      <c r="AL257" s="20" t="s">
        <v>2019</v>
      </c>
      <c r="AM257" s="20" t="s">
        <v>1244</v>
      </c>
      <c r="AN257" s="20" t="s">
        <v>349</v>
      </c>
      <c r="AO257" s="20"/>
      <c r="AP257" s="20" t="s">
        <v>2262</v>
      </c>
      <c r="AQ257" s="20" t="s">
        <v>1669</v>
      </c>
      <c r="AR257" s="20"/>
      <c r="AS257" s="20"/>
    </row>
    <row r="258">
      <c r="A258" s="20" t="s">
        <v>3231</v>
      </c>
      <c r="B258" s="20" t="s">
        <v>257</v>
      </c>
      <c r="C258" s="20" t="s">
        <v>292</v>
      </c>
      <c r="D258" s="20"/>
      <c r="E258" s="20" t="s">
        <v>49</v>
      </c>
      <c r="F258" s="80" t="s">
        <v>3232</v>
      </c>
      <c r="G258" s="75" t="s">
        <v>3235</v>
      </c>
      <c r="H258" s="20" t="s">
        <v>118</v>
      </c>
      <c r="I258" s="20" t="s">
        <v>92</v>
      </c>
      <c r="J258" s="20" t="s">
        <v>92</v>
      </c>
      <c r="K258" s="20" t="s">
        <v>55</v>
      </c>
      <c r="L258" s="20" t="s">
        <v>56</v>
      </c>
      <c r="M258" s="20" t="s">
        <v>57</v>
      </c>
      <c r="N258" s="20" t="s">
        <v>333</v>
      </c>
      <c r="O258" s="20" t="s">
        <v>348</v>
      </c>
      <c r="P258" s="20" t="s">
        <v>2409</v>
      </c>
      <c r="Q258" s="20" t="s">
        <v>59</v>
      </c>
      <c r="R258" s="20" t="s">
        <v>333</v>
      </c>
      <c r="S258" s="20" t="s">
        <v>333</v>
      </c>
      <c r="T258" s="20"/>
      <c r="U258" s="20"/>
      <c r="V258" s="20" t="s">
        <v>344</v>
      </c>
      <c r="W258" s="20" t="s">
        <v>333</v>
      </c>
      <c r="X258" s="20" t="s">
        <v>333</v>
      </c>
      <c r="Y258" s="20" t="s">
        <v>333</v>
      </c>
      <c r="Z258" s="20" t="s">
        <v>333</v>
      </c>
      <c r="AA258" s="20" t="s">
        <v>333</v>
      </c>
      <c r="AB258" s="20" t="s">
        <v>333</v>
      </c>
      <c r="AC258" s="20"/>
      <c r="AD258" s="20" t="s">
        <v>333</v>
      </c>
      <c r="AE258" s="20" t="s">
        <v>333</v>
      </c>
      <c r="AF258" s="20" t="s">
        <v>333</v>
      </c>
      <c r="AG258" s="20" t="s">
        <v>344</v>
      </c>
      <c r="AH258" s="20" t="s">
        <v>344</v>
      </c>
      <c r="AI258" s="20" t="s">
        <v>333</v>
      </c>
      <c r="AJ258" s="20"/>
      <c r="AK258" s="20" t="s">
        <v>349</v>
      </c>
      <c r="AL258" s="20" t="s">
        <v>349</v>
      </c>
      <c r="AM258" s="20" t="s">
        <v>349</v>
      </c>
      <c r="AN258" s="20" t="s">
        <v>349</v>
      </c>
      <c r="AO258" s="20"/>
      <c r="AP258" s="20" t="s">
        <v>348</v>
      </c>
      <c r="AQ258" s="20" t="s">
        <v>2409</v>
      </c>
      <c r="AR258" s="20"/>
      <c r="AS258" s="20"/>
    </row>
    <row r="259">
      <c r="A259" s="20" t="s">
        <v>3236</v>
      </c>
      <c r="B259" s="20" t="s">
        <v>990</v>
      </c>
      <c r="C259" s="20" t="s">
        <v>992</v>
      </c>
      <c r="D259" s="20"/>
      <c r="E259" s="20" t="s">
        <v>49</v>
      </c>
      <c r="F259" s="29" t="s">
        <v>2208</v>
      </c>
      <c r="G259" s="20" t="s">
        <v>3237</v>
      </c>
      <c r="H259" s="20" t="s">
        <v>123</v>
      </c>
      <c r="I259" s="20" t="s">
        <v>124</v>
      </c>
      <c r="J259" s="20" t="s">
        <v>74</v>
      </c>
      <c r="K259" s="20" t="s">
        <v>55</v>
      </c>
      <c r="L259" s="20" t="s">
        <v>56</v>
      </c>
      <c r="M259" s="20" t="s">
        <v>57</v>
      </c>
      <c r="N259" s="20" t="s">
        <v>333</v>
      </c>
      <c r="O259" s="20" t="s">
        <v>1591</v>
      </c>
      <c r="P259" s="20"/>
      <c r="Q259" s="20" t="s">
        <v>59</v>
      </c>
      <c r="R259" s="20" t="s">
        <v>333</v>
      </c>
      <c r="S259" s="20" t="s">
        <v>333</v>
      </c>
      <c r="T259" s="20"/>
      <c r="U259" s="20"/>
      <c r="V259" s="20" t="s">
        <v>344</v>
      </c>
      <c r="W259" s="20" t="s">
        <v>333</v>
      </c>
      <c r="X259" s="20" t="s">
        <v>333</v>
      </c>
      <c r="Y259" s="20" t="s">
        <v>333</v>
      </c>
      <c r="Z259" s="20" t="s">
        <v>333</v>
      </c>
      <c r="AA259" s="20" t="s">
        <v>333</v>
      </c>
      <c r="AB259" s="20" t="s">
        <v>333</v>
      </c>
      <c r="AC259" s="20"/>
      <c r="AD259" s="20" t="s">
        <v>333</v>
      </c>
      <c r="AE259" s="20" t="s">
        <v>333</v>
      </c>
      <c r="AF259" s="20" t="s">
        <v>333</v>
      </c>
      <c r="AG259" s="20" t="s">
        <v>344</v>
      </c>
      <c r="AH259" s="20" t="s">
        <v>344</v>
      </c>
      <c r="AI259" s="20" t="s">
        <v>333</v>
      </c>
      <c r="AJ259" s="20"/>
      <c r="AK259" s="20" t="s">
        <v>1581</v>
      </c>
      <c r="AL259" s="20" t="s">
        <v>1245</v>
      </c>
      <c r="AM259" s="20" t="s">
        <v>1581</v>
      </c>
      <c r="AN259" s="20" t="s">
        <v>349</v>
      </c>
      <c r="AO259" s="20"/>
      <c r="AP259" s="20" t="s">
        <v>1591</v>
      </c>
      <c r="AQ259" s="20" t="s">
        <v>349</v>
      </c>
      <c r="AR259" s="20"/>
      <c r="AS259" s="20"/>
    </row>
    <row r="260">
      <c r="A260" s="20" t="s">
        <v>3242</v>
      </c>
      <c r="B260" s="20" t="s">
        <v>926</v>
      </c>
      <c r="C260" s="20" t="s">
        <v>927</v>
      </c>
      <c r="D260" s="20"/>
      <c r="E260" s="20" t="s">
        <v>49</v>
      </c>
      <c r="F260" s="80" t="s">
        <v>3243</v>
      </c>
      <c r="G260" s="75" t="s">
        <v>3245</v>
      </c>
      <c r="H260" s="20" t="s">
        <v>930</v>
      </c>
      <c r="I260" s="20" t="s">
        <v>931</v>
      </c>
      <c r="J260" s="20" t="s">
        <v>931</v>
      </c>
      <c r="K260" s="20" t="s">
        <v>55</v>
      </c>
      <c r="L260" s="20" t="s">
        <v>56</v>
      </c>
      <c r="M260" s="20" t="s">
        <v>57</v>
      </c>
      <c r="N260" s="20" t="s">
        <v>333</v>
      </c>
      <c r="O260" s="20" t="s">
        <v>1720</v>
      </c>
      <c r="P260" s="20" t="s">
        <v>1688</v>
      </c>
      <c r="Q260" s="20" t="s">
        <v>59</v>
      </c>
      <c r="R260" s="20" t="s">
        <v>333</v>
      </c>
      <c r="S260" s="20" t="s">
        <v>333</v>
      </c>
      <c r="T260" s="20"/>
      <c r="U260" s="20"/>
      <c r="V260" s="20" t="s">
        <v>344</v>
      </c>
      <c r="W260" s="20" t="s">
        <v>333</v>
      </c>
      <c r="X260" s="20" t="s">
        <v>333</v>
      </c>
      <c r="Y260" s="20" t="s">
        <v>333</v>
      </c>
      <c r="Z260" s="20" t="s">
        <v>333</v>
      </c>
      <c r="AA260" s="20" t="s">
        <v>333</v>
      </c>
      <c r="AB260" s="20" t="s">
        <v>333</v>
      </c>
      <c r="AC260" s="20"/>
      <c r="AD260" s="20" t="s">
        <v>333</v>
      </c>
      <c r="AE260" s="20" t="s">
        <v>333</v>
      </c>
      <c r="AF260" s="20" t="s">
        <v>333</v>
      </c>
      <c r="AG260" s="20" t="s">
        <v>344</v>
      </c>
      <c r="AH260" s="20" t="s">
        <v>344</v>
      </c>
      <c r="AI260" s="20" t="s">
        <v>333</v>
      </c>
      <c r="AJ260" s="20"/>
      <c r="AK260" s="20" t="s">
        <v>1260</v>
      </c>
      <c r="AL260" s="20" t="s">
        <v>1800</v>
      </c>
      <c r="AM260" s="20" t="s">
        <v>1260</v>
      </c>
      <c r="AN260" s="20" t="s">
        <v>349</v>
      </c>
      <c r="AO260" s="20"/>
      <c r="AP260" s="20" t="s">
        <v>1720</v>
      </c>
      <c r="AQ260" s="20" t="s">
        <v>1688</v>
      </c>
      <c r="AR260" s="20"/>
      <c r="AS260" s="20"/>
    </row>
    <row r="261">
      <c r="A261" s="20" t="s">
        <v>3248</v>
      </c>
      <c r="B261" s="20" t="s">
        <v>1123</v>
      </c>
      <c r="C261" s="20" t="s">
        <v>1124</v>
      </c>
      <c r="D261" s="20" t="s">
        <v>1125</v>
      </c>
      <c r="E261" s="20" t="s">
        <v>49</v>
      </c>
      <c r="F261" s="20" t="s">
        <v>3249</v>
      </c>
      <c r="G261" s="71" t="s">
        <v>3250</v>
      </c>
      <c r="H261" s="20" t="s">
        <v>75</v>
      </c>
      <c r="I261" s="20" t="s">
        <v>76</v>
      </c>
      <c r="J261" s="20" t="s">
        <v>76</v>
      </c>
      <c r="K261" s="20" t="s">
        <v>55</v>
      </c>
      <c r="L261" s="20" t="s">
        <v>56</v>
      </c>
      <c r="M261" s="20" t="s">
        <v>57</v>
      </c>
      <c r="N261" s="20" t="s">
        <v>333</v>
      </c>
      <c r="O261" s="20" t="s">
        <v>1269</v>
      </c>
      <c r="P261" s="20" t="s">
        <v>1661</v>
      </c>
      <c r="Q261" s="20" t="s">
        <v>59</v>
      </c>
      <c r="R261" s="20" t="s">
        <v>333</v>
      </c>
      <c r="S261" s="20" t="s">
        <v>333</v>
      </c>
      <c r="T261" s="20"/>
      <c r="U261" s="20"/>
      <c r="V261" s="20" t="s">
        <v>344</v>
      </c>
      <c r="W261" s="20" t="s">
        <v>333</v>
      </c>
      <c r="X261" s="20" t="s">
        <v>333</v>
      </c>
      <c r="Y261" s="20" t="s">
        <v>333</v>
      </c>
      <c r="Z261" s="20" t="s">
        <v>333</v>
      </c>
      <c r="AA261" s="20" t="s">
        <v>333</v>
      </c>
      <c r="AB261" s="20" t="s">
        <v>333</v>
      </c>
      <c r="AC261" s="20"/>
      <c r="AD261" s="20" t="s">
        <v>333</v>
      </c>
      <c r="AE261" s="20" t="s">
        <v>333</v>
      </c>
      <c r="AF261" s="20" t="s">
        <v>333</v>
      </c>
      <c r="AG261" s="20" t="s">
        <v>344</v>
      </c>
      <c r="AH261" s="20" t="s">
        <v>344</v>
      </c>
      <c r="AI261" s="20" t="s">
        <v>333</v>
      </c>
      <c r="AJ261" s="20"/>
      <c r="AK261" s="20" t="s">
        <v>1587</v>
      </c>
      <c r="AL261" s="20" t="s">
        <v>2889</v>
      </c>
      <c r="AM261" s="20" t="s">
        <v>1587</v>
      </c>
      <c r="AN261" s="20" t="s">
        <v>349</v>
      </c>
      <c r="AO261" s="20" t="s">
        <v>1127</v>
      </c>
      <c r="AP261" s="20" t="s">
        <v>1269</v>
      </c>
      <c r="AQ261" s="20" t="s">
        <v>1661</v>
      </c>
      <c r="AR261" s="29" t="s">
        <v>1951</v>
      </c>
      <c r="AS261" s="20"/>
    </row>
    <row r="262">
      <c r="A262" s="20" t="s">
        <v>3258</v>
      </c>
      <c r="B262" s="20" t="s">
        <v>2166</v>
      </c>
      <c r="C262" s="20" t="s">
        <v>2167</v>
      </c>
      <c r="D262" s="20" t="s">
        <v>2168</v>
      </c>
      <c r="E262" s="20" t="s">
        <v>49</v>
      </c>
      <c r="F262" s="80" t="s">
        <v>3259</v>
      </c>
      <c r="G262" s="20" t="s">
        <v>375</v>
      </c>
      <c r="H262" s="20" t="s">
        <v>303</v>
      </c>
      <c r="I262" s="20" t="s">
        <v>303</v>
      </c>
      <c r="J262" s="20" t="s">
        <v>74</v>
      </c>
      <c r="K262" s="20" t="s">
        <v>55</v>
      </c>
      <c r="L262" s="20" t="s">
        <v>56</v>
      </c>
      <c r="M262" s="20" t="s">
        <v>57</v>
      </c>
      <c r="N262" s="20" t="s">
        <v>333</v>
      </c>
      <c r="O262" s="20" t="s">
        <v>1682</v>
      </c>
      <c r="P262" s="20" t="s">
        <v>1556</v>
      </c>
      <c r="Q262" s="20" t="s">
        <v>59</v>
      </c>
      <c r="R262" s="20" t="s">
        <v>333</v>
      </c>
      <c r="S262" s="20" t="s">
        <v>333</v>
      </c>
      <c r="T262" s="20" t="s">
        <v>3264</v>
      </c>
      <c r="U262" s="20"/>
      <c r="V262" s="20" t="s">
        <v>344</v>
      </c>
      <c r="W262" s="20" t="s">
        <v>333</v>
      </c>
      <c r="X262" s="20" t="s">
        <v>333</v>
      </c>
      <c r="Y262" s="20" t="s">
        <v>333</v>
      </c>
      <c r="Z262" s="20" t="s">
        <v>333</v>
      </c>
      <c r="AA262" s="20" t="s">
        <v>333</v>
      </c>
      <c r="AB262" s="20" t="s">
        <v>333</v>
      </c>
      <c r="AC262" s="20"/>
      <c r="AD262" s="20" t="s">
        <v>333</v>
      </c>
      <c r="AE262" s="20" t="s">
        <v>333</v>
      </c>
      <c r="AF262" s="20" t="s">
        <v>333</v>
      </c>
      <c r="AG262" s="20" t="s">
        <v>344</v>
      </c>
      <c r="AH262" s="20" t="s">
        <v>344</v>
      </c>
      <c r="AI262" s="20" t="s">
        <v>333</v>
      </c>
      <c r="AJ262" s="20"/>
      <c r="AK262" s="20" t="s">
        <v>1595</v>
      </c>
      <c r="AL262" s="20" t="s">
        <v>1596</v>
      </c>
      <c r="AM262" s="20" t="s">
        <v>1595</v>
      </c>
      <c r="AN262" s="20" t="s">
        <v>349</v>
      </c>
      <c r="AO262" s="20"/>
      <c r="AP262" s="20" t="s">
        <v>1682</v>
      </c>
      <c r="AQ262" s="20" t="s">
        <v>1556</v>
      </c>
      <c r="AR262" s="20"/>
      <c r="AS262" s="20"/>
    </row>
    <row r="263">
      <c r="A263" s="20" t="s">
        <v>3266</v>
      </c>
      <c r="B263" s="20" t="s">
        <v>3267</v>
      </c>
      <c r="C263" s="20" t="s">
        <v>3268</v>
      </c>
      <c r="D263" s="20"/>
      <c r="E263" s="20" t="s">
        <v>49</v>
      </c>
      <c r="F263" s="80" t="s">
        <v>3269</v>
      </c>
      <c r="G263" s="75" t="s">
        <v>3271</v>
      </c>
      <c r="H263" s="20" t="s">
        <v>72</v>
      </c>
      <c r="I263" s="20" t="s">
        <v>73</v>
      </c>
      <c r="J263" s="20" t="s">
        <v>74</v>
      </c>
      <c r="K263" s="20" t="s">
        <v>55</v>
      </c>
      <c r="L263" s="20" t="s">
        <v>56</v>
      </c>
      <c r="M263" s="20" t="s">
        <v>57</v>
      </c>
      <c r="N263" s="20" t="s">
        <v>333</v>
      </c>
      <c r="O263" s="20" t="s">
        <v>1920</v>
      </c>
      <c r="P263" s="20" t="s">
        <v>1941</v>
      </c>
      <c r="Q263" s="20" t="s">
        <v>59</v>
      </c>
      <c r="R263" s="20" t="s">
        <v>333</v>
      </c>
      <c r="S263" s="20" t="s">
        <v>333</v>
      </c>
      <c r="T263" s="20"/>
      <c r="U263" s="20"/>
      <c r="V263" s="20" t="s">
        <v>344</v>
      </c>
      <c r="W263" s="20" t="s">
        <v>333</v>
      </c>
      <c r="X263" s="20" t="s">
        <v>333</v>
      </c>
      <c r="Y263" s="20" t="s">
        <v>333</v>
      </c>
      <c r="Z263" s="20" t="s">
        <v>333</v>
      </c>
      <c r="AA263" s="20" t="s">
        <v>333</v>
      </c>
      <c r="AB263" s="20" t="s">
        <v>333</v>
      </c>
      <c r="AC263" s="20"/>
      <c r="AD263" s="20" t="s">
        <v>333</v>
      </c>
      <c r="AE263" s="20" t="s">
        <v>333</v>
      </c>
      <c r="AF263" s="20" t="s">
        <v>333</v>
      </c>
      <c r="AG263" s="20" t="s">
        <v>344</v>
      </c>
      <c r="AH263" s="20" t="s">
        <v>344</v>
      </c>
      <c r="AI263" s="20" t="s">
        <v>333</v>
      </c>
      <c r="AJ263" s="20"/>
      <c r="AK263" s="20" t="s">
        <v>347</v>
      </c>
      <c r="AL263" s="20" t="s">
        <v>1261</v>
      </c>
      <c r="AM263" s="20" t="s">
        <v>347</v>
      </c>
      <c r="AN263" s="20" t="s">
        <v>349</v>
      </c>
      <c r="AO263" s="20"/>
      <c r="AP263" s="20" t="s">
        <v>1920</v>
      </c>
      <c r="AQ263" s="20" t="s">
        <v>1941</v>
      </c>
      <c r="AR263" s="20"/>
      <c r="AS263" s="20"/>
    </row>
    <row r="264">
      <c r="A264" s="20" t="s">
        <v>3276</v>
      </c>
      <c r="B264" s="20" t="s">
        <v>1313</v>
      </c>
      <c r="C264" s="20" t="s">
        <v>1314</v>
      </c>
      <c r="D264" s="20"/>
      <c r="E264" s="20" t="s">
        <v>49</v>
      </c>
      <c r="F264" s="80" t="s">
        <v>3277</v>
      </c>
      <c r="G264" s="20" t="s">
        <v>3279</v>
      </c>
      <c r="H264" s="20" t="s">
        <v>53</v>
      </c>
      <c r="I264" s="20" t="s">
        <v>54</v>
      </c>
      <c r="J264" s="20" t="s">
        <v>54</v>
      </c>
      <c r="K264" s="20" t="s">
        <v>55</v>
      </c>
      <c r="L264" s="20" t="s">
        <v>56</v>
      </c>
      <c r="M264" s="20" t="s">
        <v>57</v>
      </c>
      <c r="N264" s="20" t="s">
        <v>333</v>
      </c>
      <c r="O264" s="20" t="s">
        <v>1596</v>
      </c>
      <c r="P264" s="20"/>
      <c r="Q264" s="20" t="s">
        <v>59</v>
      </c>
      <c r="R264" s="20" t="s">
        <v>333</v>
      </c>
      <c r="S264" s="20" t="s">
        <v>333</v>
      </c>
      <c r="T264" s="20"/>
      <c r="U264" s="20"/>
      <c r="V264" s="20" t="s">
        <v>344</v>
      </c>
      <c r="W264" s="20" t="s">
        <v>333</v>
      </c>
      <c r="X264" s="20" t="s">
        <v>333</v>
      </c>
      <c r="Y264" s="20" t="s">
        <v>333</v>
      </c>
      <c r="Z264" s="20" t="s">
        <v>333</v>
      </c>
      <c r="AA264" s="20" t="s">
        <v>333</v>
      </c>
      <c r="AB264" s="20" t="s">
        <v>333</v>
      </c>
      <c r="AC264" s="20"/>
      <c r="AD264" s="20" t="s">
        <v>333</v>
      </c>
      <c r="AE264" s="20" t="s">
        <v>333</v>
      </c>
      <c r="AF264" s="20" t="s">
        <v>333</v>
      </c>
      <c r="AG264" s="20" t="s">
        <v>344</v>
      </c>
      <c r="AH264" s="20" t="s">
        <v>344</v>
      </c>
      <c r="AI264" s="20" t="s">
        <v>333</v>
      </c>
      <c r="AJ264" s="20"/>
      <c r="AK264" s="20" t="s">
        <v>1260</v>
      </c>
      <c r="AL264" s="20" t="s">
        <v>348</v>
      </c>
      <c r="AM264" s="20" t="s">
        <v>1260</v>
      </c>
      <c r="AN264" s="20" t="s">
        <v>349</v>
      </c>
      <c r="AO264" s="20"/>
      <c r="AP264" s="20" t="s">
        <v>1596</v>
      </c>
      <c r="AQ264" s="20" t="s">
        <v>349</v>
      </c>
      <c r="AR264" s="20"/>
      <c r="AS264" s="20"/>
    </row>
    <row r="265">
      <c r="A265" s="20" t="s">
        <v>3284</v>
      </c>
      <c r="B265" s="20" t="s">
        <v>2303</v>
      </c>
      <c r="C265" s="20" t="s">
        <v>2304</v>
      </c>
      <c r="D265" s="20"/>
      <c r="E265" s="20" t="s">
        <v>49</v>
      </c>
      <c r="F265" s="80" t="s">
        <v>3286</v>
      </c>
      <c r="G265" s="75" t="s">
        <v>3287</v>
      </c>
      <c r="H265" s="20" t="s">
        <v>72</v>
      </c>
      <c r="I265" s="20" t="s">
        <v>73</v>
      </c>
      <c r="J265" s="20" t="s">
        <v>74</v>
      </c>
      <c r="K265" s="20" t="s">
        <v>55</v>
      </c>
      <c r="L265" s="20" t="s">
        <v>56</v>
      </c>
      <c r="M265" s="20" t="s">
        <v>57</v>
      </c>
      <c r="N265" s="20" t="s">
        <v>333</v>
      </c>
      <c r="O265" s="20" t="s">
        <v>1576</v>
      </c>
      <c r="P265" s="20" t="s">
        <v>1682</v>
      </c>
      <c r="Q265" s="20" t="s">
        <v>59</v>
      </c>
      <c r="R265" s="20" t="s">
        <v>333</v>
      </c>
      <c r="S265" s="20" t="s">
        <v>333</v>
      </c>
      <c r="T265" s="20"/>
      <c r="U265" s="20"/>
      <c r="V265" s="20" t="s">
        <v>344</v>
      </c>
      <c r="W265" s="20" t="s">
        <v>333</v>
      </c>
      <c r="X265" s="20" t="s">
        <v>333</v>
      </c>
      <c r="Y265" s="20" t="s">
        <v>333</v>
      </c>
      <c r="Z265" s="20" t="s">
        <v>333</v>
      </c>
      <c r="AA265" s="20" t="s">
        <v>333</v>
      </c>
      <c r="AB265" s="20" t="s">
        <v>333</v>
      </c>
      <c r="AC265" s="20"/>
      <c r="AD265" s="20" t="s">
        <v>333</v>
      </c>
      <c r="AE265" s="20" t="s">
        <v>333</v>
      </c>
      <c r="AF265" s="20" t="s">
        <v>333</v>
      </c>
      <c r="AG265" s="20" t="s">
        <v>344</v>
      </c>
      <c r="AH265" s="20" t="s">
        <v>344</v>
      </c>
      <c r="AI265" s="20" t="s">
        <v>333</v>
      </c>
      <c r="AJ265" s="20"/>
      <c r="AK265" s="20" t="s">
        <v>347</v>
      </c>
      <c r="AL265" s="20" t="s">
        <v>2019</v>
      </c>
      <c r="AM265" s="20" t="s">
        <v>347</v>
      </c>
      <c r="AN265" s="20" t="s">
        <v>349</v>
      </c>
      <c r="AO265" s="20"/>
      <c r="AP265" s="20" t="s">
        <v>1576</v>
      </c>
      <c r="AQ265" s="20" t="s">
        <v>1682</v>
      </c>
      <c r="AR265" s="20"/>
      <c r="AS265" s="20"/>
    </row>
    <row r="266">
      <c r="A266" s="20" t="s">
        <v>3289</v>
      </c>
      <c r="B266" s="20" t="s">
        <v>3290</v>
      </c>
      <c r="C266" s="20" t="s">
        <v>3291</v>
      </c>
      <c r="D266" s="20"/>
      <c r="E266" s="20" t="s">
        <v>49</v>
      </c>
      <c r="F266" s="80" t="s">
        <v>3292</v>
      </c>
      <c r="G266" s="20" t="s">
        <v>3297</v>
      </c>
      <c r="H266" s="20" t="s">
        <v>586</v>
      </c>
      <c r="I266" s="20" t="s">
        <v>587</v>
      </c>
      <c r="J266" s="20" t="s">
        <v>74</v>
      </c>
      <c r="K266" s="20" t="s">
        <v>55</v>
      </c>
      <c r="L266" s="20" t="s">
        <v>56</v>
      </c>
      <c r="M266" s="20" t="s">
        <v>57</v>
      </c>
      <c r="N266" s="20" t="s">
        <v>333</v>
      </c>
      <c r="O266" s="20" t="s">
        <v>1256</v>
      </c>
      <c r="P266" s="20"/>
      <c r="Q266" s="20" t="s">
        <v>59</v>
      </c>
      <c r="R266" s="20" t="s">
        <v>333</v>
      </c>
      <c r="S266" s="20" t="s">
        <v>333</v>
      </c>
      <c r="T266" s="20"/>
      <c r="U266" s="20"/>
      <c r="V266" s="20" t="s">
        <v>344</v>
      </c>
      <c r="W266" s="20" t="s">
        <v>333</v>
      </c>
      <c r="X266" s="20" t="s">
        <v>333</v>
      </c>
      <c r="Y266" s="20" t="s">
        <v>333</v>
      </c>
      <c r="Z266" s="20" t="s">
        <v>333</v>
      </c>
      <c r="AA266" s="20" t="s">
        <v>333</v>
      </c>
      <c r="AB266" s="20" t="s">
        <v>333</v>
      </c>
      <c r="AC266" s="20"/>
      <c r="AD266" s="20" t="s">
        <v>333</v>
      </c>
      <c r="AE266" s="20" t="s">
        <v>333</v>
      </c>
      <c r="AF266" s="20" t="s">
        <v>333</v>
      </c>
      <c r="AG266" s="20" t="s">
        <v>344</v>
      </c>
      <c r="AH266" s="20" t="s">
        <v>344</v>
      </c>
      <c r="AI266" s="20" t="s">
        <v>333</v>
      </c>
      <c r="AJ266" s="20"/>
      <c r="AK266" s="20" t="s">
        <v>1717</v>
      </c>
      <c r="AL266" s="20" t="s">
        <v>1261</v>
      </c>
      <c r="AM266" s="20" t="s">
        <v>1717</v>
      </c>
      <c r="AN266" s="20" t="s">
        <v>349</v>
      </c>
      <c r="AO266" s="20"/>
      <c r="AP266" s="20" t="s">
        <v>1256</v>
      </c>
      <c r="AQ266" s="20" t="s">
        <v>349</v>
      </c>
      <c r="AR266" s="20"/>
      <c r="AS266" s="20"/>
    </row>
    <row r="267">
      <c r="A267" s="20" t="s">
        <v>3299</v>
      </c>
      <c r="B267" s="20" t="s">
        <v>3300</v>
      </c>
      <c r="C267" s="20" t="s">
        <v>3301</v>
      </c>
      <c r="D267" s="20"/>
      <c r="E267" s="20" t="s">
        <v>49</v>
      </c>
      <c r="F267" s="29" t="s">
        <v>69</v>
      </c>
      <c r="G267" s="29" t="s">
        <v>69</v>
      </c>
      <c r="H267" s="20" t="s">
        <v>123</v>
      </c>
      <c r="I267" s="20" t="s">
        <v>124</v>
      </c>
      <c r="J267" s="20" t="s">
        <v>74</v>
      </c>
      <c r="K267" s="20" t="s">
        <v>55</v>
      </c>
      <c r="L267" s="20" t="s">
        <v>56</v>
      </c>
      <c r="M267" s="20" t="s">
        <v>57</v>
      </c>
      <c r="N267" s="20" t="s">
        <v>333</v>
      </c>
      <c r="O267" s="20" t="s">
        <v>1795</v>
      </c>
      <c r="P267" s="20" t="s">
        <v>1596</v>
      </c>
      <c r="Q267" s="20" t="s">
        <v>59</v>
      </c>
      <c r="R267" s="20" t="s">
        <v>333</v>
      </c>
      <c r="S267" s="20" t="s">
        <v>333</v>
      </c>
      <c r="T267" s="20"/>
      <c r="U267" s="20"/>
      <c r="V267" s="20" t="s">
        <v>344</v>
      </c>
      <c r="W267" s="20" t="s">
        <v>333</v>
      </c>
      <c r="X267" s="20" t="s">
        <v>333</v>
      </c>
      <c r="Y267" s="20" t="s">
        <v>333</v>
      </c>
      <c r="Z267" s="20" t="s">
        <v>333</v>
      </c>
      <c r="AA267" s="20" t="s">
        <v>333</v>
      </c>
      <c r="AB267" s="20" t="s">
        <v>333</v>
      </c>
      <c r="AC267" s="20"/>
      <c r="AD267" s="20" t="s">
        <v>333</v>
      </c>
      <c r="AE267" s="20" t="s">
        <v>333</v>
      </c>
      <c r="AF267" s="20" t="s">
        <v>333</v>
      </c>
      <c r="AG267" s="20" t="s">
        <v>344</v>
      </c>
      <c r="AH267" s="20" t="s">
        <v>344</v>
      </c>
      <c r="AI267" s="20" t="s">
        <v>333</v>
      </c>
      <c r="AJ267" s="20"/>
      <c r="AK267" s="20" t="s">
        <v>1244</v>
      </c>
      <c r="AL267" s="20" t="s">
        <v>348</v>
      </c>
      <c r="AM267" s="20" t="s">
        <v>1244</v>
      </c>
      <c r="AN267" s="20" t="s">
        <v>349</v>
      </c>
      <c r="AO267" s="20"/>
      <c r="AP267" s="20" t="s">
        <v>1795</v>
      </c>
      <c r="AQ267" s="20" t="s">
        <v>1596</v>
      </c>
      <c r="AR267" s="20"/>
      <c r="AS267" s="20"/>
    </row>
    <row r="268">
      <c r="A268" s="20" t="s">
        <v>3304</v>
      </c>
      <c r="B268" s="20" t="s">
        <v>2296</v>
      </c>
      <c r="C268" s="20" t="s">
        <v>2297</v>
      </c>
      <c r="D268" s="20"/>
      <c r="E268" s="20" t="s">
        <v>49</v>
      </c>
      <c r="F268" s="29" t="s">
        <v>69</v>
      </c>
      <c r="G268" s="29" t="s">
        <v>69</v>
      </c>
      <c r="H268" s="20" t="s">
        <v>727</v>
      </c>
      <c r="I268" s="20" t="s">
        <v>729</v>
      </c>
      <c r="J268" s="20" t="s">
        <v>74</v>
      </c>
      <c r="K268" s="20" t="s">
        <v>55</v>
      </c>
      <c r="L268" s="20" t="s">
        <v>56</v>
      </c>
      <c r="M268" s="20" t="s">
        <v>57</v>
      </c>
      <c r="N268" s="20" t="s">
        <v>333</v>
      </c>
      <c r="O268" s="20" t="s">
        <v>1682</v>
      </c>
      <c r="P268" s="20" t="s">
        <v>1556</v>
      </c>
      <c r="Q268" s="20" t="s">
        <v>59</v>
      </c>
      <c r="R268" s="20" t="s">
        <v>333</v>
      </c>
      <c r="S268" s="20" t="s">
        <v>333</v>
      </c>
      <c r="T268" s="20"/>
      <c r="U268" s="20"/>
      <c r="V268" s="20" t="s">
        <v>344</v>
      </c>
      <c r="W268" s="20" t="s">
        <v>333</v>
      </c>
      <c r="X268" s="20" t="s">
        <v>333</v>
      </c>
      <c r="Y268" s="20" t="s">
        <v>333</v>
      </c>
      <c r="Z268" s="20" t="s">
        <v>333</v>
      </c>
      <c r="AA268" s="20" t="s">
        <v>333</v>
      </c>
      <c r="AB268" s="20" t="s">
        <v>333</v>
      </c>
      <c r="AC268" s="20"/>
      <c r="AD268" s="20" t="s">
        <v>333</v>
      </c>
      <c r="AE268" s="20" t="s">
        <v>333</v>
      </c>
      <c r="AF268" s="20" t="s">
        <v>333</v>
      </c>
      <c r="AG268" s="20" t="s">
        <v>344</v>
      </c>
      <c r="AH268" s="20" t="s">
        <v>344</v>
      </c>
      <c r="AI268" s="20" t="s">
        <v>333</v>
      </c>
      <c r="AJ268" s="20"/>
      <c r="AK268" s="20" t="s">
        <v>1587</v>
      </c>
      <c r="AL268" s="20" t="s">
        <v>1269</v>
      </c>
      <c r="AM268" s="20" t="s">
        <v>1587</v>
      </c>
      <c r="AN268" s="20" t="s">
        <v>349</v>
      </c>
      <c r="AO268" s="20"/>
      <c r="AP268" s="20" t="s">
        <v>1682</v>
      </c>
      <c r="AQ268" s="20" t="s">
        <v>1556</v>
      </c>
      <c r="AR268" s="20"/>
      <c r="AS268" s="20"/>
    </row>
    <row r="269">
      <c r="A269" s="32" t="s">
        <v>3306</v>
      </c>
      <c r="B269" s="32" t="s">
        <v>2129</v>
      </c>
      <c r="C269" s="32" t="s">
        <v>2130</v>
      </c>
      <c r="D269" s="109" t="s">
        <v>3308</v>
      </c>
      <c r="E269" s="32" t="s">
        <v>49</v>
      </c>
      <c r="F269" s="32" t="s">
        <v>2132</v>
      </c>
      <c r="G269" s="32" t="s">
        <v>2134</v>
      </c>
      <c r="H269" s="32" t="s">
        <v>2136</v>
      </c>
      <c r="I269" s="32" t="s">
        <v>2137</v>
      </c>
      <c r="J269" s="32" t="s">
        <v>74</v>
      </c>
      <c r="K269" s="32" t="s">
        <v>55</v>
      </c>
      <c r="L269" s="32" t="s">
        <v>56</v>
      </c>
      <c r="M269" s="32" t="s">
        <v>57</v>
      </c>
      <c r="N269" s="32" t="s">
        <v>333</v>
      </c>
      <c r="O269" s="32" t="s">
        <v>1269</v>
      </c>
      <c r="P269" s="32" t="s">
        <v>1269</v>
      </c>
      <c r="Q269" s="32" t="s">
        <v>59</v>
      </c>
      <c r="R269" s="32" t="s">
        <v>333</v>
      </c>
      <c r="S269" s="32" t="s">
        <v>333</v>
      </c>
      <c r="T269" s="32"/>
      <c r="U269" s="32"/>
      <c r="V269" s="32" t="s">
        <v>344</v>
      </c>
      <c r="W269" s="32" t="s">
        <v>333</v>
      </c>
      <c r="X269" s="32" t="s">
        <v>333</v>
      </c>
      <c r="Y269" s="32" t="s">
        <v>333</v>
      </c>
      <c r="Z269" s="32" t="s">
        <v>333</v>
      </c>
      <c r="AA269" s="32" t="s">
        <v>333</v>
      </c>
      <c r="AB269" s="32" t="s">
        <v>333</v>
      </c>
      <c r="AC269" s="32"/>
      <c r="AD269" s="32" t="s">
        <v>333</v>
      </c>
      <c r="AE269" s="32" t="s">
        <v>333</v>
      </c>
      <c r="AF269" s="32" t="s">
        <v>333</v>
      </c>
      <c r="AG269" s="32" t="s">
        <v>344</v>
      </c>
      <c r="AH269" s="32" t="s">
        <v>344</v>
      </c>
      <c r="AI269" s="32" t="s">
        <v>333</v>
      </c>
      <c r="AJ269" s="32"/>
      <c r="AK269" s="32" t="s">
        <v>1587</v>
      </c>
      <c r="AL269" s="32" t="s">
        <v>1717</v>
      </c>
      <c r="AM269" s="32" t="s">
        <v>1587</v>
      </c>
      <c r="AN269" s="32" t="s">
        <v>349</v>
      </c>
      <c r="AO269" s="32"/>
      <c r="AP269" s="32" t="s">
        <v>1269</v>
      </c>
      <c r="AQ269" s="32" t="s">
        <v>1269</v>
      </c>
      <c r="AR269" s="21" t="s">
        <v>1931</v>
      </c>
      <c r="AS269" s="21">
        <v>2.0</v>
      </c>
    </row>
    <row r="270">
      <c r="A270" s="20" t="s">
        <v>3312</v>
      </c>
      <c r="B270" s="20" t="s">
        <v>3313</v>
      </c>
      <c r="C270" s="20" t="s">
        <v>3315</v>
      </c>
      <c r="D270" s="20"/>
      <c r="E270" s="20" t="s">
        <v>49</v>
      </c>
      <c r="F270" s="80" t="s">
        <v>3316</v>
      </c>
      <c r="G270" s="20" t="s">
        <v>3318</v>
      </c>
      <c r="H270" s="20" t="s">
        <v>1475</v>
      </c>
      <c r="I270" s="20" t="s">
        <v>1476</v>
      </c>
      <c r="J270" s="20" t="s">
        <v>74</v>
      </c>
      <c r="K270" s="20" t="s">
        <v>55</v>
      </c>
      <c r="L270" s="20" t="s">
        <v>56</v>
      </c>
      <c r="M270" s="20" t="s">
        <v>57</v>
      </c>
      <c r="N270" s="20" t="s">
        <v>333</v>
      </c>
      <c r="O270" s="20" t="s">
        <v>1556</v>
      </c>
      <c r="P270" s="20" t="s">
        <v>1559</v>
      </c>
      <c r="Q270" s="20" t="s">
        <v>59</v>
      </c>
      <c r="R270" s="20" t="s">
        <v>333</v>
      </c>
      <c r="S270" s="20" t="s">
        <v>333</v>
      </c>
      <c r="T270" s="20"/>
      <c r="U270" s="20"/>
      <c r="V270" s="20" t="s">
        <v>344</v>
      </c>
      <c r="W270" s="20" t="s">
        <v>333</v>
      </c>
      <c r="X270" s="20" t="s">
        <v>333</v>
      </c>
      <c r="Y270" s="20" t="s">
        <v>333</v>
      </c>
      <c r="Z270" s="20" t="s">
        <v>333</v>
      </c>
      <c r="AA270" s="20" t="s">
        <v>333</v>
      </c>
      <c r="AB270" s="20" t="s">
        <v>333</v>
      </c>
      <c r="AC270" s="20"/>
      <c r="AD270" s="20" t="s">
        <v>333</v>
      </c>
      <c r="AE270" s="20" t="s">
        <v>333</v>
      </c>
      <c r="AF270" s="20" t="s">
        <v>333</v>
      </c>
      <c r="AG270" s="20" t="s">
        <v>344</v>
      </c>
      <c r="AH270" s="20" t="s">
        <v>344</v>
      </c>
      <c r="AI270" s="20" t="s">
        <v>333</v>
      </c>
      <c r="AJ270" s="20"/>
      <c r="AK270" s="20" t="s">
        <v>1244</v>
      </c>
      <c r="AL270" s="20" t="s">
        <v>2019</v>
      </c>
      <c r="AM270" s="20" t="s">
        <v>1244</v>
      </c>
      <c r="AN270" s="20" t="s">
        <v>349</v>
      </c>
      <c r="AO270" s="20"/>
      <c r="AP270" s="20" t="s">
        <v>1556</v>
      </c>
      <c r="AQ270" s="20" t="s">
        <v>1559</v>
      </c>
      <c r="AR270" s="20"/>
      <c r="AS270" s="20"/>
    </row>
    <row r="271">
      <c r="A271" s="20" t="s">
        <v>2568</v>
      </c>
      <c r="B271" s="20" t="s">
        <v>1928</v>
      </c>
      <c r="C271" s="20" t="s">
        <v>1929</v>
      </c>
      <c r="D271" s="20" t="s">
        <v>1930</v>
      </c>
      <c r="E271" s="20" t="s">
        <v>49</v>
      </c>
      <c r="F271" s="80" t="s">
        <v>3321</v>
      </c>
      <c r="G271" s="29" t="s">
        <v>69</v>
      </c>
      <c r="H271" s="20" t="s">
        <v>303</v>
      </c>
      <c r="I271" s="20" t="s">
        <v>303</v>
      </c>
      <c r="J271" s="20" t="s">
        <v>74</v>
      </c>
      <c r="K271" s="20" t="s">
        <v>55</v>
      </c>
      <c r="L271" s="20" t="s">
        <v>56</v>
      </c>
      <c r="M271" s="20" t="s">
        <v>57</v>
      </c>
      <c r="N271" s="20" t="s">
        <v>333</v>
      </c>
      <c r="O271" s="20" t="s">
        <v>1239</v>
      </c>
      <c r="P271" s="20" t="s">
        <v>1556</v>
      </c>
      <c r="Q271" s="20" t="s">
        <v>59</v>
      </c>
      <c r="R271" s="20" t="s">
        <v>333</v>
      </c>
      <c r="S271" s="20" t="s">
        <v>333</v>
      </c>
      <c r="T271" s="20" t="s">
        <v>3323</v>
      </c>
      <c r="U271" s="20"/>
      <c r="V271" s="20" t="s">
        <v>344</v>
      </c>
      <c r="W271" s="20" t="s">
        <v>333</v>
      </c>
      <c r="X271" s="20" t="s">
        <v>333</v>
      </c>
      <c r="Y271" s="20" t="s">
        <v>333</v>
      </c>
      <c r="Z271" s="20" t="s">
        <v>333</v>
      </c>
      <c r="AA271" s="20" t="s">
        <v>333</v>
      </c>
      <c r="AB271" s="20" t="s">
        <v>333</v>
      </c>
      <c r="AC271" s="20"/>
      <c r="AD271" s="20" t="s">
        <v>333</v>
      </c>
      <c r="AE271" s="20" t="s">
        <v>333</v>
      </c>
      <c r="AF271" s="20" t="s">
        <v>333</v>
      </c>
      <c r="AG271" s="20" t="s">
        <v>344</v>
      </c>
      <c r="AH271" s="20" t="s">
        <v>344</v>
      </c>
      <c r="AI271" s="20" t="s">
        <v>333</v>
      </c>
      <c r="AJ271" s="20"/>
      <c r="AK271" s="20" t="s">
        <v>347</v>
      </c>
      <c r="AL271" s="20" t="s">
        <v>347</v>
      </c>
      <c r="AM271" s="20" t="s">
        <v>347</v>
      </c>
      <c r="AN271" s="20" t="s">
        <v>349</v>
      </c>
      <c r="AO271" s="20"/>
      <c r="AP271" s="20" t="s">
        <v>1239</v>
      </c>
      <c r="AQ271" s="20" t="s">
        <v>1556</v>
      </c>
      <c r="AR271" s="20"/>
      <c r="AS271" s="20"/>
    </row>
    <row r="272">
      <c r="A272" s="20" t="s">
        <v>1736</v>
      </c>
      <c r="B272" s="20" t="s">
        <v>1354</v>
      </c>
      <c r="C272" s="20" t="s">
        <v>1355</v>
      </c>
      <c r="D272" s="20"/>
      <c r="E272" s="20" t="s">
        <v>49</v>
      </c>
      <c r="F272" s="80" t="s">
        <v>3327</v>
      </c>
      <c r="G272" s="29" t="s">
        <v>69</v>
      </c>
      <c r="H272" s="20" t="s">
        <v>75</v>
      </c>
      <c r="I272" s="20" t="s">
        <v>76</v>
      </c>
      <c r="J272" s="20" t="s">
        <v>76</v>
      </c>
      <c r="K272" s="20" t="s">
        <v>55</v>
      </c>
      <c r="L272" s="20" t="s">
        <v>56</v>
      </c>
      <c r="M272" s="20" t="s">
        <v>57</v>
      </c>
      <c r="N272" s="20" t="s">
        <v>333</v>
      </c>
      <c r="O272" s="20" t="s">
        <v>1256</v>
      </c>
      <c r="P272" s="20" t="s">
        <v>2262</v>
      </c>
      <c r="Q272" s="20" t="s">
        <v>59</v>
      </c>
      <c r="R272" s="20" t="s">
        <v>333</v>
      </c>
      <c r="S272" s="20" t="s">
        <v>333</v>
      </c>
      <c r="T272" s="20"/>
      <c r="U272" s="20"/>
      <c r="V272" s="20" t="s">
        <v>344</v>
      </c>
      <c r="W272" s="20" t="s">
        <v>333</v>
      </c>
      <c r="X272" s="20" t="s">
        <v>333</v>
      </c>
      <c r="Y272" s="20" t="s">
        <v>333</v>
      </c>
      <c r="Z272" s="20" t="s">
        <v>333</v>
      </c>
      <c r="AA272" s="20" t="s">
        <v>333</v>
      </c>
      <c r="AB272" s="20" t="s">
        <v>333</v>
      </c>
      <c r="AC272" s="20"/>
      <c r="AD272" s="20" t="s">
        <v>333</v>
      </c>
      <c r="AE272" s="20" t="s">
        <v>333</v>
      </c>
      <c r="AF272" s="20" t="s">
        <v>333</v>
      </c>
      <c r="AG272" s="20" t="s">
        <v>344</v>
      </c>
      <c r="AH272" s="20" t="s">
        <v>344</v>
      </c>
      <c r="AI272" s="20" t="s">
        <v>333</v>
      </c>
      <c r="AJ272" s="20"/>
      <c r="AK272" s="20" t="s">
        <v>1663</v>
      </c>
      <c r="AL272" s="20" t="s">
        <v>348</v>
      </c>
      <c r="AM272" s="20" t="s">
        <v>1663</v>
      </c>
      <c r="AN272" s="20" t="s">
        <v>349</v>
      </c>
      <c r="AO272" s="20"/>
      <c r="AP272" s="20" t="s">
        <v>1256</v>
      </c>
      <c r="AQ272" s="20" t="s">
        <v>2262</v>
      </c>
      <c r="AR272" s="20"/>
      <c r="AS272" s="20"/>
    </row>
    <row r="273">
      <c r="A273" s="20" t="s">
        <v>3332</v>
      </c>
      <c r="B273" s="20" t="s">
        <v>2347</v>
      </c>
      <c r="C273" s="20" t="s">
        <v>2348</v>
      </c>
      <c r="D273" s="20"/>
      <c r="E273" s="20" t="s">
        <v>49</v>
      </c>
      <c r="F273" s="80" t="s">
        <v>2351</v>
      </c>
      <c r="G273" s="75" t="s">
        <v>2353</v>
      </c>
      <c r="H273" s="20" t="s">
        <v>303</v>
      </c>
      <c r="I273" s="20" t="s">
        <v>303</v>
      </c>
      <c r="J273" s="20" t="s">
        <v>74</v>
      </c>
      <c r="K273" s="20" t="s">
        <v>55</v>
      </c>
      <c r="L273" s="20" t="s">
        <v>56</v>
      </c>
      <c r="M273" s="20" t="s">
        <v>57</v>
      </c>
      <c r="N273" s="20" t="s">
        <v>333</v>
      </c>
      <c r="O273" s="20" t="s">
        <v>1695</v>
      </c>
      <c r="P273" s="20" t="s">
        <v>1695</v>
      </c>
      <c r="Q273" s="20" t="s">
        <v>59</v>
      </c>
      <c r="R273" s="20" t="s">
        <v>333</v>
      </c>
      <c r="S273" s="20" t="s">
        <v>333</v>
      </c>
      <c r="T273" s="20"/>
      <c r="U273" s="20"/>
      <c r="V273" s="20" t="s">
        <v>344</v>
      </c>
      <c r="W273" s="20" t="s">
        <v>333</v>
      </c>
      <c r="X273" s="20" t="s">
        <v>333</v>
      </c>
      <c r="Y273" s="20" t="s">
        <v>333</v>
      </c>
      <c r="Z273" s="20" t="s">
        <v>333</v>
      </c>
      <c r="AA273" s="20" t="s">
        <v>333</v>
      </c>
      <c r="AB273" s="20" t="s">
        <v>333</v>
      </c>
      <c r="AC273" s="20"/>
      <c r="AD273" s="20" t="s">
        <v>333</v>
      </c>
      <c r="AE273" s="20" t="s">
        <v>333</v>
      </c>
      <c r="AF273" s="20" t="s">
        <v>333</v>
      </c>
      <c r="AG273" s="20" t="s">
        <v>344</v>
      </c>
      <c r="AH273" s="20" t="s">
        <v>344</v>
      </c>
      <c r="AI273" s="20" t="s">
        <v>333</v>
      </c>
      <c r="AJ273" s="20"/>
      <c r="AK273" s="20" t="s">
        <v>1581</v>
      </c>
      <c r="AL273" s="20" t="s">
        <v>348</v>
      </c>
      <c r="AM273" s="20" t="s">
        <v>1581</v>
      </c>
      <c r="AN273" s="20" t="s">
        <v>349</v>
      </c>
      <c r="AO273" s="20"/>
      <c r="AP273" s="20" t="s">
        <v>1695</v>
      </c>
      <c r="AQ273" s="20" t="s">
        <v>1695</v>
      </c>
      <c r="AR273" s="20"/>
      <c r="AS273" s="20"/>
    </row>
    <row r="274">
      <c r="A274" s="20" t="s">
        <v>3334</v>
      </c>
      <c r="B274" s="20" t="s">
        <v>3335</v>
      </c>
      <c r="C274" s="20" t="s">
        <v>3336</v>
      </c>
      <c r="D274" s="20"/>
      <c r="E274" s="20" t="s">
        <v>49</v>
      </c>
      <c r="F274" s="80" t="s">
        <v>2455</v>
      </c>
      <c r="G274" s="20" t="s">
        <v>3337</v>
      </c>
      <c r="H274" s="20" t="s">
        <v>1336</v>
      </c>
      <c r="I274" s="20" t="s">
        <v>1337</v>
      </c>
      <c r="J274" s="20" t="s">
        <v>74</v>
      </c>
      <c r="K274" s="20" t="s">
        <v>55</v>
      </c>
      <c r="L274" s="20" t="s">
        <v>56</v>
      </c>
      <c r="M274" s="20" t="s">
        <v>57</v>
      </c>
      <c r="N274" s="20" t="s">
        <v>333</v>
      </c>
      <c r="O274" s="20" t="s">
        <v>1576</v>
      </c>
      <c r="P274" s="20" t="s">
        <v>1576</v>
      </c>
      <c r="Q274" s="20" t="s">
        <v>59</v>
      </c>
      <c r="R274" s="20" t="s">
        <v>333</v>
      </c>
      <c r="S274" s="20" t="s">
        <v>333</v>
      </c>
      <c r="T274" s="20"/>
      <c r="U274" s="20"/>
      <c r="V274" s="20" t="s">
        <v>344</v>
      </c>
      <c r="W274" s="20" t="s">
        <v>333</v>
      </c>
      <c r="X274" s="20" t="s">
        <v>333</v>
      </c>
      <c r="Y274" s="20" t="s">
        <v>333</v>
      </c>
      <c r="Z274" s="20" t="s">
        <v>333</v>
      </c>
      <c r="AA274" s="20" t="s">
        <v>333</v>
      </c>
      <c r="AB274" s="20" t="s">
        <v>333</v>
      </c>
      <c r="AC274" s="20"/>
      <c r="AD274" s="20" t="s">
        <v>333</v>
      </c>
      <c r="AE274" s="20" t="s">
        <v>333</v>
      </c>
      <c r="AF274" s="20" t="s">
        <v>333</v>
      </c>
      <c r="AG274" s="20" t="s">
        <v>344</v>
      </c>
      <c r="AH274" s="20" t="s">
        <v>344</v>
      </c>
      <c r="AI274" s="20" t="s">
        <v>333</v>
      </c>
      <c r="AJ274" s="20"/>
      <c r="AK274" s="20" t="s">
        <v>347</v>
      </c>
      <c r="AL274" s="20" t="s">
        <v>348</v>
      </c>
      <c r="AM274" s="20" t="s">
        <v>347</v>
      </c>
      <c r="AN274" s="20" t="s">
        <v>349</v>
      </c>
      <c r="AO274" s="20"/>
      <c r="AP274" s="20" t="s">
        <v>1576</v>
      </c>
      <c r="AQ274" s="20" t="s">
        <v>1576</v>
      </c>
      <c r="AR274" s="20"/>
      <c r="AS274" s="20"/>
    </row>
    <row r="275">
      <c r="A275" s="20" t="s">
        <v>3342</v>
      </c>
      <c r="B275" s="20" t="s">
        <v>2986</v>
      </c>
      <c r="C275" s="20" t="s">
        <v>2987</v>
      </c>
      <c r="D275" s="20"/>
      <c r="E275" s="20" t="s">
        <v>49</v>
      </c>
      <c r="F275" s="80" t="s">
        <v>3344</v>
      </c>
      <c r="G275" s="75" t="s">
        <v>3345</v>
      </c>
      <c r="H275" s="20" t="s">
        <v>123</v>
      </c>
      <c r="I275" s="20" t="s">
        <v>124</v>
      </c>
      <c r="J275" s="20" t="s">
        <v>74</v>
      </c>
      <c r="K275" s="20" t="s">
        <v>55</v>
      </c>
      <c r="L275" s="20" t="s">
        <v>56</v>
      </c>
      <c r="M275" s="20" t="s">
        <v>57</v>
      </c>
      <c r="N275" s="20" t="s">
        <v>333</v>
      </c>
      <c r="O275" s="20"/>
      <c r="P275" s="20"/>
      <c r="Q275" s="20" t="s">
        <v>59</v>
      </c>
      <c r="R275" s="20" t="s">
        <v>333</v>
      </c>
      <c r="S275" s="20" t="s">
        <v>333</v>
      </c>
      <c r="T275" s="20"/>
      <c r="U275" s="20"/>
      <c r="V275" s="20" t="s">
        <v>344</v>
      </c>
      <c r="W275" s="20" t="s">
        <v>333</v>
      </c>
      <c r="X275" s="20" t="s">
        <v>333</v>
      </c>
      <c r="Y275" s="20" t="s">
        <v>333</v>
      </c>
      <c r="Z275" s="20" t="s">
        <v>333</v>
      </c>
      <c r="AA275" s="20" t="s">
        <v>333</v>
      </c>
      <c r="AB275" s="20" t="s">
        <v>333</v>
      </c>
      <c r="AC275" s="20"/>
      <c r="AD275" s="20" t="s">
        <v>333</v>
      </c>
      <c r="AE275" s="20" t="s">
        <v>333</v>
      </c>
      <c r="AF275" s="20" t="s">
        <v>333</v>
      </c>
      <c r="AG275" s="20" t="s">
        <v>344</v>
      </c>
      <c r="AH275" s="20" t="s">
        <v>344</v>
      </c>
      <c r="AI275" s="20" t="s">
        <v>333</v>
      </c>
      <c r="AJ275" s="20"/>
      <c r="AK275" s="20" t="s">
        <v>349</v>
      </c>
      <c r="AL275" s="20" t="s">
        <v>349</v>
      </c>
      <c r="AM275" s="20" t="s">
        <v>349</v>
      </c>
      <c r="AN275" s="20" t="s">
        <v>349</v>
      </c>
      <c r="AO275" s="20"/>
      <c r="AP275" s="20" t="s">
        <v>349</v>
      </c>
      <c r="AQ275" s="20" t="s">
        <v>349</v>
      </c>
      <c r="AR275" s="20"/>
      <c r="AS275" s="20"/>
    </row>
    <row r="276">
      <c r="A276" s="20" t="s">
        <v>3348</v>
      </c>
      <c r="B276" s="20" t="s">
        <v>3012</v>
      </c>
      <c r="C276" s="20" t="s">
        <v>3013</v>
      </c>
      <c r="D276" s="20"/>
      <c r="E276" s="20" t="s">
        <v>49</v>
      </c>
      <c r="F276" s="80" t="s">
        <v>3349</v>
      </c>
      <c r="G276" s="101" t="s">
        <v>3350</v>
      </c>
      <c r="H276" s="20" t="s">
        <v>1110</v>
      </c>
      <c r="I276" s="20" t="s">
        <v>1111</v>
      </c>
      <c r="J276" s="20" t="s">
        <v>74</v>
      </c>
      <c r="K276" s="20" t="s">
        <v>55</v>
      </c>
      <c r="L276" s="20" t="s">
        <v>56</v>
      </c>
      <c r="M276" s="20" t="s">
        <v>57</v>
      </c>
      <c r="N276" s="20" t="s">
        <v>333</v>
      </c>
      <c r="O276" s="20" t="s">
        <v>1581</v>
      </c>
      <c r="P276" s="20"/>
      <c r="Q276" s="20" t="s">
        <v>59</v>
      </c>
      <c r="R276" s="20" t="s">
        <v>333</v>
      </c>
      <c r="S276" s="20" t="s">
        <v>333</v>
      </c>
      <c r="T276" s="20"/>
      <c r="U276" s="20"/>
      <c r="V276" s="20" t="s">
        <v>344</v>
      </c>
      <c r="W276" s="20" t="s">
        <v>333</v>
      </c>
      <c r="X276" s="20" t="s">
        <v>333</v>
      </c>
      <c r="Y276" s="20" t="s">
        <v>333</v>
      </c>
      <c r="Z276" s="20" t="s">
        <v>333</v>
      </c>
      <c r="AA276" s="20" t="s">
        <v>333</v>
      </c>
      <c r="AB276" s="20" t="s">
        <v>333</v>
      </c>
      <c r="AC276" s="20"/>
      <c r="AD276" s="20" t="s">
        <v>333</v>
      </c>
      <c r="AE276" s="20" t="s">
        <v>333</v>
      </c>
      <c r="AF276" s="20" t="s">
        <v>333</v>
      </c>
      <c r="AG276" s="20" t="s">
        <v>344</v>
      </c>
      <c r="AH276" s="20" t="s">
        <v>344</v>
      </c>
      <c r="AI276" s="20" t="s">
        <v>333</v>
      </c>
      <c r="AJ276" s="20"/>
      <c r="AK276" s="20" t="s">
        <v>1244</v>
      </c>
      <c r="AL276" s="20" t="s">
        <v>1556</v>
      </c>
      <c r="AM276" s="20" t="s">
        <v>1244</v>
      </c>
      <c r="AN276" s="20" t="s">
        <v>349</v>
      </c>
      <c r="AO276" s="20"/>
      <c r="AP276" s="20" t="s">
        <v>1581</v>
      </c>
      <c r="AQ276" s="20" t="s">
        <v>349</v>
      </c>
      <c r="AR276" s="20"/>
      <c r="AS276" s="20"/>
    </row>
    <row r="277">
      <c r="A277" s="20" t="s">
        <v>3351</v>
      </c>
      <c r="B277" s="20" t="s">
        <v>3352</v>
      </c>
      <c r="C277" s="20" t="s">
        <v>3353</v>
      </c>
      <c r="D277" s="20"/>
      <c r="E277" s="20" t="s">
        <v>49</v>
      </c>
      <c r="F277" s="80" t="s">
        <v>3354</v>
      </c>
      <c r="G277" s="75" t="s">
        <v>3355</v>
      </c>
      <c r="H277" s="20" t="s">
        <v>72</v>
      </c>
      <c r="I277" s="20" t="s">
        <v>73</v>
      </c>
      <c r="J277" s="20" t="s">
        <v>74</v>
      </c>
      <c r="K277" s="20" t="s">
        <v>55</v>
      </c>
      <c r="L277" s="20" t="s">
        <v>56</v>
      </c>
      <c r="M277" s="20" t="s">
        <v>57</v>
      </c>
      <c r="N277" s="20" t="s">
        <v>333</v>
      </c>
      <c r="O277" s="20" t="s">
        <v>1745</v>
      </c>
      <c r="P277" s="20" t="s">
        <v>1596</v>
      </c>
      <c r="Q277" s="20" t="s">
        <v>59</v>
      </c>
      <c r="R277" s="20" t="s">
        <v>333</v>
      </c>
      <c r="S277" s="20" t="s">
        <v>333</v>
      </c>
      <c r="T277" s="20"/>
      <c r="U277" s="20"/>
      <c r="V277" s="20" t="s">
        <v>344</v>
      </c>
      <c r="W277" s="20" t="s">
        <v>333</v>
      </c>
      <c r="X277" s="20" t="s">
        <v>333</v>
      </c>
      <c r="Y277" s="20" t="s">
        <v>333</v>
      </c>
      <c r="Z277" s="20" t="s">
        <v>333</v>
      </c>
      <c r="AA277" s="20" t="s">
        <v>333</v>
      </c>
      <c r="AB277" s="20" t="s">
        <v>333</v>
      </c>
      <c r="AC277" s="20"/>
      <c r="AD277" s="20" t="s">
        <v>333</v>
      </c>
      <c r="AE277" s="20" t="s">
        <v>333</v>
      </c>
      <c r="AF277" s="20" t="s">
        <v>333</v>
      </c>
      <c r="AG277" s="20" t="s">
        <v>344</v>
      </c>
      <c r="AH277" s="20" t="s">
        <v>344</v>
      </c>
      <c r="AI277" s="20" t="s">
        <v>333</v>
      </c>
      <c r="AJ277" s="20"/>
      <c r="AK277" s="20" t="s">
        <v>347</v>
      </c>
      <c r="AL277" s="20" t="s">
        <v>1245</v>
      </c>
      <c r="AM277" s="20" t="s">
        <v>347</v>
      </c>
      <c r="AN277" s="20" t="s">
        <v>349</v>
      </c>
      <c r="AO277" s="20"/>
      <c r="AP277" s="20" t="s">
        <v>1745</v>
      </c>
      <c r="AQ277" s="20" t="s">
        <v>1596</v>
      </c>
      <c r="AR277" s="20"/>
      <c r="AS277" s="20"/>
    </row>
    <row r="278">
      <c r="A278" s="20" t="s">
        <v>3363</v>
      </c>
      <c r="B278" s="20" t="s">
        <v>3364</v>
      </c>
      <c r="C278" s="20" t="s">
        <v>3365</v>
      </c>
      <c r="D278" s="20"/>
      <c r="E278" s="20" t="s">
        <v>49</v>
      </c>
      <c r="F278" s="80" t="s">
        <v>3366</v>
      </c>
      <c r="G278" s="20" t="s">
        <v>3370</v>
      </c>
      <c r="H278" s="20" t="s">
        <v>727</v>
      </c>
      <c r="I278" s="20" t="s">
        <v>729</v>
      </c>
      <c r="J278" s="20" t="s">
        <v>74</v>
      </c>
      <c r="K278" s="20" t="s">
        <v>55</v>
      </c>
      <c r="L278" s="20" t="s">
        <v>56</v>
      </c>
      <c r="M278" s="20" t="s">
        <v>57</v>
      </c>
      <c r="N278" s="20" t="s">
        <v>333</v>
      </c>
      <c r="O278" s="20" t="s">
        <v>1920</v>
      </c>
      <c r="P278" s="20" t="s">
        <v>2717</v>
      </c>
      <c r="Q278" s="20" t="s">
        <v>59</v>
      </c>
      <c r="R278" s="20" t="s">
        <v>333</v>
      </c>
      <c r="S278" s="20" t="s">
        <v>333</v>
      </c>
      <c r="T278" s="20"/>
      <c r="U278" s="20"/>
      <c r="V278" s="20" t="s">
        <v>344</v>
      </c>
      <c r="W278" s="20" t="s">
        <v>333</v>
      </c>
      <c r="X278" s="20" t="s">
        <v>333</v>
      </c>
      <c r="Y278" s="20" t="s">
        <v>333</v>
      </c>
      <c r="Z278" s="20" t="s">
        <v>333</v>
      </c>
      <c r="AA278" s="20" t="s">
        <v>333</v>
      </c>
      <c r="AB278" s="20" t="s">
        <v>333</v>
      </c>
      <c r="AC278" s="20"/>
      <c r="AD278" s="20" t="s">
        <v>333</v>
      </c>
      <c r="AE278" s="20" t="s">
        <v>333</v>
      </c>
      <c r="AF278" s="20" t="s">
        <v>333</v>
      </c>
      <c r="AG278" s="20" t="s">
        <v>344</v>
      </c>
      <c r="AH278" s="20" t="s">
        <v>344</v>
      </c>
      <c r="AI278" s="20" t="s">
        <v>333</v>
      </c>
      <c r="AJ278" s="20"/>
      <c r="AK278" s="20" t="s">
        <v>1244</v>
      </c>
      <c r="AL278" s="20" t="s">
        <v>1556</v>
      </c>
      <c r="AM278" s="20" t="s">
        <v>1244</v>
      </c>
      <c r="AN278" s="20" t="s">
        <v>349</v>
      </c>
      <c r="AO278" s="20"/>
      <c r="AP278" s="20" t="s">
        <v>1920</v>
      </c>
      <c r="AQ278" s="20" t="s">
        <v>2717</v>
      </c>
      <c r="AR278" s="20"/>
      <c r="AS278" s="20"/>
    </row>
    <row r="279">
      <c r="A279" s="20" t="s">
        <v>3373</v>
      </c>
      <c r="B279" s="20" t="s">
        <v>706</v>
      </c>
      <c r="C279" s="20" t="s">
        <v>708</v>
      </c>
      <c r="D279" s="20"/>
      <c r="E279" s="20" t="s">
        <v>49</v>
      </c>
      <c r="F279" s="51" t="s">
        <v>438</v>
      </c>
      <c r="G279" s="75" t="s">
        <v>1562</v>
      </c>
      <c r="H279" s="20" t="s">
        <v>397</v>
      </c>
      <c r="I279" s="20" t="s">
        <v>398</v>
      </c>
      <c r="J279" s="20" t="s">
        <v>398</v>
      </c>
      <c r="K279" s="20" t="s">
        <v>55</v>
      </c>
      <c r="L279" s="20" t="s">
        <v>56</v>
      </c>
      <c r="M279" s="20" t="s">
        <v>57</v>
      </c>
      <c r="N279" s="20" t="s">
        <v>333</v>
      </c>
      <c r="O279" s="20" t="s">
        <v>3379</v>
      </c>
      <c r="P279" s="20" t="s">
        <v>1582</v>
      </c>
      <c r="Q279" s="20" t="s">
        <v>59</v>
      </c>
      <c r="R279" s="20" t="s">
        <v>333</v>
      </c>
      <c r="S279" s="20" t="s">
        <v>333</v>
      </c>
      <c r="T279" s="20"/>
      <c r="U279" s="20"/>
      <c r="V279" s="20" t="s">
        <v>344</v>
      </c>
      <c r="W279" s="20" t="s">
        <v>333</v>
      </c>
      <c r="X279" s="20" t="s">
        <v>333</v>
      </c>
      <c r="Y279" s="20" t="s">
        <v>333</v>
      </c>
      <c r="Z279" s="20" t="s">
        <v>333</v>
      </c>
      <c r="AA279" s="20" t="s">
        <v>333</v>
      </c>
      <c r="AB279" s="20" t="s">
        <v>333</v>
      </c>
      <c r="AC279" s="20"/>
      <c r="AD279" s="20" t="s">
        <v>333</v>
      </c>
      <c r="AE279" s="20" t="s">
        <v>333</v>
      </c>
      <c r="AF279" s="20" t="s">
        <v>333</v>
      </c>
      <c r="AG279" s="20" t="s">
        <v>344</v>
      </c>
      <c r="AH279" s="20" t="s">
        <v>344</v>
      </c>
      <c r="AI279" s="20" t="s">
        <v>333</v>
      </c>
      <c r="AJ279" s="20"/>
      <c r="AK279" s="20" t="s">
        <v>347</v>
      </c>
      <c r="AL279" s="20" t="s">
        <v>1673</v>
      </c>
      <c r="AM279" s="20" t="s">
        <v>347</v>
      </c>
      <c r="AN279" s="20" t="s">
        <v>349</v>
      </c>
      <c r="AO279" s="20"/>
      <c r="AP279" s="20" t="s">
        <v>3379</v>
      </c>
      <c r="AQ279" s="20" t="s">
        <v>1582</v>
      </c>
      <c r="AR279" s="20"/>
      <c r="AS279" s="20"/>
    </row>
    <row r="280">
      <c r="A280" s="20" t="s">
        <v>3380</v>
      </c>
      <c r="B280" s="20" t="s">
        <v>1080</v>
      </c>
      <c r="C280" s="20" t="s">
        <v>1081</v>
      </c>
      <c r="D280" s="53" t="s">
        <v>1201</v>
      </c>
      <c r="E280" s="20" t="s">
        <v>49</v>
      </c>
      <c r="F280" s="20" t="s">
        <v>1084</v>
      </c>
      <c r="G280" s="29" t="s">
        <v>69</v>
      </c>
      <c r="H280" s="20" t="s">
        <v>53</v>
      </c>
      <c r="I280" s="20" t="s">
        <v>54</v>
      </c>
      <c r="J280" s="20" t="s">
        <v>54</v>
      </c>
      <c r="K280" s="20" t="s">
        <v>55</v>
      </c>
      <c r="L280" s="20" t="s">
        <v>56</v>
      </c>
      <c r="M280" s="20" t="s">
        <v>57</v>
      </c>
      <c r="N280" s="20" t="s">
        <v>333</v>
      </c>
      <c r="O280" s="20" t="s">
        <v>1239</v>
      </c>
      <c r="P280" s="20" t="s">
        <v>1239</v>
      </c>
      <c r="Q280" s="20" t="s">
        <v>59</v>
      </c>
      <c r="R280" s="20" t="s">
        <v>333</v>
      </c>
      <c r="S280" s="20" t="s">
        <v>333</v>
      </c>
      <c r="T280" s="20"/>
      <c r="U280" s="20"/>
      <c r="V280" s="20" t="s">
        <v>344</v>
      </c>
      <c r="W280" s="20" t="s">
        <v>333</v>
      </c>
      <c r="X280" s="20" t="s">
        <v>333</v>
      </c>
      <c r="Y280" s="20" t="s">
        <v>333</v>
      </c>
      <c r="Z280" s="20" t="s">
        <v>333</v>
      </c>
      <c r="AA280" s="20" t="s">
        <v>333</v>
      </c>
      <c r="AB280" s="20" t="s">
        <v>333</v>
      </c>
      <c r="AC280" s="20"/>
      <c r="AD280" s="20" t="s">
        <v>333</v>
      </c>
      <c r="AE280" s="20" t="s">
        <v>333</v>
      </c>
      <c r="AF280" s="20" t="s">
        <v>333</v>
      </c>
      <c r="AG280" s="20" t="s">
        <v>344</v>
      </c>
      <c r="AH280" s="20" t="s">
        <v>344</v>
      </c>
      <c r="AI280" s="20" t="s">
        <v>333</v>
      </c>
      <c r="AJ280" s="20"/>
      <c r="AK280" s="20" t="s">
        <v>347</v>
      </c>
      <c r="AL280" s="20" t="s">
        <v>1586</v>
      </c>
      <c r="AM280" s="20" t="s">
        <v>347</v>
      </c>
      <c r="AN280" s="20" t="s">
        <v>349</v>
      </c>
      <c r="AO280" s="20"/>
      <c r="AP280" s="20" t="s">
        <v>1239</v>
      </c>
      <c r="AQ280" s="20" t="s">
        <v>1239</v>
      </c>
      <c r="AR280" s="29" t="s">
        <v>1951</v>
      </c>
      <c r="AS280" s="20"/>
    </row>
    <row r="281">
      <c r="A281" s="32" t="s">
        <v>3388</v>
      </c>
      <c r="B281" s="32" t="s">
        <v>3389</v>
      </c>
      <c r="C281" s="32" t="s">
        <v>3390</v>
      </c>
      <c r="D281" s="48" t="s">
        <v>3391</v>
      </c>
      <c r="E281" s="32" t="s">
        <v>49</v>
      </c>
      <c r="F281" s="32" t="s">
        <v>3392</v>
      </c>
      <c r="G281" s="32" t="s">
        <v>3394</v>
      </c>
      <c r="H281" s="32" t="s">
        <v>586</v>
      </c>
      <c r="I281" s="32" t="s">
        <v>587</v>
      </c>
      <c r="J281" s="32" t="s">
        <v>74</v>
      </c>
      <c r="K281" s="32" t="s">
        <v>55</v>
      </c>
      <c r="L281" s="32" t="s">
        <v>56</v>
      </c>
      <c r="M281" s="32" t="s">
        <v>57</v>
      </c>
      <c r="N281" s="32" t="s">
        <v>333</v>
      </c>
      <c r="O281" s="32" t="s">
        <v>1559</v>
      </c>
      <c r="P281" s="32" t="s">
        <v>1586</v>
      </c>
      <c r="Q281" s="32" t="s">
        <v>59</v>
      </c>
      <c r="R281" s="32" t="s">
        <v>333</v>
      </c>
      <c r="S281" s="32" t="s">
        <v>333</v>
      </c>
      <c r="T281" s="32"/>
      <c r="U281" s="32"/>
      <c r="V281" s="32" t="s">
        <v>344</v>
      </c>
      <c r="W281" s="32" t="s">
        <v>333</v>
      </c>
      <c r="X281" s="32" t="s">
        <v>333</v>
      </c>
      <c r="Y281" s="32" t="s">
        <v>333</v>
      </c>
      <c r="Z281" s="32" t="s">
        <v>333</v>
      </c>
      <c r="AA281" s="32" t="s">
        <v>333</v>
      </c>
      <c r="AB281" s="32" t="s">
        <v>333</v>
      </c>
      <c r="AC281" s="32"/>
      <c r="AD281" s="32" t="s">
        <v>333</v>
      </c>
      <c r="AE281" s="32" t="s">
        <v>333</v>
      </c>
      <c r="AF281" s="32" t="s">
        <v>333</v>
      </c>
      <c r="AG281" s="32" t="s">
        <v>344</v>
      </c>
      <c r="AH281" s="32" t="s">
        <v>344</v>
      </c>
      <c r="AI281" s="32" t="s">
        <v>333</v>
      </c>
      <c r="AJ281" s="32"/>
      <c r="AK281" s="32" t="s">
        <v>347</v>
      </c>
      <c r="AL281" s="32" t="s">
        <v>1673</v>
      </c>
      <c r="AM281" s="32" t="s">
        <v>347</v>
      </c>
      <c r="AN281" s="32" t="s">
        <v>349</v>
      </c>
      <c r="AO281" s="32"/>
      <c r="AP281" s="32" t="s">
        <v>1559</v>
      </c>
      <c r="AQ281" s="32" t="s">
        <v>1586</v>
      </c>
      <c r="AR281" s="21" t="s">
        <v>1931</v>
      </c>
      <c r="AS281" s="21">
        <v>2.0</v>
      </c>
    </row>
    <row r="282">
      <c r="A282" s="20" t="s">
        <v>3399</v>
      </c>
      <c r="B282" s="20" t="s">
        <v>3209</v>
      </c>
      <c r="C282" s="20" t="s">
        <v>3210</v>
      </c>
      <c r="D282" s="20"/>
      <c r="E282" s="20" t="s">
        <v>49</v>
      </c>
      <c r="F282" s="80" t="s">
        <v>3400</v>
      </c>
      <c r="G282" s="75" t="s">
        <v>3403</v>
      </c>
      <c r="H282" s="20" t="s">
        <v>123</v>
      </c>
      <c r="I282" s="20" t="s">
        <v>124</v>
      </c>
      <c r="J282" s="20" t="s">
        <v>74</v>
      </c>
      <c r="K282" s="20" t="s">
        <v>55</v>
      </c>
      <c r="L282" s="20" t="s">
        <v>56</v>
      </c>
      <c r="M282" s="20" t="s">
        <v>57</v>
      </c>
      <c r="N282" s="20" t="s">
        <v>333</v>
      </c>
      <c r="O282" s="20" t="s">
        <v>1745</v>
      </c>
      <c r="P282" s="20" t="s">
        <v>1795</v>
      </c>
      <c r="Q282" s="20" t="s">
        <v>59</v>
      </c>
      <c r="R282" s="20" t="s">
        <v>333</v>
      </c>
      <c r="S282" s="20" t="s">
        <v>333</v>
      </c>
      <c r="T282" s="20"/>
      <c r="U282" s="20"/>
      <c r="V282" s="20" t="s">
        <v>344</v>
      </c>
      <c r="W282" s="20" t="s">
        <v>333</v>
      </c>
      <c r="X282" s="20" t="s">
        <v>333</v>
      </c>
      <c r="Y282" s="20" t="s">
        <v>333</v>
      </c>
      <c r="Z282" s="20" t="s">
        <v>333</v>
      </c>
      <c r="AA282" s="20" t="s">
        <v>333</v>
      </c>
      <c r="AB282" s="20" t="s">
        <v>333</v>
      </c>
      <c r="AC282" s="20"/>
      <c r="AD282" s="20" t="s">
        <v>333</v>
      </c>
      <c r="AE282" s="20" t="s">
        <v>333</v>
      </c>
      <c r="AF282" s="20" t="s">
        <v>333</v>
      </c>
      <c r="AG282" s="20" t="s">
        <v>344</v>
      </c>
      <c r="AH282" s="20" t="s">
        <v>344</v>
      </c>
      <c r="AI282" s="20" t="s">
        <v>333</v>
      </c>
      <c r="AJ282" s="20"/>
      <c r="AK282" s="20" t="s">
        <v>1244</v>
      </c>
      <c r="AL282" s="20" t="s">
        <v>1269</v>
      </c>
      <c r="AM282" s="20" t="s">
        <v>1244</v>
      </c>
      <c r="AN282" s="20" t="s">
        <v>349</v>
      </c>
      <c r="AO282" s="20"/>
      <c r="AP282" s="20" t="s">
        <v>1745</v>
      </c>
      <c r="AQ282" s="20" t="s">
        <v>1795</v>
      </c>
      <c r="AR282" s="20"/>
      <c r="AS282" s="20"/>
    </row>
    <row r="283">
      <c r="A283" s="20" t="s">
        <v>3408</v>
      </c>
      <c r="B283" s="20" t="s">
        <v>3409</v>
      </c>
      <c r="C283" s="20" t="s">
        <v>3410</v>
      </c>
      <c r="D283" s="20" t="s">
        <v>3411</v>
      </c>
      <c r="E283" s="20" t="s">
        <v>49</v>
      </c>
      <c r="F283" s="29" t="s">
        <v>69</v>
      </c>
      <c r="G283" s="29" t="s">
        <v>69</v>
      </c>
      <c r="H283" s="20" t="s">
        <v>303</v>
      </c>
      <c r="I283" s="20" t="s">
        <v>303</v>
      </c>
      <c r="J283" s="20" t="s">
        <v>74</v>
      </c>
      <c r="K283" s="20" t="s">
        <v>55</v>
      </c>
      <c r="L283" s="20" t="s">
        <v>56</v>
      </c>
      <c r="M283" s="20" t="s">
        <v>57</v>
      </c>
      <c r="N283" s="20" t="s">
        <v>333</v>
      </c>
      <c r="O283" s="20" t="s">
        <v>1238</v>
      </c>
      <c r="P283" s="20" t="s">
        <v>1591</v>
      </c>
      <c r="Q283" s="20" t="s">
        <v>59</v>
      </c>
      <c r="R283" s="20" t="s">
        <v>333</v>
      </c>
      <c r="S283" s="20" t="s">
        <v>333</v>
      </c>
      <c r="T283" s="20" t="s">
        <v>3413</v>
      </c>
      <c r="U283" s="20"/>
      <c r="V283" s="20" t="s">
        <v>344</v>
      </c>
      <c r="W283" s="20" t="s">
        <v>333</v>
      </c>
      <c r="X283" s="20" t="s">
        <v>333</v>
      </c>
      <c r="Y283" s="20" t="s">
        <v>333</v>
      </c>
      <c r="Z283" s="20" t="s">
        <v>333</v>
      </c>
      <c r="AA283" s="20" t="s">
        <v>333</v>
      </c>
      <c r="AB283" s="20" t="s">
        <v>333</v>
      </c>
      <c r="AC283" s="20"/>
      <c r="AD283" s="20" t="s">
        <v>333</v>
      </c>
      <c r="AE283" s="20" t="s">
        <v>333</v>
      </c>
      <c r="AF283" s="20" t="s">
        <v>333</v>
      </c>
      <c r="AG283" s="20" t="s">
        <v>344</v>
      </c>
      <c r="AH283" s="20" t="s">
        <v>344</v>
      </c>
      <c r="AI283" s="20" t="s">
        <v>333</v>
      </c>
      <c r="AJ283" s="20"/>
      <c r="AK283" s="20" t="s">
        <v>1581</v>
      </c>
      <c r="AL283" s="20" t="s">
        <v>349</v>
      </c>
      <c r="AM283" s="20" t="s">
        <v>1581</v>
      </c>
      <c r="AN283" s="20" t="s">
        <v>349</v>
      </c>
      <c r="AO283" s="20"/>
      <c r="AP283" s="20" t="s">
        <v>1238</v>
      </c>
      <c r="AQ283" s="20" t="s">
        <v>1591</v>
      </c>
      <c r="AR283" s="20"/>
      <c r="AS283" s="20"/>
    </row>
    <row r="284">
      <c r="A284" s="20" t="s">
        <v>3414</v>
      </c>
      <c r="B284" s="29" t="s">
        <v>3415</v>
      </c>
      <c r="C284" s="20" t="s">
        <v>1648</v>
      </c>
      <c r="D284" s="20"/>
      <c r="E284" s="20" t="s">
        <v>49</v>
      </c>
      <c r="F284" s="80" t="s">
        <v>3417</v>
      </c>
      <c r="G284" s="75" t="s">
        <v>3418</v>
      </c>
      <c r="H284" s="20" t="s">
        <v>1367</v>
      </c>
      <c r="I284" s="20" t="s">
        <v>1368</v>
      </c>
      <c r="J284" s="20" t="s">
        <v>74</v>
      </c>
      <c r="K284" s="20" t="s">
        <v>55</v>
      </c>
      <c r="L284" s="20" t="s">
        <v>56</v>
      </c>
      <c r="M284" s="20" t="s">
        <v>57</v>
      </c>
      <c r="N284" s="20" t="s">
        <v>333</v>
      </c>
      <c r="O284" s="20" t="s">
        <v>1586</v>
      </c>
      <c r="P284" s="20" t="s">
        <v>3419</v>
      </c>
      <c r="Q284" s="20" t="s">
        <v>59</v>
      </c>
      <c r="R284" s="20" t="s">
        <v>333</v>
      </c>
      <c r="S284" s="20" t="s">
        <v>333</v>
      </c>
      <c r="T284" s="20"/>
      <c r="U284" s="20"/>
      <c r="V284" s="20" t="s">
        <v>344</v>
      </c>
      <c r="W284" s="20" t="s">
        <v>333</v>
      </c>
      <c r="X284" s="20" t="s">
        <v>333</v>
      </c>
      <c r="Y284" s="20" t="s">
        <v>333</v>
      </c>
      <c r="Z284" s="20" t="s">
        <v>333</v>
      </c>
      <c r="AA284" s="20" t="s">
        <v>333</v>
      </c>
      <c r="AB284" s="20" t="s">
        <v>333</v>
      </c>
      <c r="AC284" s="20"/>
      <c r="AD284" s="20" t="s">
        <v>333</v>
      </c>
      <c r="AE284" s="20" t="s">
        <v>333</v>
      </c>
      <c r="AF284" s="20" t="s">
        <v>333</v>
      </c>
      <c r="AG284" s="20" t="s">
        <v>344</v>
      </c>
      <c r="AH284" s="20" t="s">
        <v>344</v>
      </c>
      <c r="AI284" s="20" t="s">
        <v>333</v>
      </c>
      <c r="AJ284" s="20"/>
      <c r="AK284" s="20" t="s">
        <v>347</v>
      </c>
      <c r="AL284" s="20" t="s">
        <v>2889</v>
      </c>
      <c r="AM284" s="20" t="s">
        <v>347</v>
      </c>
      <c r="AN284" s="20" t="s">
        <v>349</v>
      </c>
      <c r="AO284" s="20"/>
      <c r="AP284" s="20" t="s">
        <v>1586</v>
      </c>
      <c r="AQ284" s="20" t="s">
        <v>3419</v>
      </c>
      <c r="AR284" s="20"/>
      <c r="AS284" s="20"/>
    </row>
    <row r="285">
      <c r="A285" s="20" t="s">
        <v>3420</v>
      </c>
      <c r="B285" s="20" t="s">
        <v>843</v>
      </c>
      <c r="C285" s="20" t="s">
        <v>844</v>
      </c>
      <c r="D285" s="20"/>
      <c r="E285" s="20" t="s">
        <v>49</v>
      </c>
      <c r="F285" s="80" t="s">
        <v>3421</v>
      </c>
      <c r="G285" s="75" t="s">
        <v>3422</v>
      </c>
      <c r="H285" s="20" t="s">
        <v>273</v>
      </c>
      <c r="I285" s="20" t="s">
        <v>274</v>
      </c>
      <c r="J285" s="20" t="s">
        <v>274</v>
      </c>
      <c r="K285" s="20" t="s">
        <v>55</v>
      </c>
      <c r="L285" s="20" t="s">
        <v>56</v>
      </c>
      <c r="M285" s="20" t="s">
        <v>57</v>
      </c>
      <c r="N285" s="20" t="s">
        <v>333</v>
      </c>
      <c r="O285" s="20" t="s">
        <v>1688</v>
      </c>
      <c r="P285" s="20"/>
      <c r="Q285" s="20" t="s">
        <v>59</v>
      </c>
      <c r="R285" s="20" t="s">
        <v>333</v>
      </c>
      <c r="S285" s="20" t="s">
        <v>333</v>
      </c>
      <c r="T285" s="20"/>
      <c r="U285" s="20"/>
      <c r="V285" s="20" t="s">
        <v>344</v>
      </c>
      <c r="W285" s="20" t="s">
        <v>333</v>
      </c>
      <c r="X285" s="20" t="s">
        <v>333</v>
      </c>
      <c r="Y285" s="20" t="s">
        <v>333</v>
      </c>
      <c r="Z285" s="20" t="s">
        <v>333</v>
      </c>
      <c r="AA285" s="20" t="s">
        <v>333</v>
      </c>
      <c r="AB285" s="20" t="s">
        <v>333</v>
      </c>
      <c r="AC285" s="20"/>
      <c r="AD285" s="20" t="s">
        <v>333</v>
      </c>
      <c r="AE285" s="20" t="s">
        <v>333</v>
      </c>
      <c r="AF285" s="20" t="s">
        <v>333</v>
      </c>
      <c r="AG285" s="20" t="s">
        <v>344</v>
      </c>
      <c r="AH285" s="20" t="s">
        <v>344</v>
      </c>
      <c r="AI285" s="20" t="s">
        <v>333</v>
      </c>
      <c r="AJ285" s="20"/>
      <c r="AK285" s="20" t="s">
        <v>347</v>
      </c>
      <c r="AL285" s="20" t="s">
        <v>1245</v>
      </c>
      <c r="AM285" s="20" t="s">
        <v>347</v>
      </c>
      <c r="AN285" s="20" t="s">
        <v>349</v>
      </c>
      <c r="AO285" s="20"/>
      <c r="AP285" s="20" t="s">
        <v>1688</v>
      </c>
      <c r="AQ285" s="20" t="s">
        <v>349</v>
      </c>
      <c r="AR285" s="20"/>
      <c r="AS285" s="20"/>
    </row>
    <row r="286">
      <c r="A286" s="20" t="s">
        <v>3423</v>
      </c>
      <c r="B286" s="20" t="s">
        <v>2737</v>
      </c>
      <c r="C286" s="20" t="s">
        <v>2739</v>
      </c>
      <c r="D286" s="20"/>
      <c r="E286" s="20" t="s">
        <v>49</v>
      </c>
      <c r="F286" s="80" t="s">
        <v>2741</v>
      </c>
      <c r="G286" s="20" t="s">
        <v>2743</v>
      </c>
      <c r="H286" s="20" t="s">
        <v>860</v>
      </c>
      <c r="I286" s="20" t="s">
        <v>861</v>
      </c>
      <c r="J286" s="20" t="s">
        <v>74</v>
      </c>
      <c r="K286" s="20" t="s">
        <v>55</v>
      </c>
      <c r="L286" s="20" t="s">
        <v>56</v>
      </c>
      <c r="M286" s="20" t="s">
        <v>57</v>
      </c>
      <c r="N286" s="20" t="s">
        <v>333</v>
      </c>
      <c r="O286" s="20" t="s">
        <v>1596</v>
      </c>
      <c r="P286" s="20" t="s">
        <v>1682</v>
      </c>
      <c r="Q286" s="20" t="s">
        <v>59</v>
      </c>
      <c r="R286" s="20" t="s">
        <v>333</v>
      </c>
      <c r="S286" s="20" t="s">
        <v>333</v>
      </c>
      <c r="T286" s="20"/>
      <c r="U286" s="20"/>
      <c r="V286" s="20" t="s">
        <v>344</v>
      </c>
      <c r="W286" s="20" t="s">
        <v>333</v>
      </c>
      <c r="X286" s="20" t="s">
        <v>333</v>
      </c>
      <c r="Y286" s="20" t="s">
        <v>333</v>
      </c>
      <c r="Z286" s="20" t="s">
        <v>333</v>
      </c>
      <c r="AA286" s="20" t="s">
        <v>333</v>
      </c>
      <c r="AB286" s="20" t="s">
        <v>333</v>
      </c>
      <c r="AC286" s="20"/>
      <c r="AD286" s="20" t="s">
        <v>333</v>
      </c>
      <c r="AE286" s="20" t="s">
        <v>333</v>
      </c>
      <c r="AF286" s="20" t="s">
        <v>333</v>
      </c>
      <c r="AG286" s="20" t="s">
        <v>344</v>
      </c>
      <c r="AH286" s="20" t="s">
        <v>344</v>
      </c>
      <c r="AI286" s="20" t="s">
        <v>333</v>
      </c>
      <c r="AJ286" s="20"/>
      <c r="AK286" s="20" t="s">
        <v>347</v>
      </c>
      <c r="AL286" s="20" t="s">
        <v>1245</v>
      </c>
      <c r="AM286" s="20" t="s">
        <v>347</v>
      </c>
      <c r="AN286" s="20" t="s">
        <v>349</v>
      </c>
      <c r="AO286" s="20"/>
      <c r="AP286" s="20" t="s">
        <v>1596</v>
      </c>
      <c r="AQ286" s="20" t="s">
        <v>1682</v>
      </c>
      <c r="AR286" s="20"/>
      <c r="AS286" s="20"/>
    </row>
    <row r="287">
      <c r="A287" s="20" t="s">
        <v>3428</v>
      </c>
      <c r="B287" s="20" t="s">
        <v>3429</v>
      </c>
      <c r="C287" s="20" t="s">
        <v>3430</v>
      </c>
      <c r="D287" s="20"/>
      <c r="E287" s="20" t="s">
        <v>49</v>
      </c>
      <c r="F287" s="80" t="s">
        <v>3431</v>
      </c>
      <c r="G287" s="114">
        <v>9.820107303E9</v>
      </c>
      <c r="H287" s="20" t="s">
        <v>303</v>
      </c>
      <c r="I287" s="20" t="s">
        <v>303</v>
      </c>
      <c r="J287" s="20" t="s">
        <v>74</v>
      </c>
      <c r="K287" s="20" t="s">
        <v>55</v>
      </c>
      <c r="L287" s="20" t="s">
        <v>56</v>
      </c>
      <c r="M287" s="20" t="s">
        <v>57</v>
      </c>
      <c r="N287" s="20" t="s">
        <v>333</v>
      </c>
      <c r="O287" s="20" t="s">
        <v>1720</v>
      </c>
      <c r="P287" s="20" t="s">
        <v>1253</v>
      </c>
      <c r="Q287" s="20" t="s">
        <v>59</v>
      </c>
      <c r="R287" s="20" t="s">
        <v>333</v>
      </c>
      <c r="S287" s="20" t="s">
        <v>333</v>
      </c>
      <c r="T287" s="20"/>
      <c r="U287" s="20"/>
      <c r="V287" s="20" t="s">
        <v>344</v>
      </c>
      <c r="W287" s="20" t="s">
        <v>333</v>
      </c>
      <c r="X287" s="20" t="s">
        <v>333</v>
      </c>
      <c r="Y287" s="20" t="s">
        <v>333</v>
      </c>
      <c r="Z287" s="20" t="s">
        <v>333</v>
      </c>
      <c r="AA287" s="20" t="s">
        <v>333</v>
      </c>
      <c r="AB287" s="20" t="s">
        <v>333</v>
      </c>
      <c r="AC287" s="20"/>
      <c r="AD287" s="20" t="s">
        <v>333</v>
      </c>
      <c r="AE287" s="20" t="s">
        <v>333</v>
      </c>
      <c r="AF287" s="20" t="s">
        <v>333</v>
      </c>
      <c r="AG287" s="20" t="s">
        <v>344</v>
      </c>
      <c r="AH287" s="20" t="s">
        <v>344</v>
      </c>
      <c r="AI287" s="20" t="s">
        <v>333</v>
      </c>
      <c r="AJ287" s="20"/>
      <c r="AK287" s="20" t="s">
        <v>1244</v>
      </c>
      <c r="AL287" s="20" t="s">
        <v>349</v>
      </c>
      <c r="AM287" s="20" t="s">
        <v>1244</v>
      </c>
      <c r="AN287" s="20" t="s">
        <v>349</v>
      </c>
      <c r="AO287" s="20"/>
      <c r="AP287" s="20" t="s">
        <v>1720</v>
      </c>
      <c r="AQ287" s="20" t="s">
        <v>1253</v>
      </c>
      <c r="AR287" s="20"/>
      <c r="AS287" s="20"/>
    </row>
    <row r="288">
      <c r="A288" s="20" t="s">
        <v>3434</v>
      </c>
      <c r="B288" s="20" t="s">
        <v>693</v>
      </c>
      <c r="C288" s="20" t="s">
        <v>694</v>
      </c>
      <c r="D288" s="20"/>
      <c r="E288" s="20" t="s">
        <v>49</v>
      </c>
      <c r="F288" s="20"/>
      <c r="G288" s="20"/>
      <c r="H288" s="20" t="s">
        <v>147</v>
      </c>
      <c r="I288" s="20" t="s">
        <v>148</v>
      </c>
      <c r="J288" s="20" t="s">
        <v>148</v>
      </c>
      <c r="K288" s="20" t="s">
        <v>55</v>
      </c>
      <c r="L288" s="20" t="s">
        <v>56</v>
      </c>
      <c r="M288" s="20" t="s">
        <v>57</v>
      </c>
      <c r="N288" s="20" t="s">
        <v>333</v>
      </c>
      <c r="O288" s="20" t="s">
        <v>2421</v>
      </c>
      <c r="P288" s="20" t="s">
        <v>1717</v>
      </c>
      <c r="Q288" s="20" t="s">
        <v>59</v>
      </c>
      <c r="R288" s="20" t="s">
        <v>333</v>
      </c>
      <c r="S288" s="20" t="s">
        <v>333</v>
      </c>
      <c r="T288" s="20"/>
      <c r="U288" s="20"/>
      <c r="V288" s="20" t="s">
        <v>344</v>
      </c>
      <c r="W288" s="20" t="s">
        <v>333</v>
      </c>
      <c r="X288" s="20" t="s">
        <v>333</v>
      </c>
      <c r="Y288" s="20" t="s">
        <v>333</v>
      </c>
      <c r="Z288" s="20" t="s">
        <v>333</v>
      </c>
      <c r="AA288" s="20" t="s">
        <v>333</v>
      </c>
      <c r="AB288" s="20" t="s">
        <v>333</v>
      </c>
      <c r="AC288" s="20"/>
      <c r="AD288" s="20" t="s">
        <v>333</v>
      </c>
      <c r="AE288" s="20" t="s">
        <v>333</v>
      </c>
      <c r="AF288" s="20" t="s">
        <v>333</v>
      </c>
      <c r="AG288" s="20" t="s">
        <v>344</v>
      </c>
      <c r="AH288" s="20" t="s">
        <v>344</v>
      </c>
      <c r="AI288" s="20" t="s">
        <v>333</v>
      </c>
      <c r="AJ288" s="20"/>
      <c r="AK288" s="20" t="s">
        <v>1595</v>
      </c>
      <c r="AL288" s="20" t="s">
        <v>348</v>
      </c>
      <c r="AM288" s="20" t="s">
        <v>1595</v>
      </c>
      <c r="AN288" s="20" t="s">
        <v>349</v>
      </c>
      <c r="AO288" s="20"/>
      <c r="AP288" s="20" t="s">
        <v>2421</v>
      </c>
      <c r="AQ288" s="20" t="s">
        <v>1717</v>
      </c>
      <c r="AR288" s="20"/>
      <c r="AS288" s="20"/>
    </row>
    <row r="289">
      <c r="A289" s="32" t="s">
        <v>3439</v>
      </c>
      <c r="B289" s="32" t="s">
        <v>2803</v>
      </c>
      <c r="C289" s="32" t="s">
        <v>2804</v>
      </c>
      <c r="D289" s="48" t="s">
        <v>2805</v>
      </c>
      <c r="E289" s="32" t="s">
        <v>49</v>
      </c>
      <c r="F289" s="32" t="s">
        <v>3442</v>
      </c>
      <c r="G289" s="32" t="s">
        <v>3444</v>
      </c>
      <c r="H289" s="32" t="s">
        <v>513</v>
      </c>
      <c r="I289" s="32" t="s">
        <v>514</v>
      </c>
      <c r="J289" s="32" t="s">
        <v>74</v>
      </c>
      <c r="K289" s="32" t="s">
        <v>55</v>
      </c>
      <c r="L289" s="32" t="s">
        <v>56</v>
      </c>
      <c r="M289" s="32" t="s">
        <v>57</v>
      </c>
      <c r="N289" s="32" t="s">
        <v>333</v>
      </c>
      <c r="O289" s="32" t="s">
        <v>1795</v>
      </c>
      <c r="P289" s="32" t="s">
        <v>1576</v>
      </c>
      <c r="Q289" s="32" t="s">
        <v>59</v>
      </c>
      <c r="R289" s="32" t="s">
        <v>333</v>
      </c>
      <c r="S289" s="32" t="s">
        <v>333</v>
      </c>
      <c r="T289" s="32"/>
      <c r="U289" s="32"/>
      <c r="V289" s="32" t="s">
        <v>344</v>
      </c>
      <c r="W289" s="32" t="s">
        <v>333</v>
      </c>
      <c r="X289" s="32" t="s">
        <v>333</v>
      </c>
      <c r="Y289" s="32" t="s">
        <v>333</v>
      </c>
      <c r="Z289" s="32" t="s">
        <v>333</v>
      </c>
      <c r="AA289" s="32" t="s">
        <v>333</v>
      </c>
      <c r="AB289" s="32" t="s">
        <v>333</v>
      </c>
      <c r="AC289" s="32"/>
      <c r="AD289" s="32" t="s">
        <v>333</v>
      </c>
      <c r="AE289" s="32" t="s">
        <v>333</v>
      </c>
      <c r="AF289" s="32" t="s">
        <v>333</v>
      </c>
      <c r="AG289" s="32" t="s">
        <v>344</v>
      </c>
      <c r="AH289" s="32" t="s">
        <v>344</v>
      </c>
      <c r="AI289" s="32" t="s">
        <v>333</v>
      </c>
      <c r="AJ289" s="32"/>
      <c r="AK289" s="32" t="s">
        <v>1244</v>
      </c>
      <c r="AL289" s="32" t="s">
        <v>1556</v>
      </c>
      <c r="AM289" s="32" t="s">
        <v>1244</v>
      </c>
      <c r="AN289" s="32" t="s">
        <v>349</v>
      </c>
      <c r="AO289" s="32"/>
      <c r="AP289" s="32" t="s">
        <v>1795</v>
      </c>
      <c r="AQ289" s="32" t="s">
        <v>1576</v>
      </c>
      <c r="AR289" s="21" t="s">
        <v>1931</v>
      </c>
      <c r="AS289" s="21">
        <v>2.0</v>
      </c>
    </row>
    <row r="290">
      <c r="A290" s="32" t="s">
        <v>3448</v>
      </c>
      <c r="B290" s="32" t="s">
        <v>1071</v>
      </c>
      <c r="C290" s="32" t="s">
        <v>1072</v>
      </c>
      <c r="D290" s="48" t="s">
        <v>1074</v>
      </c>
      <c r="E290" s="32" t="s">
        <v>49</v>
      </c>
      <c r="F290" s="32" t="s">
        <v>3449</v>
      </c>
      <c r="G290" s="32" t="s">
        <v>2158</v>
      </c>
      <c r="H290" s="32" t="s">
        <v>53</v>
      </c>
      <c r="I290" s="32" t="s">
        <v>54</v>
      </c>
      <c r="J290" s="32" t="s">
        <v>54</v>
      </c>
      <c r="K290" s="32" t="s">
        <v>55</v>
      </c>
      <c r="L290" s="32" t="s">
        <v>56</v>
      </c>
      <c r="M290" s="32" t="s">
        <v>57</v>
      </c>
      <c r="N290" s="32" t="s">
        <v>333</v>
      </c>
      <c r="O290" s="32" t="s">
        <v>1682</v>
      </c>
      <c r="P290" s="32" t="s">
        <v>1720</v>
      </c>
      <c r="Q290" s="32" t="s">
        <v>59</v>
      </c>
      <c r="R290" s="32" t="s">
        <v>333</v>
      </c>
      <c r="S290" s="32" t="s">
        <v>333</v>
      </c>
      <c r="T290" s="32"/>
      <c r="U290" s="32"/>
      <c r="V290" s="32" t="s">
        <v>344</v>
      </c>
      <c r="W290" s="32" t="s">
        <v>333</v>
      </c>
      <c r="X290" s="32" t="s">
        <v>333</v>
      </c>
      <c r="Y290" s="32" t="s">
        <v>333</v>
      </c>
      <c r="Z290" s="32" t="s">
        <v>333</v>
      </c>
      <c r="AA290" s="32" t="s">
        <v>333</v>
      </c>
      <c r="AB290" s="32" t="s">
        <v>333</v>
      </c>
      <c r="AC290" s="32"/>
      <c r="AD290" s="32" t="s">
        <v>333</v>
      </c>
      <c r="AE290" s="32" t="s">
        <v>333</v>
      </c>
      <c r="AF290" s="32" t="s">
        <v>333</v>
      </c>
      <c r="AG290" s="32" t="s">
        <v>344</v>
      </c>
      <c r="AH290" s="32" t="s">
        <v>344</v>
      </c>
      <c r="AI290" s="32" t="s">
        <v>333</v>
      </c>
      <c r="AJ290" s="32"/>
      <c r="AK290" s="32" t="s">
        <v>1244</v>
      </c>
      <c r="AL290" s="32" t="s">
        <v>1245</v>
      </c>
      <c r="AM290" s="32" t="s">
        <v>1244</v>
      </c>
      <c r="AN290" s="32" t="s">
        <v>349</v>
      </c>
      <c r="AO290" s="32"/>
      <c r="AP290" s="32" t="s">
        <v>1682</v>
      </c>
      <c r="AQ290" s="32" t="s">
        <v>1720</v>
      </c>
      <c r="AR290" s="21" t="s">
        <v>1931</v>
      </c>
      <c r="AS290" s="21">
        <v>2.0</v>
      </c>
    </row>
    <row r="291">
      <c r="A291" s="20" t="s">
        <v>3453</v>
      </c>
      <c r="B291" s="20" t="s">
        <v>596</v>
      </c>
      <c r="C291" s="20" t="s">
        <v>598</v>
      </c>
      <c r="D291" s="20" t="s">
        <v>600</v>
      </c>
      <c r="E291" s="20" t="s">
        <v>49</v>
      </c>
      <c r="F291" s="80" t="s">
        <v>3454</v>
      </c>
      <c r="G291" s="75" t="s">
        <v>3459</v>
      </c>
      <c r="H291" s="20" t="s">
        <v>602</v>
      </c>
      <c r="I291" s="20" t="s">
        <v>274</v>
      </c>
      <c r="J291" s="20" t="s">
        <v>274</v>
      </c>
      <c r="K291" s="20" t="s">
        <v>55</v>
      </c>
      <c r="L291" s="20" t="s">
        <v>56</v>
      </c>
      <c r="M291" s="20" t="s">
        <v>57</v>
      </c>
      <c r="N291" s="20" t="s">
        <v>333</v>
      </c>
      <c r="O291" s="20" t="s">
        <v>1596</v>
      </c>
      <c r="P291" s="20" t="s">
        <v>1682</v>
      </c>
      <c r="Q291" s="20" t="s">
        <v>59</v>
      </c>
      <c r="R291" s="20" t="s">
        <v>333</v>
      </c>
      <c r="S291" s="20" t="s">
        <v>333</v>
      </c>
      <c r="T291" s="20" t="s">
        <v>3461</v>
      </c>
      <c r="U291" s="20"/>
      <c r="V291" s="20" t="s">
        <v>344</v>
      </c>
      <c r="W291" s="20" t="s">
        <v>333</v>
      </c>
      <c r="X291" s="20" t="s">
        <v>333</v>
      </c>
      <c r="Y291" s="20" t="s">
        <v>333</v>
      </c>
      <c r="Z291" s="20" t="s">
        <v>333</v>
      </c>
      <c r="AA291" s="20" t="s">
        <v>333</v>
      </c>
      <c r="AB291" s="20" t="s">
        <v>333</v>
      </c>
      <c r="AC291" s="20"/>
      <c r="AD291" s="20" t="s">
        <v>333</v>
      </c>
      <c r="AE291" s="20" t="s">
        <v>333</v>
      </c>
      <c r="AF291" s="20" t="s">
        <v>333</v>
      </c>
      <c r="AG291" s="20" t="s">
        <v>344</v>
      </c>
      <c r="AH291" s="20" t="s">
        <v>344</v>
      </c>
      <c r="AI291" s="20" t="s">
        <v>333</v>
      </c>
      <c r="AJ291" s="20"/>
      <c r="AK291" s="20" t="s">
        <v>1244</v>
      </c>
      <c r="AL291" s="20" t="s">
        <v>1556</v>
      </c>
      <c r="AM291" s="20" t="s">
        <v>1244</v>
      </c>
      <c r="AN291" s="20" t="s">
        <v>349</v>
      </c>
      <c r="AO291" s="20" t="s">
        <v>606</v>
      </c>
      <c r="AP291" s="20" t="s">
        <v>1596</v>
      </c>
      <c r="AQ291" s="20" t="s">
        <v>1682</v>
      </c>
      <c r="AR291" s="20"/>
      <c r="AS291" s="20"/>
    </row>
    <row r="292">
      <c r="A292" s="32" t="s">
        <v>3465</v>
      </c>
      <c r="B292" s="32" t="s">
        <v>207</v>
      </c>
      <c r="C292" s="32" t="s">
        <v>208</v>
      </c>
      <c r="D292" s="48" t="s">
        <v>210</v>
      </c>
      <c r="E292" s="32" t="s">
        <v>49</v>
      </c>
      <c r="F292" s="32" t="s">
        <v>211</v>
      </c>
      <c r="G292" s="32" t="s">
        <v>547</v>
      </c>
      <c r="H292" s="32" t="s">
        <v>118</v>
      </c>
      <c r="I292" s="32" t="s">
        <v>92</v>
      </c>
      <c r="J292" s="32" t="s">
        <v>92</v>
      </c>
      <c r="K292" s="32" t="s">
        <v>55</v>
      </c>
      <c r="L292" s="32" t="s">
        <v>56</v>
      </c>
      <c r="M292" s="32" t="s">
        <v>57</v>
      </c>
      <c r="N292" s="32" t="s">
        <v>333</v>
      </c>
      <c r="O292" s="32" t="s">
        <v>1571</v>
      </c>
      <c r="P292" s="32" t="s">
        <v>1576</v>
      </c>
      <c r="Q292" s="32" t="s">
        <v>59</v>
      </c>
      <c r="R292" s="32" t="s">
        <v>333</v>
      </c>
      <c r="S292" s="32" t="s">
        <v>333</v>
      </c>
      <c r="T292" s="32"/>
      <c r="U292" s="32"/>
      <c r="V292" s="32" t="s">
        <v>344</v>
      </c>
      <c r="W292" s="32" t="s">
        <v>333</v>
      </c>
      <c r="X292" s="32" t="s">
        <v>333</v>
      </c>
      <c r="Y292" s="32" t="s">
        <v>333</v>
      </c>
      <c r="Z292" s="32" t="s">
        <v>333</v>
      </c>
      <c r="AA292" s="32" t="s">
        <v>333</v>
      </c>
      <c r="AB292" s="32" t="s">
        <v>333</v>
      </c>
      <c r="AC292" s="32"/>
      <c r="AD292" s="32" t="s">
        <v>333</v>
      </c>
      <c r="AE292" s="32" t="s">
        <v>333</v>
      </c>
      <c r="AF292" s="32" t="s">
        <v>333</v>
      </c>
      <c r="AG292" s="32" t="s">
        <v>344</v>
      </c>
      <c r="AH292" s="32" t="s">
        <v>344</v>
      </c>
      <c r="AI292" s="32" t="s">
        <v>333</v>
      </c>
      <c r="AJ292" s="32"/>
      <c r="AK292" s="32" t="s">
        <v>1587</v>
      </c>
      <c r="AL292" s="32" t="s">
        <v>1717</v>
      </c>
      <c r="AM292" s="32" t="s">
        <v>1587</v>
      </c>
      <c r="AN292" s="32" t="s">
        <v>349</v>
      </c>
      <c r="AO292" s="32"/>
      <c r="AP292" s="32" t="s">
        <v>1571</v>
      </c>
      <c r="AQ292" s="32" t="s">
        <v>1576</v>
      </c>
      <c r="AR292" s="21" t="s">
        <v>1931</v>
      </c>
      <c r="AS292" s="21">
        <v>2.0</v>
      </c>
    </row>
    <row r="293">
      <c r="A293" s="20" t="s">
        <v>3471</v>
      </c>
      <c r="B293" s="20" t="s">
        <v>2425</v>
      </c>
      <c r="C293" s="20" t="s">
        <v>2426</v>
      </c>
      <c r="D293" s="20"/>
      <c r="E293" s="20" t="s">
        <v>49</v>
      </c>
      <c r="F293" s="80" t="s">
        <v>3472</v>
      </c>
      <c r="G293" s="75" t="s">
        <v>3477</v>
      </c>
      <c r="H293" s="20" t="s">
        <v>285</v>
      </c>
      <c r="I293" s="20" t="s">
        <v>286</v>
      </c>
      <c r="J293" s="20" t="s">
        <v>74</v>
      </c>
      <c r="K293" s="20" t="s">
        <v>55</v>
      </c>
      <c r="L293" s="20" t="s">
        <v>56</v>
      </c>
      <c r="M293" s="20" t="s">
        <v>57</v>
      </c>
      <c r="N293" s="20" t="s">
        <v>333</v>
      </c>
      <c r="O293" s="20"/>
      <c r="P293" s="20"/>
      <c r="Q293" s="20" t="s">
        <v>59</v>
      </c>
      <c r="R293" s="20" t="s">
        <v>333</v>
      </c>
      <c r="S293" s="20" t="s">
        <v>333</v>
      </c>
      <c r="T293" s="20"/>
      <c r="U293" s="20"/>
      <c r="V293" s="20" t="s">
        <v>344</v>
      </c>
      <c r="W293" s="20" t="s">
        <v>333</v>
      </c>
      <c r="X293" s="20" t="s">
        <v>333</v>
      </c>
      <c r="Y293" s="20" t="s">
        <v>333</v>
      </c>
      <c r="Z293" s="20" t="s">
        <v>333</v>
      </c>
      <c r="AA293" s="20" t="s">
        <v>333</v>
      </c>
      <c r="AB293" s="20" t="s">
        <v>333</v>
      </c>
      <c r="AC293" s="20"/>
      <c r="AD293" s="20" t="s">
        <v>333</v>
      </c>
      <c r="AE293" s="20" t="s">
        <v>333</v>
      </c>
      <c r="AF293" s="20" t="s">
        <v>333</v>
      </c>
      <c r="AG293" s="20" t="s">
        <v>344</v>
      </c>
      <c r="AH293" s="20" t="s">
        <v>344</v>
      </c>
      <c r="AI293" s="20" t="s">
        <v>333</v>
      </c>
      <c r="AJ293" s="20"/>
      <c r="AK293" s="20" t="s">
        <v>349</v>
      </c>
      <c r="AL293" s="20" t="s">
        <v>349</v>
      </c>
      <c r="AM293" s="20" t="s">
        <v>349</v>
      </c>
      <c r="AN293" s="20" t="s">
        <v>349</v>
      </c>
      <c r="AO293" s="20"/>
      <c r="AP293" s="20" t="s">
        <v>349</v>
      </c>
      <c r="AQ293" s="20" t="s">
        <v>349</v>
      </c>
      <c r="AR293" s="20"/>
      <c r="AS293" s="20"/>
    </row>
    <row r="294">
      <c r="A294" s="32" t="s">
        <v>3478</v>
      </c>
      <c r="B294" s="32" t="s">
        <v>3046</v>
      </c>
      <c r="C294" s="32" t="s">
        <v>3047</v>
      </c>
      <c r="D294" s="48" t="s">
        <v>3048</v>
      </c>
      <c r="E294" s="32" t="s">
        <v>49</v>
      </c>
      <c r="F294" s="32" t="s">
        <v>3479</v>
      </c>
      <c r="G294" s="32" t="s">
        <v>3480</v>
      </c>
      <c r="H294" s="32" t="s">
        <v>1367</v>
      </c>
      <c r="I294" s="32" t="s">
        <v>1368</v>
      </c>
      <c r="J294" s="32" t="s">
        <v>74</v>
      </c>
      <c r="K294" s="32" t="s">
        <v>55</v>
      </c>
      <c r="L294" s="32" t="s">
        <v>56</v>
      </c>
      <c r="M294" s="32" t="s">
        <v>57</v>
      </c>
      <c r="N294" s="32" t="s">
        <v>333</v>
      </c>
      <c r="O294" s="32" t="s">
        <v>1591</v>
      </c>
      <c r="P294" s="32" t="s">
        <v>1720</v>
      </c>
      <c r="Q294" s="32" t="s">
        <v>59</v>
      </c>
      <c r="R294" s="32" t="s">
        <v>333</v>
      </c>
      <c r="S294" s="32" t="s">
        <v>333</v>
      </c>
      <c r="T294" s="32"/>
      <c r="U294" s="32"/>
      <c r="V294" s="32" t="s">
        <v>344</v>
      </c>
      <c r="W294" s="32" t="s">
        <v>333</v>
      </c>
      <c r="X294" s="32" t="s">
        <v>333</v>
      </c>
      <c r="Y294" s="32" t="s">
        <v>333</v>
      </c>
      <c r="Z294" s="32" t="s">
        <v>333</v>
      </c>
      <c r="AA294" s="32" t="s">
        <v>333</v>
      </c>
      <c r="AB294" s="32" t="s">
        <v>333</v>
      </c>
      <c r="AC294" s="32"/>
      <c r="AD294" s="32" t="s">
        <v>333</v>
      </c>
      <c r="AE294" s="32" t="s">
        <v>333</v>
      </c>
      <c r="AF294" s="32" t="s">
        <v>333</v>
      </c>
      <c r="AG294" s="32" t="s">
        <v>344</v>
      </c>
      <c r="AH294" s="32" t="s">
        <v>344</v>
      </c>
      <c r="AI294" s="32" t="s">
        <v>333</v>
      </c>
      <c r="AJ294" s="32"/>
      <c r="AK294" s="32" t="s">
        <v>1244</v>
      </c>
      <c r="AL294" s="32" t="s">
        <v>1673</v>
      </c>
      <c r="AM294" s="32" t="s">
        <v>1244</v>
      </c>
      <c r="AN294" s="32" t="s">
        <v>349</v>
      </c>
      <c r="AO294" s="32"/>
      <c r="AP294" s="32" t="s">
        <v>1591</v>
      </c>
      <c r="AQ294" s="32" t="s">
        <v>1720</v>
      </c>
      <c r="AR294" s="21" t="s">
        <v>1931</v>
      </c>
      <c r="AS294" s="21">
        <v>2.0</v>
      </c>
    </row>
    <row r="295">
      <c r="A295" s="32" t="s">
        <v>3482</v>
      </c>
      <c r="B295" s="32" t="s">
        <v>3483</v>
      </c>
      <c r="C295" s="32" t="s">
        <v>3484</v>
      </c>
      <c r="D295" s="48" t="s">
        <v>3485</v>
      </c>
      <c r="E295" s="32" t="s">
        <v>49</v>
      </c>
      <c r="F295" s="32" t="s">
        <v>3486</v>
      </c>
      <c r="G295" s="32" t="s">
        <v>3487</v>
      </c>
      <c r="H295" s="32" t="s">
        <v>72</v>
      </c>
      <c r="I295" s="32" t="s">
        <v>73</v>
      </c>
      <c r="J295" s="32" t="s">
        <v>74</v>
      </c>
      <c r="K295" s="32" t="s">
        <v>55</v>
      </c>
      <c r="L295" s="32" t="s">
        <v>56</v>
      </c>
      <c r="M295" s="32" t="s">
        <v>57</v>
      </c>
      <c r="N295" s="32" t="s">
        <v>333</v>
      </c>
      <c r="O295" s="32" t="s">
        <v>1238</v>
      </c>
      <c r="P295" s="32" t="s">
        <v>1682</v>
      </c>
      <c r="Q295" s="32" t="s">
        <v>59</v>
      </c>
      <c r="R295" s="32" t="s">
        <v>333</v>
      </c>
      <c r="S295" s="32" t="s">
        <v>333</v>
      </c>
      <c r="T295" s="32"/>
      <c r="U295" s="32"/>
      <c r="V295" s="32" t="s">
        <v>344</v>
      </c>
      <c r="W295" s="32" t="s">
        <v>333</v>
      </c>
      <c r="X295" s="32" t="s">
        <v>333</v>
      </c>
      <c r="Y295" s="32" t="s">
        <v>333</v>
      </c>
      <c r="Z295" s="32" t="s">
        <v>333</v>
      </c>
      <c r="AA295" s="32" t="s">
        <v>333</v>
      </c>
      <c r="AB295" s="32" t="s">
        <v>333</v>
      </c>
      <c r="AC295" s="32"/>
      <c r="AD295" s="32" t="s">
        <v>333</v>
      </c>
      <c r="AE295" s="32" t="s">
        <v>333</v>
      </c>
      <c r="AF295" s="32" t="s">
        <v>333</v>
      </c>
      <c r="AG295" s="32" t="s">
        <v>344</v>
      </c>
      <c r="AH295" s="32" t="s">
        <v>344</v>
      </c>
      <c r="AI295" s="32" t="s">
        <v>333</v>
      </c>
      <c r="AJ295" s="32"/>
      <c r="AK295" s="32" t="s">
        <v>347</v>
      </c>
      <c r="AL295" s="32" t="s">
        <v>1245</v>
      </c>
      <c r="AM295" s="32" t="s">
        <v>347</v>
      </c>
      <c r="AN295" s="32" t="s">
        <v>349</v>
      </c>
      <c r="AO295" s="32"/>
      <c r="AP295" s="32" t="s">
        <v>1238</v>
      </c>
      <c r="AQ295" s="32" t="s">
        <v>1682</v>
      </c>
      <c r="AR295" s="21" t="s">
        <v>1931</v>
      </c>
      <c r="AS295" s="21">
        <v>2.0</v>
      </c>
    </row>
    <row r="296">
      <c r="A296" s="32" t="s">
        <v>3493</v>
      </c>
      <c r="B296" s="32" t="s">
        <v>174</v>
      </c>
      <c r="C296" s="32" t="s">
        <v>175</v>
      </c>
      <c r="D296" s="48" t="s">
        <v>289</v>
      </c>
      <c r="E296" s="32" t="s">
        <v>49</v>
      </c>
      <c r="F296" s="32" t="s">
        <v>177</v>
      </c>
      <c r="G296" s="32" t="s">
        <v>187</v>
      </c>
      <c r="H296" s="32" t="s">
        <v>91</v>
      </c>
      <c r="I296" s="32" t="s">
        <v>92</v>
      </c>
      <c r="J296" s="32" t="s">
        <v>92</v>
      </c>
      <c r="K296" s="32" t="s">
        <v>55</v>
      </c>
      <c r="L296" s="32" t="s">
        <v>56</v>
      </c>
      <c r="M296" s="32" t="s">
        <v>57</v>
      </c>
      <c r="N296" s="32" t="s">
        <v>333</v>
      </c>
      <c r="O296" s="32" t="s">
        <v>1745</v>
      </c>
      <c r="P296" s="32" t="s">
        <v>1238</v>
      </c>
      <c r="Q296" s="32" t="s">
        <v>59</v>
      </c>
      <c r="R296" s="32" t="s">
        <v>333</v>
      </c>
      <c r="S296" s="32" t="s">
        <v>333</v>
      </c>
      <c r="T296" s="32"/>
      <c r="U296" s="32"/>
      <c r="V296" s="32" t="s">
        <v>344</v>
      </c>
      <c r="W296" s="32" t="s">
        <v>333</v>
      </c>
      <c r="X296" s="32" t="s">
        <v>333</v>
      </c>
      <c r="Y296" s="32" t="s">
        <v>333</v>
      </c>
      <c r="Z296" s="32" t="s">
        <v>333</v>
      </c>
      <c r="AA296" s="32" t="s">
        <v>333</v>
      </c>
      <c r="AB296" s="32" t="s">
        <v>333</v>
      </c>
      <c r="AC296" s="32"/>
      <c r="AD296" s="32" t="s">
        <v>333</v>
      </c>
      <c r="AE296" s="32" t="s">
        <v>333</v>
      </c>
      <c r="AF296" s="32" t="s">
        <v>333</v>
      </c>
      <c r="AG296" s="32" t="s">
        <v>344</v>
      </c>
      <c r="AH296" s="32" t="s">
        <v>344</v>
      </c>
      <c r="AI296" s="32" t="s">
        <v>333</v>
      </c>
      <c r="AJ296" s="32"/>
      <c r="AK296" s="32" t="s">
        <v>347</v>
      </c>
      <c r="AL296" s="32" t="s">
        <v>1245</v>
      </c>
      <c r="AM296" s="32" t="s">
        <v>347</v>
      </c>
      <c r="AN296" s="32" t="s">
        <v>349</v>
      </c>
      <c r="AO296" s="32"/>
      <c r="AP296" s="32" t="s">
        <v>1745</v>
      </c>
      <c r="AQ296" s="32" t="s">
        <v>1238</v>
      </c>
      <c r="AR296" s="21" t="s">
        <v>1931</v>
      </c>
      <c r="AS296" s="21">
        <v>2.0</v>
      </c>
    </row>
    <row r="297">
      <c r="A297" s="32" t="s">
        <v>3500</v>
      </c>
      <c r="B297" s="32" t="s">
        <v>3501</v>
      </c>
      <c r="C297" s="32" t="s">
        <v>3502</v>
      </c>
      <c r="D297" s="48" t="s">
        <v>3503</v>
      </c>
      <c r="E297" s="32" t="s">
        <v>49</v>
      </c>
      <c r="F297" s="32" t="s">
        <v>3504</v>
      </c>
      <c r="G297" s="32" t="s">
        <v>3505</v>
      </c>
      <c r="H297" s="32" t="s">
        <v>123</v>
      </c>
      <c r="I297" s="32" t="s">
        <v>124</v>
      </c>
      <c r="J297" s="32" t="s">
        <v>74</v>
      </c>
      <c r="K297" s="32" t="s">
        <v>55</v>
      </c>
      <c r="L297" s="32" t="s">
        <v>56</v>
      </c>
      <c r="M297" s="32" t="s">
        <v>57</v>
      </c>
      <c r="N297" s="32" t="s">
        <v>333</v>
      </c>
      <c r="O297" s="32" t="s">
        <v>1736</v>
      </c>
      <c r="P297" s="32" t="s">
        <v>1795</v>
      </c>
      <c r="Q297" s="32" t="s">
        <v>59</v>
      </c>
      <c r="R297" s="32" t="s">
        <v>333</v>
      </c>
      <c r="S297" s="32" t="s">
        <v>333</v>
      </c>
      <c r="T297" s="32"/>
      <c r="U297" s="32"/>
      <c r="V297" s="32" t="s">
        <v>344</v>
      </c>
      <c r="W297" s="32" t="s">
        <v>333</v>
      </c>
      <c r="X297" s="32" t="s">
        <v>333</v>
      </c>
      <c r="Y297" s="32" t="s">
        <v>333</v>
      </c>
      <c r="Z297" s="32" t="s">
        <v>333</v>
      </c>
      <c r="AA297" s="32" t="s">
        <v>333</v>
      </c>
      <c r="AB297" s="32" t="s">
        <v>333</v>
      </c>
      <c r="AC297" s="32"/>
      <c r="AD297" s="32" t="s">
        <v>333</v>
      </c>
      <c r="AE297" s="32" t="s">
        <v>333</v>
      </c>
      <c r="AF297" s="32" t="s">
        <v>333</v>
      </c>
      <c r="AG297" s="32" t="s">
        <v>344</v>
      </c>
      <c r="AH297" s="32" t="s">
        <v>344</v>
      </c>
      <c r="AI297" s="32" t="s">
        <v>333</v>
      </c>
      <c r="AJ297" s="32"/>
      <c r="AK297" s="32" t="s">
        <v>1244</v>
      </c>
      <c r="AL297" s="32" t="s">
        <v>1556</v>
      </c>
      <c r="AM297" s="32" t="s">
        <v>1244</v>
      </c>
      <c r="AN297" s="32" t="s">
        <v>349</v>
      </c>
      <c r="AO297" s="32"/>
      <c r="AP297" s="32" t="s">
        <v>1736</v>
      </c>
      <c r="AQ297" s="32" t="s">
        <v>1795</v>
      </c>
      <c r="AR297" s="21" t="s">
        <v>1931</v>
      </c>
      <c r="AS297" s="21">
        <v>2.0</v>
      </c>
    </row>
    <row r="298">
      <c r="A298" s="20" t="s">
        <v>3509</v>
      </c>
      <c r="B298" s="20" t="s">
        <v>698</v>
      </c>
      <c r="C298" s="20" t="s">
        <v>699</v>
      </c>
      <c r="D298" s="20"/>
      <c r="E298" s="20" t="s">
        <v>49</v>
      </c>
      <c r="F298" s="29" t="s">
        <v>69</v>
      </c>
      <c r="G298" s="29" t="s">
        <v>69</v>
      </c>
      <c r="H298" s="20" t="s">
        <v>75</v>
      </c>
      <c r="I298" s="20" t="s">
        <v>76</v>
      </c>
      <c r="J298" s="20" t="s">
        <v>76</v>
      </c>
      <c r="K298" s="20" t="s">
        <v>55</v>
      </c>
      <c r="L298" s="20" t="s">
        <v>56</v>
      </c>
      <c r="M298" s="20" t="s">
        <v>57</v>
      </c>
      <c r="N298" s="20" t="s">
        <v>333</v>
      </c>
      <c r="O298" s="20" t="s">
        <v>1596</v>
      </c>
      <c r="P298" s="20" t="s">
        <v>1238</v>
      </c>
      <c r="Q298" s="20" t="s">
        <v>59</v>
      </c>
      <c r="R298" s="20" t="s">
        <v>333</v>
      </c>
      <c r="S298" s="20" t="s">
        <v>333</v>
      </c>
      <c r="T298" s="20"/>
      <c r="U298" s="20"/>
      <c r="V298" s="20" t="s">
        <v>344</v>
      </c>
      <c r="W298" s="20" t="s">
        <v>333</v>
      </c>
      <c r="X298" s="20" t="s">
        <v>333</v>
      </c>
      <c r="Y298" s="20" t="s">
        <v>333</v>
      </c>
      <c r="Z298" s="20" t="s">
        <v>333</v>
      </c>
      <c r="AA298" s="20" t="s">
        <v>333</v>
      </c>
      <c r="AB298" s="20" t="s">
        <v>333</v>
      </c>
      <c r="AC298" s="20"/>
      <c r="AD298" s="20" t="s">
        <v>333</v>
      </c>
      <c r="AE298" s="20" t="s">
        <v>333</v>
      </c>
      <c r="AF298" s="20" t="s">
        <v>333</v>
      </c>
      <c r="AG298" s="20" t="s">
        <v>344</v>
      </c>
      <c r="AH298" s="20" t="s">
        <v>344</v>
      </c>
      <c r="AI298" s="20" t="s">
        <v>333</v>
      </c>
      <c r="AJ298" s="20"/>
      <c r="AK298" s="20" t="s">
        <v>347</v>
      </c>
      <c r="AL298" s="20" t="s">
        <v>1245</v>
      </c>
      <c r="AM298" s="20" t="s">
        <v>347</v>
      </c>
      <c r="AN298" s="20" t="s">
        <v>349</v>
      </c>
      <c r="AO298" s="20"/>
      <c r="AP298" s="20" t="s">
        <v>1596</v>
      </c>
      <c r="AQ298" s="20" t="s">
        <v>1238</v>
      </c>
      <c r="AR298" s="20"/>
      <c r="AS298" s="20"/>
    </row>
    <row r="299">
      <c r="A299" s="20" t="s">
        <v>3515</v>
      </c>
      <c r="B299" s="20" t="s">
        <v>2466</v>
      </c>
      <c r="C299" s="20" t="s">
        <v>2469</v>
      </c>
      <c r="D299" s="20"/>
      <c r="E299" s="20" t="s">
        <v>49</v>
      </c>
      <c r="F299" s="80" t="s">
        <v>3516</v>
      </c>
      <c r="G299" s="101" t="s">
        <v>3517</v>
      </c>
      <c r="H299" s="20" t="s">
        <v>407</v>
      </c>
      <c r="I299" s="20" t="s">
        <v>408</v>
      </c>
      <c r="J299" s="20" t="s">
        <v>74</v>
      </c>
      <c r="K299" s="20" t="s">
        <v>55</v>
      </c>
      <c r="L299" s="20" t="s">
        <v>56</v>
      </c>
      <c r="M299" s="20" t="s">
        <v>57</v>
      </c>
      <c r="N299" s="20" t="s">
        <v>333</v>
      </c>
      <c r="O299" s="20" t="s">
        <v>1596</v>
      </c>
      <c r="P299" s="20" t="s">
        <v>1238</v>
      </c>
      <c r="Q299" s="20" t="s">
        <v>59</v>
      </c>
      <c r="R299" s="20" t="s">
        <v>333</v>
      </c>
      <c r="S299" s="20" t="s">
        <v>333</v>
      </c>
      <c r="T299" s="20"/>
      <c r="U299" s="20"/>
      <c r="V299" s="20" t="s">
        <v>344</v>
      </c>
      <c r="W299" s="20" t="s">
        <v>333</v>
      </c>
      <c r="X299" s="20" t="s">
        <v>333</v>
      </c>
      <c r="Y299" s="20" t="s">
        <v>333</v>
      </c>
      <c r="Z299" s="20" t="s">
        <v>333</v>
      </c>
      <c r="AA299" s="20" t="s">
        <v>333</v>
      </c>
      <c r="AB299" s="20" t="s">
        <v>333</v>
      </c>
      <c r="AC299" s="20"/>
      <c r="AD299" s="20" t="s">
        <v>333</v>
      </c>
      <c r="AE299" s="20" t="s">
        <v>333</v>
      </c>
      <c r="AF299" s="20" t="s">
        <v>333</v>
      </c>
      <c r="AG299" s="20" t="s">
        <v>344</v>
      </c>
      <c r="AH299" s="20" t="s">
        <v>344</v>
      </c>
      <c r="AI299" s="20" t="s">
        <v>333</v>
      </c>
      <c r="AJ299" s="20"/>
      <c r="AK299" s="20" t="s">
        <v>1244</v>
      </c>
      <c r="AL299" s="20" t="s">
        <v>1261</v>
      </c>
      <c r="AM299" s="20" t="s">
        <v>1244</v>
      </c>
      <c r="AN299" s="20" t="s">
        <v>349</v>
      </c>
      <c r="AO299" s="20"/>
      <c r="AP299" s="20" t="s">
        <v>1596</v>
      </c>
      <c r="AQ299" s="20" t="s">
        <v>1238</v>
      </c>
      <c r="AR299" s="20"/>
      <c r="AS299" s="20"/>
    </row>
    <row r="300">
      <c r="A300" s="20" t="s">
        <v>3520</v>
      </c>
      <c r="B300" s="20" t="s">
        <v>2586</v>
      </c>
      <c r="C300" s="20" t="s">
        <v>2587</v>
      </c>
      <c r="D300" s="20"/>
      <c r="E300" s="20" t="s">
        <v>49</v>
      </c>
      <c r="F300" s="80" t="s">
        <v>3521</v>
      </c>
      <c r="G300" s="20" t="s">
        <v>3522</v>
      </c>
      <c r="H300" s="20" t="s">
        <v>123</v>
      </c>
      <c r="I300" s="20" t="s">
        <v>124</v>
      </c>
      <c r="J300" s="20" t="s">
        <v>74</v>
      </c>
      <c r="K300" s="20" t="s">
        <v>55</v>
      </c>
      <c r="L300" s="20" t="s">
        <v>56</v>
      </c>
      <c r="M300" s="20" t="s">
        <v>57</v>
      </c>
      <c r="N300" s="20" t="s">
        <v>333</v>
      </c>
      <c r="O300" s="20" t="s">
        <v>1745</v>
      </c>
      <c r="P300" s="20" t="s">
        <v>1596</v>
      </c>
      <c r="Q300" s="20" t="s">
        <v>59</v>
      </c>
      <c r="R300" s="20" t="s">
        <v>333</v>
      </c>
      <c r="S300" s="20" t="s">
        <v>333</v>
      </c>
      <c r="T300" s="20"/>
      <c r="U300" s="20"/>
      <c r="V300" s="20" t="s">
        <v>344</v>
      </c>
      <c r="W300" s="20" t="s">
        <v>333</v>
      </c>
      <c r="X300" s="20" t="s">
        <v>333</v>
      </c>
      <c r="Y300" s="20" t="s">
        <v>333</v>
      </c>
      <c r="Z300" s="20" t="s">
        <v>333</v>
      </c>
      <c r="AA300" s="20" t="s">
        <v>333</v>
      </c>
      <c r="AB300" s="20" t="s">
        <v>333</v>
      </c>
      <c r="AC300" s="20"/>
      <c r="AD300" s="20" t="s">
        <v>333</v>
      </c>
      <c r="AE300" s="20" t="s">
        <v>333</v>
      </c>
      <c r="AF300" s="20" t="s">
        <v>333</v>
      </c>
      <c r="AG300" s="20" t="s">
        <v>344</v>
      </c>
      <c r="AH300" s="20" t="s">
        <v>344</v>
      </c>
      <c r="AI300" s="20" t="s">
        <v>333</v>
      </c>
      <c r="AJ300" s="20"/>
      <c r="AK300" s="20" t="s">
        <v>1663</v>
      </c>
      <c r="AL300" s="20" t="s">
        <v>1261</v>
      </c>
      <c r="AM300" s="20" t="s">
        <v>1663</v>
      </c>
      <c r="AN300" s="20" t="s">
        <v>349</v>
      </c>
      <c r="AO300" s="20"/>
      <c r="AP300" s="20" t="s">
        <v>1745</v>
      </c>
      <c r="AQ300" s="20" t="s">
        <v>1596</v>
      </c>
      <c r="AR300" s="20"/>
      <c r="AS300" s="20"/>
    </row>
    <row r="301">
      <c r="A301" s="20" t="s">
        <v>3525</v>
      </c>
      <c r="B301" s="20" t="s">
        <v>2995</v>
      </c>
      <c r="C301" s="20" t="s">
        <v>2996</v>
      </c>
      <c r="D301" s="20"/>
      <c r="E301" s="20" t="s">
        <v>49</v>
      </c>
      <c r="F301" s="80" t="s">
        <v>2998</v>
      </c>
      <c r="G301" s="75" t="s">
        <v>3000</v>
      </c>
      <c r="H301" s="20" t="s">
        <v>303</v>
      </c>
      <c r="I301" s="20" t="s">
        <v>303</v>
      </c>
      <c r="J301" s="20" t="s">
        <v>74</v>
      </c>
      <c r="K301" s="20" t="s">
        <v>55</v>
      </c>
      <c r="L301" s="20" t="s">
        <v>56</v>
      </c>
      <c r="M301" s="20" t="s">
        <v>57</v>
      </c>
      <c r="N301" s="20" t="s">
        <v>333</v>
      </c>
      <c r="O301" s="20" t="s">
        <v>1682</v>
      </c>
      <c r="P301" s="20" t="s">
        <v>1239</v>
      </c>
      <c r="Q301" s="20" t="s">
        <v>59</v>
      </c>
      <c r="R301" s="20" t="s">
        <v>333</v>
      </c>
      <c r="S301" s="20" t="s">
        <v>333</v>
      </c>
      <c r="T301" s="20"/>
      <c r="U301" s="20"/>
      <c r="V301" s="20" t="s">
        <v>344</v>
      </c>
      <c r="W301" s="20" t="s">
        <v>333</v>
      </c>
      <c r="X301" s="20" t="s">
        <v>333</v>
      </c>
      <c r="Y301" s="20" t="s">
        <v>333</v>
      </c>
      <c r="Z301" s="20" t="s">
        <v>333</v>
      </c>
      <c r="AA301" s="20" t="s">
        <v>333</v>
      </c>
      <c r="AB301" s="20" t="s">
        <v>333</v>
      </c>
      <c r="AC301" s="20"/>
      <c r="AD301" s="20" t="s">
        <v>333</v>
      </c>
      <c r="AE301" s="20" t="s">
        <v>333</v>
      </c>
      <c r="AF301" s="20" t="s">
        <v>333</v>
      </c>
      <c r="AG301" s="20" t="s">
        <v>344</v>
      </c>
      <c r="AH301" s="20" t="s">
        <v>344</v>
      </c>
      <c r="AI301" s="20" t="s">
        <v>333</v>
      </c>
      <c r="AJ301" s="20"/>
      <c r="AK301" s="20" t="s">
        <v>347</v>
      </c>
      <c r="AL301" s="20" t="s">
        <v>1556</v>
      </c>
      <c r="AM301" s="20" t="s">
        <v>347</v>
      </c>
      <c r="AN301" s="20" t="s">
        <v>349</v>
      </c>
      <c r="AO301" s="20"/>
      <c r="AP301" s="20" t="s">
        <v>1682</v>
      </c>
      <c r="AQ301" s="20" t="s">
        <v>1239</v>
      </c>
      <c r="AR301" s="20"/>
      <c r="AS301" s="20"/>
    </row>
    <row r="302">
      <c r="A302" s="20" t="s">
        <v>3527</v>
      </c>
      <c r="B302" s="20" t="s">
        <v>3026</v>
      </c>
      <c r="C302" s="20" t="s">
        <v>3027</v>
      </c>
      <c r="D302" s="20"/>
      <c r="E302" s="20" t="s">
        <v>49</v>
      </c>
      <c r="F302" s="29" t="s">
        <v>69</v>
      </c>
      <c r="G302" s="101" t="s">
        <v>3531</v>
      </c>
      <c r="H302" s="20" t="s">
        <v>1336</v>
      </c>
      <c r="I302" s="20" t="s">
        <v>1337</v>
      </c>
      <c r="J302" s="20" t="s">
        <v>74</v>
      </c>
      <c r="K302" s="20" t="s">
        <v>55</v>
      </c>
      <c r="L302" s="20" t="s">
        <v>56</v>
      </c>
      <c r="M302" s="20" t="s">
        <v>57</v>
      </c>
      <c r="N302" s="20" t="s">
        <v>333</v>
      </c>
      <c r="O302" s="20" t="s">
        <v>1720</v>
      </c>
      <c r="P302" s="20"/>
      <c r="Q302" s="20" t="s">
        <v>59</v>
      </c>
      <c r="R302" s="20" t="s">
        <v>333</v>
      </c>
      <c r="S302" s="20" t="s">
        <v>333</v>
      </c>
      <c r="T302" s="20"/>
      <c r="U302" s="20"/>
      <c r="V302" s="20" t="s">
        <v>344</v>
      </c>
      <c r="W302" s="20" t="s">
        <v>333</v>
      </c>
      <c r="X302" s="20" t="s">
        <v>333</v>
      </c>
      <c r="Y302" s="20" t="s">
        <v>333</v>
      </c>
      <c r="Z302" s="20" t="s">
        <v>333</v>
      </c>
      <c r="AA302" s="20" t="s">
        <v>333</v>
      </c>
      <c r="AB302" s="20" t="s">
        <v>333</v>
      </c>
      <c r="AC302" s="20"/>
      <c r="AD302" s="20" t="s">
        <v>333</v>
      </c>
      <c r="AE302" s="20" t="s">
        <v>333</v>
      </c>
      <c r="AF302" s="20" t="s">
        <v>333</v>
      </c>
      <c r="AG302" s="20" t="s">
        <v>344</v>
      </c>
      <c r="AH302" s="20" t="s">
        <v>344</v>
      </c>
      <c r="AI302" s="20" t="s">
        <v>333</v>
      </c>
      <c r="AJ302" s="20"/>
      <c r="AK302" s="20" t="s">
        <v>347</v>
      </c>
      <c r="AL302" s="20" t="s">
        <v>1663</v>
      </c>
      <c r="AM302" s="20" t="s">
        <v>347</v>
      </c>
      <c r="AN302" s="20" t="s">
        <v>349</v>
      </c>
      <c r="AO302" s="20"/>
      <c r="AP302" s="20" t="s">
        <v>1720</v>
      </c>
      <c r="AQ302" s="20" t="s">
        <v>349</v>
      </c>
      <c r="AR302" s="20"/>
      <c r="AS302" s="20"/>
    </row>
    <row r="303">
      <c r="A303" s="20" t="s">
        <v>3536</v>
      </c>
      <c r="B303" s="20" t="s">
        <v>644</v>
      </c>
      <c r="C303" s="20" t="s">
        <v>645</v>
      </c>
      <c r="D303" s="20"/>
      <c r="E303" s="20" t="s">
        <v>49</v>
      </c>
      <c r="F303" s="80" t="s">
        <v>3538</v>
      </c>
      <c r="G303" s="75" t="s">
        <v>3540</v>
      </c>
      <c r="H303" s="20" t="s">
        <v>651</v>
      </c>
      <c r="I303" s="20" t="s">
        <v>652</v>
      </c>
      <c r="J303" s="20" t="s">
        <v>652</v>
      </c>
      <c r="K303" s="20" t="s">
        <v>55</v>
      </c>
      <c r="L303" s="20" t="s">
        <v>56</v>
      </c>
      <c r="M303" s="20" t="s">
        <v>57</v>
      </c>
      <c r="N303" s="20" t="s">
        <v>333</v>
      </c>
      <c r="O303" s="20"/>
      <c r="P303" s="20"/>
      <c r="Q303" s="20" t="s">
        <v>59</v>
      </c>
      <c r="R303" s="20" t="s">
        <v>333</v>
      </c>
      <c r="S303" s="20" t="s">
        <v>333</v>
      </c>
      <c r="T303" s="20"/>
      <c r="U303" s="20"/>
      <c r="V303" s="20" t="s">
        <v>344</v>
      </c>
      <c r="W303" s="20" t="s">
        <v>333</v>
      </c>
      <c r="X303" s="20" t="s">
        <v>333</v>
      </c>
      <c r="Y303" s="20" t="s">
        <v>333</v>
      </c>
      <c r="Z303" s="20" t="s">
        <v>333</v>
      </c>
      <c r="AA303" s="20" t="s">
        <v>333</v>
      </c>
      <c r="AB303" s="20" t="s">
        <v>333</v>
      </c>
      <c r="AC303" s="20"/>
      <c r="AD303" s="20" t="s">
        <v>333</v>
      </c>
      <c r="AE303" s="20" t="s">
        <v>333</v>
      </c>
      <c r="AF303" s="20" t="s">
        <v>333</v>
      </c>
      <c r="AG303" s="20" t="s">
        <v>344</v>
      </c>
      <c r="AH303" s="20" t="s">
        <v>344</v>
      </c>
      <c r="AI303" s="20" t="s">
        <v>333</v>
      </c>
      <c r="AJ303" s="20"/>
      <c r="AK303" s="20" t="s">
        <v>349</v>
      </c>
      <c r="AL303" s="20" t="s">
        <v>349</v>
      </c>
      <c r="AM303" s="20" t="s">
        <v>349</v>
      </c>
      <c r="AN303" s="20" t="s">
        <v>349</v>
      </c>
      <c r="AO303" s="20"/>
      <c r="AP303" s="20" t="s">
        <v>349</v>
      </c>
      <c r="AQ303" s="20" t="s">
        <v>349</v>
      </c>
      <c r="AR303" s="20"/>
      <c r="AS303" s="20"/>
    </row>
    <row r="304">
      <c r="A304" s="20" t="s">
        <v>3542</v>
      </c>
      <c r="B304" s="20" t="s">
        <v>2483</v>
      </c>
      <c r="C304" s="20" t="s">
        <v>2484</v>
      </c>
      <c r="D304" s="20"/>
      <c r="E304" s="20" t="s">
        <v>49</v>
      </c>
      <c r="F304" s="29" t="s">
        <v>69</v>
      </c>
      <c r="G304" s="20" t="s">
        <v>3543</v>
      </c>
      <c r="H304" s="20" t="s">
        <v>513</v>
      </c>
      <c r="I304" s="20" t="s">
        <v>514</v>
      </c>
      <c r="J304" s="20" t="s">
        <v>74</v>
      </c>
      <c r="K304" s="20" t="s">
        <v>55</v>
      </c>
      <c r="L304" s="20" t="s">
        <v>56</v>
      </c>
      <c r="M304" s="20" t="s">
        <v>57</v>
      </c>
      <c r="N304" s="20" t="s">
        <v>333</v>
      </c>
      <c r="O304" s="20" t="s">
        <v>1682</v>
      </c>
      <c r="P304" s="20" t="s">
        <v>1559</v>
      </c>
      <c r="Q304" s="20" t="s">
        <v>59</v>
      </c>
      <c r="R304" s="20" t="s">
        <v>333</v>
      </c>
      <c r="S304" s="20" t="s">
        <v>333</v>
      </c>
      <c r="T304" s="20"/>
      <c r="U304" s="20"/>
      <c r="V304" s="20" t="s">
        <v>344</v>
      </c>
      <c r="W304" s="20" t="s">
        <v>333</v>
      </c>
      <c r="X304" s="20" t="s">
        <v>333</v>
      </c>
      <c r="Y304" s="20" t="s">
        <v>333</v>
      </c>
      <c r="Z304" s="20" t="s">
        <v>333</v>
      </c>
      <c r="AA304" s="20" t="s">
        <v>333</v>
      </c>
      <c r="AB304" s="20" t="s">
        <v>333</v>
      </c>
      <c r="AC304" s="20"/>
      <c r="AD304" s="20" t="s">
        <v>333</v>
      </c>
      <c r="AE304" s="20" t="s">
        <v>333</v>
      </c>
      <c r="AF304" s="20" t="s">
        <v>333</v>
      </c>
      <c r="AG304" s="20" t="s">
        <v>344</v>
      </c>
      <c r="AH304" s="20" t="s">
        <v>344</v>
      </c>
      <c r="AI304" s="20" t="s">
        <v>333</v>
      </c>
      <c r="AJ304" s="20"/>
      <c r="AK304" s="20" t="s">
        <v>347</v>
      </c>
      <c r="AL304" s="20" t="s">
        <v>348</v>
      </c>
      <c r="AM304" s="20" t="s">
        <v>347</v>
      </c>
      <c r="AN304" s="20" t="s">
        <v>349</v>
      </c>
      <c r="AO304" s="20"/>
      <c r="AP304" s="20" t="s">
        <v>1682</v>
      </c>
      <c r="AQ304" s="20" t="s">
        <v>1559</v>
      </c>
      <c r="AR304" s="20"/>
      <c r="AS304" s="20"/>
    </row>
    <row r="305">
      <c r="A305" s="20" t="s">
        <v>3547</v>
      </c>
      <c r="B305" s="20" t="s">
        <v>3548</v>
      </c>
      <c r="C305" s="20" t="s">
        <v>3549</v>
      </c>
      <c r="D305" s="20" t="s">
        <v>3550</v>
      </c>
      <c r="E305" s="20" t="s">
        <v>49</v>
      </c>
      <c r="F305" s="80" t="s">
        <v>3551</v>
      </c>
      <c r="G305" s="75" t="s">
        <v>3553</v>
      </c>
      <c r="H305" s="20" t="s">
        <v>123</v>
      </c>
      <c r="I305" s="20" t="s">
        <v>124</v>
      </c>
      <c r="J305" s="20" t="s">
        <v>74</v>
      </c>
      <c r="K305" s="20" t="s">
        <v>55</v>
      </c>
      <c r="L305" s="20" t="s">
        <v>56</v>
      </c>
      <c r="M305" s="20" t="s">
        <v>57</v>
      </c>
      <c r="N305" s="20" t="s">
        <v>333</v>
      </c>
      <c r="O305" s="20" t="s">
        <v>1596</v>
      </c>
      <c r="P305" s="20" t="s">
        <v>1238</v>
      </c>
      <c r="Q305" s="20" t="s">
        <v>59</v>
      </c>
      <c r="R305" s="20" t="s">
        <v>333</v>
      </c>
      <c r="S305" s="20" t="s">
        <v>333</v>
      </c>
      <c r="T305" s="20"/>
      <c r="U305" s="20"/>
      <c r="V305" s="20" t="s">
        <v>344</v>
      </c>
      <c r="W305" s="20" t="s">
        <v>333</v>
      </c>
      <c r="X305" s="20" t="s">
        <v>333</v>
      </c>
      <c r="Y305" s="20" t="s">
        <v>333</v>
      </c>
      <c r="Z305" s="20" t="s">
        <v>333</v>
      </c>
      <c r="AA305" s="20" t="s">
        <v>333</v>
      </c>
      <c r="AB305" s="20" t="s">
        <v>333</v>
      </c>
      <c r="AC305" s="20"/>
      <c r="AD305" s="20" t="s">
        <v>333</v>
      </c>
      <c r="AE305" s="20" t="s">
        <v>333</v>
      </c>
      <c r="AF305" s="20" t="s">
        <v>333</v>
      </c>
      <c r="AG305" s="20" t="s">
        <v>344</v>
      </c>
      <c r="AH305" s="20" t="s">
        <v>344</v>
      </c>
      <c r="AI305" s="20" t="s">
        <v>333</v>
      </c>
      <c r="AJ305" s="20"/>
      <c r="AK305" s="20" t="s">
        <v>347</v>
      </c>
      <c r="AL305" s="20" t="s">
        <v>1673</v>
      </c>
      <c r="AM305" s="20" t="s">
        <v>347</v>
      </c>
      <c r="AN305" s="20" t="s">
        <v>349</v>
      </c>
      <c r="AO305" s="20"/>
      <c r="AP305" s="20" t="s">
        <v>1596</v>
      </c>
      <c r="AQ305" s="20" t="s">
        <v>1238</v>
      </c>
      <c r="AR305" s="20"/>
      <c r="AS305" s="20"/>
    </row>
    <row r="306">
      <c r="A306" s="20" t="s">
        <v>3558</v>
      </c>
      <c r="B306" s="20" t="s">
        <v>1044</v>
      </c>
      <c r="C306" s="20" t="s">
        <v>1045</v>
      </c>
      <c r="D306" s="20"/>
      <c r="E306" s="20" t="s">
        <v>49</v>
      </c>
      <c r="F306" s="29" t="s">
        <v>69</v>
      </c>
      <c r="G306" s="20" t="s">
        <v>3562</v>
      </c>
      <c r="H306" s="20" t="s">
        <v>664</v>
      </c>
      <c r="I306" s="20" t="s">
        <v>665</v>
      </c>
      <c r="J306" s="20" t="s">
        <v>665</v>
      </c>
      <c r="K306" s="20" t="s">
        <v>55</v>
      </c>
      <c r="L306" s="20" t="s">
        <v>56</v>
      </c>
      <c r="M306" s="20" t="s">
        <v>57</v>
      </c>
      <c r="N306" s="20" t="s">
        <v>333</v>
      </c>
      <c r="O306" s="20" t="s">
        <v>1556</v>
      </c>
      <c r="P306" s="20"/>
      <c r="Q306" s="20" t="s">
        <v>59</v>
      </c>
      <c r="R306" s="20" t="s">
        <v>333</v>
      </c>
      <c r="S306" s="20" t="s">
        <v>333</v>
      </c>
      <c r="T306" s="20"/>
      <c r="U306" s="20"/>
      <c r="V306" s="20" t="s">
        <v>344</v>
      </c>
      <c r="W306" s="20" t="s">
        <v>333</v>
      </c>
      <c r="X306" s="20" t="s">
        <v>333</v>
      </c>
      <c r="Y306" s="20" t="s">
        <v>333</v>
      </c>
      <c r="Z306" s="20" t="s">
        <v>333</v>
      </c>
      <c r="AA306" s="20" t="s">
        <v>333</v>
      </c>
      <c r="AB306" s="20" t="s">
        <v>333</v>
      </c>
      <c r="AC306" s="20"/>
      <c r="AD306" s="20" t="s">
        <v>333</v>
      </c>
      <c r="AE306" s="20" t="s">
        <v>333</v>
      </c>
      <c r="AF306" s="20" t="s">
        <v>333</v>
      </c>
      <c r="AG306" s="20" t="s">
        <v>344</v>
      </c>
      <c r="AH306" s="20" t="s">
        <v>344</v>
      </c>
      <c r="AI306" s="20" t="s">
        <v>333</v>
      </c>
      <c r="AJ306" s="20"/>
      <c r="AK306" s="20" t="s">
        <v>1596</v>
      </c>
      <c r="AL306" s="20" t="s">
        <v>2019</v>
      </c>
      <c r="AM306" s="20" t="s">
        <v>1596</v>
      </c>
      <c r="AN306" s="20" t="s">
        <v>349</v>
      </c>
      <c r="AO306" s="20"/>
      <c r="AP306" s="20" t="s">
        <v>1556</v>
      </c>
      <c r="AQ306" s="20" t="s">
        <v>349</v>
      </c>
      <c r="AR306" s="20"/>
      <c r="AS306" s="20"/>
    </row>
    <row r="307">
      <c r="A307" s="20" t="s">
        <v>3566</v>
      </c>
      <c r="B307" s="20" t="s">
        <v>3567</v>
      </c>
      <c r="C307" s="20" t="s">
        <v>3568</v>
      </c>
      <c r="D307" s="20"/>
      <c r="E307" s="20" t="s">
        <v>49</v>
      </c>
      <c r="F307" s="80" t="s">
        <v>3569</v>
      </c>
      <c r="G307" s="75" t="s">
        <v>3574</v>
      </c>
      <c r="H307" s="20" t="s">
        <v>513</v>
      </c>
      <c r="I307" s="20" t="s">
        <v>514</v>
      </c>
      <c r="J307" s="20" t="s">
        <v>74</v>
      </c>
      <c r="K307" s="20" t="s">
        <v>55</v>
      </c>
      <c r="L307" s="20" t="s">
        <v>56</v>
      </c>
      <c r="M307" s="20" t="s">
        <v>57</v>
      </c>
      <c r="N307" s="20" t="s">
        <v>333</v>
      </c>
      <c r="O307" s="20" t="s">
        <v>1571</v>
      </c>
      <c r="P307" s="20" t="s">
        <v>1253</v>
      </c>
      <c r="Q307" s="20" t="s">
        <v>59</v>
      </c>
      <c r="R307" s="20" t="s">
        <v>333</v>
      </c>
      <c r="S307" s="20" t="s">
        <v>333</v>
      </c>
      <c r="T307" s="20"/>
      <c r="U307" s="20"/>
      <c r="V307" s="20" t="s">
        <v>344</v>
      </c>
      <c r="W307" s="20" t="s">
        <v>333</v>
      </c>
      <c r="X307" s="20" t="s">
        <v>333</v>
      </c>
      <c r="Y307" s="20" t="s">
        <v>333</v>
      </c>
      <c r="Z307" s="20" t="s">
        <v>333</v>
      </c>
      <c r="AA307" s="20" t="s">
        <v>333</v>
      </c>
      <c r="AB307" s="20" t="s">
        <v>333</v>
      </c>
      <c r="AC307" s="20"/>
      <c r="AD307" s="20" t="s">
        <v>333</v>
      </c>
      <c r="AE307" s="20" t="s">
        <v>333</v>
      </c>
      <c r="AF307" s="20" t="s">
        <v>333</v>
      </c>
      <c r="AG307" s="20" t="s">
        <v>344</v>
      </c>
      <c r="AH307" s="20" t="s">
        <v>344</v>
      </c>
      <c r="AI307" s="20" t="s">
        <v>333</v>
      </c>
      <c r="AJ307" s="20"/>
      <c r="AK307" s="20" t="s">
        <v>1717</v>
      </c>
      <c r="AL307" s="20" t="s">
        <v>1269</v>
      </c>
      <c r="AM307" s="20" t="s">
        <v>1717</v>
      </c>
      <c r="AN307" s="20" t="s">
        <v>349</v>
      </c>
      <c r="AO307" s="20"/>
      <c r="AP307" s="20" t="s">
        <v>1571</v>
      </c>
      <c r="AQ307" s="20" t="s">
        <v>1253</v>
      </c>
      <c r="AR307" s="20"/>
      <c r="AS307" s="20"/>
    </row>
    <row r="308">
      <c r="A308" s="32" t="s">
        <v>3577</v>
      </c>
      <c r="B308" s="32" t="s">
        <v>3578</v>
      </c>
      <c r="C308" s="32" t="s">
        <v>3579</v>
      </c>
      <c r="D308" s="48" t="s">
        <v>3580</v>
      </c>
      <c r="E308" s="32" t="s">
        <v>49</v>
      </c>
      <c r="F308" s="32" t="s">
        <v>3582</v>
      </c>
      <c r="G308" s="32" t="s">
        <v>3583</v>
      </c>
      <c r="H308" s="32" t="s">
        <v>123</v>
      </c>
      <c r="I308" s="32" t="s">
        <v>124</v>
      </c>
      <c r="J308" s="32" t="s">
        <v>74</v>
      </c>
      <c r="K308" s="32" t="s">
        <v>55</v>
      </c>
      <c r="L308" s="32" t="s">
        <v>56</v>
      </c>
      <c r="M308" s="32" t="s">
        <v>57</v>
      </c>
      <c r="N308" s="32" t="s">
        <v>333</v>
      </c>
      <c r="O308" s="32" t="s">
        <v>1559</v>
      </c>
      <c r="P308" s="32" t="s">
        <v>1941</v>
      </c>
      <c r="Q308" s="32" t="s">
        <v>59</v>
      </c>
      <c r="R308" s="32" t="s">
        <v>333</v>
      </c>
      <c r="S308" s="32" t="s">
        <v>333</v>
      </c>
      <c r="T308" s="32"/>
      <c r="U308" s="32"/>
      <c r="V308" s="32" t="s">
        <v>344</v>
      </c>
      <c r="W308" s="32" t="s">
        <v>333</v>
      </c>
      <c r="X308" s="32" t="s">
        <v>333</v>
      </c>
      <c r="Y308" s="32" t="s">
        <v>333</v>
      </c>
      <c r="Z308" s="32" t="s">
        <v>333</v>
      </c>
      <c r="AA308" s="32" t="s">
        <v>333</v>
      </c>
      <c r="AB308" s="32" t="s">
        <v>333</v>
      </c>
      <c r="AC308" s="32"/>
      <c r="AD308" s="32" t="s">
        <v>333</v>
      </c>
      <c r="AE308" s="32" t="s">
        <v>333</v>
      </c>
      <c r="AF308" s="32" t="s">
        <v>333</v>
      </c>
      <c r="AG308" s="32" t="s">
        <v>344</v>
      </c>
      <c r="AH308" s="32" t="s">
        <v>344</v>
      </c>
      <c r="AI308" s="32" t="s">
        <v>333</v>
      </c>
      <c r="AJ308" s="32"/>
      <c r="AK308" s="32" t="s">
        <v>347</v>
      </c>
      <c r="AL308" s="32" t="s">
        <v>1556</v>
      </c>
      <c r="AM308" s="32" t="s">
        <v>347</v>
      </c>
      <c r="AN308" s="32" t="s">
        <v>349</v>
      </c>
      <c r="AO308" s="32"/>
      <c r="AP308" s="32" t="s">
        <v>1559</v>
      </c>
      <c r="AQ308" s="32" t="s">
        <v>1941</v>
      </c>
      <c r="AR308" s="21" t="s">
        <v>1931</v>
      </c>
      <c r="AS308" s="21">
        <v>2.0</v>
      </c>
    </row>
    <row r="309">
      <c r="A309" s="20" t="s">
        <v>3589</v>
      </c>
      <c r="B309" s="20" t="s">
        <v>2930</v>
      </c>
      <c r="C309" s="20" t="s">
        <v>2931</v>
      </c>
      <c r="D309" s="20" t="s">
        <v>2932</v>
      </c>
      <c r="E309" s="20" t="s">
        <v>49</v>
      </c>
      <c r="F309" s="80" t="s">
        <v>3590</v>
      </c>
      <c r="G309" s="20" t="s">
        <v>3595</v>
      </c>
      <c r="H309" s="20" t="s">
        <v>142</v>
      </c>
      <c r="I309" s="20" t="s">
        <v>144</v>
      </c>
      <c r="J309" s="20" t="s">
        <v>74</v>
      </c>
      <c r="K309" s="20" t="s">
        <v>55</v>
      </c>
      <c r="L309" s="20" t="s">
        <v>56</v>
      </c>
      <c r="M309" s="20" t="s">
        <v>57</v>
      </c>
      <c r="N309" s="20" t="s">
        <v>333</v>
      </c>
      <c r="O309" s="20" t="s">
        <v>1795</v>
      </c>
      <c r="P309" s="20" t="s">
        <v>1682</v>
      </c>
      <c r="Q309" s="20" t="s">
        <v>59</v>
      </c>
      <c r="R309" s="20" t="s">
        <v>333</v>
      </c>
      <c r="S309" s="20" t="s">
        <v>333</v>
      </c>
      <c r="T309" s="20" t="s">
        <v>275</v>
      </c>
      <c r="U309" s="20"/>
      <c r="V309" s="20" t="s">
        <v>344</v>
      </c>
      <c r="W309" s="20" t="s">
        <v>333</v>
      </c>
      <c r="X309" s="20" t="s">
        <v>333</v>
      </c>
      <c r="Y309" s="20" t="s">
        <v>333</v>
      </c>
      <c r="Z309" s="20" t="s">
        <v>333</v>
      </c>
      <c r="AA309" s="20" t="s">
        <v>333</v>
      </c>
      <c r="AB309" s="20" t="s">
        <v>333</v>
      </c>
      <c r="AC309" s="20"/>
      <c r="AD309" s="20" t="s">
        <v>333</v>
      </c>
      <c r="AE309" s="20" t="s">
        <v>333</v>
      </c>
      <c r="AF309" s="20" t="s">
        <v>333</v>
      </c>
      <c r="AG309" s="20" t="s">
        <v>344</v>
      </c>
      <c r="AH309" s="20" t="s">
        <v>344</v>
      </c>
      <c r="AI309" s="20" t="s">
        <v>333</v>
      </c>
      <c r="AJ309" s="20"/>
      <c r="AK309" s="20" t="s">
        <v>1673</v>
      </c>
      <c r="AL309" s="20" t="s">
        <v>1244</v>
      </c>
      <c r="AM309" s="20" t="s">
        <v>1673</v>
      </c>
      <c r="AN309" s="20" t="s">
        <v>349</v>
      </c>
      <c r="AO309" s="20"/>
      <c r="AP309" s="20" t="s">
        <v>1795</v>
      </c>
      <c r="AQ309" s="20" t="s">
        <v>1682</v>
      </c>
      <c r="AR309" s="20"/>
      <c r="AS309" s="20"/>
    </row>
    <row r="310">
      <c r="A310" s="20" t="s">
        <v>3596</v>
      </c>
      <c r="B310" s="20" t="s">
        <v>3598</v>
      </c>
      <c r="C310" s="20" t="s">
        <v>3599</v>
      </c>
      <c r="D310" s="20"/>
      <c r="E310" s="20" t="s">
        <v>49</v>
      </c>
      <c r="F310" s="80" t="s">
        <v>3600</v>
      </c>
      <c r="G310" s="75" t="s">
        <v>3601</v>
      </c>
      <c r="H310" s="20" t="s">
        <v>1440</v>
      </c>
      <c r="I310" s="20" t="s">
        <v>1441</v>
      </c>
      <c r="J310" s="20" t="s">
        <v>74</v>
      </c>
      <c r="K310" s="20" t="s">
        <v>55</v>
      </c>
      <c r="L310" s="20" t="s">
        <v>56</v>
      </c>
      <c r="M310" s="20" t="s">
        <v>57</v>
      </c>
      <c r="N310" s="20" t="s">
        <v>333</v>
      </c>
      <c r="O310" s="20" t="s">
        <v>3602</v>
      </c>
      <c r="P310" s="20" t="s">
        <v>3602</v>
      </c>
      <c r="Q310" s="20" t="s">
        <v>59</v>
      </c>
      <c r="R310" s="20" t="s">
        <v>333</v>
      </c>
      <c r="S310" s="20" t="s">
        <v>333</v>
      </c>
      <c r="T310" s="20"/>
      <c r="U310" s="20"/>
      <c r="V310" s="20" t="s">
        <v>344</v>
      </c>
      <c r="W310" s="20" t="s">
        <v>333</v>
      </c>
      <c r="X310" s="20" t="s">
        <v>333</v>
      </c>
      <c r="Y310" s="20" t="s">
        <v>333</v>
      </c>
      <c r="Z310" s="20" t="s">
        <v>333</v>
      </c>
      <c r="AA310" s="20" t="s">
        <v>333</v>
      </c>
      <c r="AB310" s="20" t="s">
        <v>333</v>
      </c>
      <c r="AC310" s="20"/>
      <c r="AD310" s="20" t="s">
        <v>333</v>
      </c>
      <c r="AE310" s="20" t="s">
        <v>333</v>
      </c>
      <c r="AF310" s="20" t="s">
        <v>333</v>
      </c>
      <c r="AG310" s="20" t="s">
        <v>344</v>
      </c>
      <c r="AH310" s="20" t="s">
        <v>344</v>
      </c>
      <c r="AI310" s="20" t="s">
        <v>333</v>
      </c>
      <c r="AJ310" s="20"/>
      <c r="AK310" s="20" t="s">
        <v>1244</v>
      </c>
      <c r="AL310" s="20" t="s">
        <v>1586</v>
      </c>
      <c r="AM310" s="20" t="s">
        <v>1244</v>
      </c>
      <c r="AN310" s="20" t="s">
        <v>349</v>
      </c>
      <c r="AO310" s="20"/>
      <c r="AP310" s="20" t="s">
        <v>3602</v>
      </c>
      <c r="AQ310" s="20" t="s">
        <v>3602</v>
      </c>
      <c r="AR310" s="20"/>
      <c r="AS310" s="20"/>
    </row>
    <row r="311">
      <c r="A311" s="20" t="s">
        <v>3605</v>
      </c>
      <c r="B311" s="20" t="s">
        <v>3136</v>
      </c>
      <c r="C311" s="20" t="s">
        <v>3137</v>
      </c>
      <c r="D311" s="20"/>
      <c r="E311" s="20" t="s">
        <v>49</v>
      </c>
      <c r="F311" s="80" t="s">
        <v>3139</v>
      </c>
      <c r="G311" s="75" t="s">
        <v>3141</v>
      </c>
      <c r="H311" s="20" t="s">
        <v>2659</v>
      </c>
      <c r="I311" s="20" t="s">
        <v>2660</v>
      </c>
      <c r="J311" s="20" t="s">
        <v>74</v>
      </c>
      <c r="K311" s="20" t="s">
        <v>55</v>
      </c>
      <c r="L311" s="20" t="s">
        <v>56</v>
      </c>
      <c r="M311" s="20" t="s">
        <v>57</v>
      </c>
      <c r="N311" s="20" t="s">
        <v>333</v>
      </c>
      <c r="O311" s="20" t="s">
        <v>1941</v>
      </c>
      <c r="P311" s="20" t="s">
        <v>348</v>
      </c>
      <c r="Q311" s="20" t="s">
        <v>59</v>
      </c>
      <c r="R311" s="20" t="s">
        <v>333</v>
      </c>
      <c r="S311" s="20" t="s">
        <v>333</v>
      </c>
      <c r="T311" s="20"/>
      <c r="U311" s="20"/>
      <c r="V311" s="20" t="s">
        <v>344</v>
      </c>
      <c r="W311" s="20" t="s">
        <v>333</v>
      </c>
      <c r="X311" s="20" t="s">
        <v>333</v>
      </c>
      <c r="Y311" s="20" t="s">
        <v>333</v>
      </c>
      <c r="Z311" s="20" t="s">
        <v>333</v>
      </c>
      <c r="AA311" s="20" t="s">
        <v>333</v>
      </c>
      <c r="AB311" s="20" t="s">
        <v>333</v>
      </c>
      <c r="AC311" s="20"/>
      <c r="AD311" s="20" t="s">
        <v>333</v>
      </c>
      <c r="AE311" s="20" t="s">
        <v>333</v>
      </c>
      <c r="AF311" s="20" t="s">
        <v>333</v>
      </c>
      <c r="AG311" s="20" t="s">
        <v>344</v>
      </c>
      <c r="AH311" s="20" t="s">
        <v>344</v>
      </c>
      <c r="AI311" s="20" t="s">
        <v>333</v>
      </c>
      <c r="AJ311" s="20"/>
      <c r="AK311" s="20" t="s">
        <v>347</v>
      </c>
      <c r="AL311" s="20" t="s">
        <v>1596</v>
      </c>
      <c r="AM311" s="20" t="s">
        <v>347</v>
      </c>
      <c r="AN311" s="20" t="s">
        <v>349</v>
      </c>
      <c r="AO311" s="20"/>
      <c r="AP311" s="20" t="s">
        <v>1941</v>
      </c>
      <c r="AQ311" s="20" t="s">
        <v>348</v>
      </c>
      <c r="AR311" s="20"/>
      <c r="AS311" s="20"/>
    </row>
    <row r="312">
      <c r="A312" s="20" t="s">
        <v>3609</v>
      </c>
      <c r="B312" s="20" t="s">
        <v>3050</v>
      </c>
      <c r="C312" s="20" t="s">
        <v>3051</v>
      </c>
      <c r="D312" s="20"/>
      <c r="E312" s="20" t="s">
        <v>49</v>
      </c>
      <c r="F312" s="80" t="s">
        <v>3610</v>
      </c>
      <c r="G312" s="20" t="s">
        <v>3612</v>
      </c>
      <c r="H312" s="20" t="s">
        <v>513</v>
      </c>
      <c r="I312" s="20" t="s">
        <v>514</v>
      </c>
      <c r="J312" s="20" t="s">
        <v>74</v>
      </c>
      <c r="K312" s="20" t="s">
        <v>55</v>
      </c>
      <c r="L312" s="20" t="s">
        <v>56</v>
      </c>
      <c r="M312" s="20" t="s">
        <v>57</v>
      </c>
      <c r="N312" s="20" t="s">
        <v>333</v>
      </c>
      <c r="O312" s="20" t="s">
        <v>1239</v>
      </c>
      <c r="P312" s="20" t="s">
        <v>1720</v>
      </c>
      <c r="Q312" s="20" t="s">
        <v>59</v>
      </c>
      <c r="R312" s="20" t="s">
        <v>333</v>
      </c>
      <c r="S312" s="20" t="s">
        <v>333</v>
      </c>
      <c r="T312" s="20"/>
      <c r="U312" s="20"/>
      <c r="V312" s="20" t="s">
        <v>344</v>
      </c>
      <c r="W312" s="20" t="s">
        <v>333</v>
      </c>
      <c r="X312" s="20" t="s">
        <v>333</v>
      </c>
      <c r="Y312" s="20" t="s">
        <v>333</v>
      </c>
      <c r="Z312" s="20" t="s">
        <v>333</v>
      </c>
      <c r="AA312" s="20" t="s">
        <v>333</v>
      </c>
      <c r="AB312" s="20" t="s">
        <v>333</v>
      </c>
      <c r="AC312" s="20"/>
      <c r="AD312" s="20" t="s">
        <v>333</v>
      </c>
      <c r="AE312" s="20" t="s">
        <v>333</v>
      </c>
      <c r="AF312" s="20" t="s">
        <v>333</v>
      </c>
      <c r="AG312" s="20" t="s">
        <v>344</v>
      </c>
      <c r="AH312" s="20" t="s">
        <v>344</v>
      </c>
      <c r="AI312" s="20" t="s">
        <v>333</v>
      </c>
      <c r="AJ312" s="20"/>
      <c r="AK312" s="20" t="s">
        <v>1663</v>
      </c>
      <c r="AL312" s="20" t="s">
        <v>1269</v>
      </c>
      <c r="AM312" s="20" t="s">
        <v>1663</v>
      </c>
      <c r="AN312" s="20" t="s">
        <v>349</v>
      </c>
      <c r="AO312" s="20"/>
      <c r="AP312" s="20" t="s">
        <v>1239</v>
      </c>
      <c r="AQ312" s="20" t="s">
        <v>1720</v>
      </c>
      <c r="AR312" s="20"/>
      <c r="AS312" s="20"/>
    </row>
    <row r="313">
      <c r="A313" s="20" t="s">
        <v>3379</v>
      </c>
      <c r="B313" s="20" t="s">
        <v>1891</v>
      </c>
      <c r="C313" s="20" t="s">
        <v>1892</v>
      </c>
      <c r="D313" s="20"/>
      <c r="E313" s="20" t="s">
        <v>49</v>
      </c>
      <c r="F313" s="80" t="s">
        <v>3613</v>
      </c>
      <c r="G313" s="75" t="s">
        <v>3617</v>
      </c>
      <c r="H313" s="20" t="s">
        <v>738</v>
      </c>
      <c r="I313" s="20" t="s">
        <v>739</v>
      </c>
      <c r="J313" s="20" t="s">
        <v>74</v>
      </c>
      <c r="K313" s="20" t="s">
        <v>55</v>
      </c>
      <c r="L313" s="20" t="s">
        <v>56</v>
      </c>
      <c r="M313" s="20" t="s">
        <v>57</v>
      </c>
      <c r="N313" s="20" t="s">
        <v>333</v>
      </c>
      <c r="O313" s="20" t="s">
        <v>1795</v>
      </c>
      <c r="P313" s="20" t="s">
        <v>1682</v>
      </c>
      <c r="Q313" s="20" t="s">
        <v>59</v>
      </c>
      <c r="R313" s="20" t="s">
        <v>333</v>
      </c>
      <c r="S313" s="20" t="s">
        <v>333</v>
      </c>
      <c r="T313" s="20"/>
      <c r="U313" s="20"/>
      <c r="V313" s="20" t="s">
        <v>344</v>
      </c>
      <c r="W313" s="20" t="s">
        <v>333</v>
      </c>
      <c r="X313" s="20" t="s">
        <v>333</v>
      </c>
      <c r="Y313" s="20" t="s">
        <v>333</v>
      </c>
      <c r="Z313" s="20" t="s">
        <v>333</v>
      </c>
      <c r="AA313" s="20" t="s">
        <v>333</v>
      </c>
      <c r="AB313" s="20" t="s">
        <v>333</v>
      </c>
      <c r="AC313" s="20"/>
      <c r="AD313" s="20" t="s">
        <v>333</v>
      </c>
      <c r="AE313" s="20" t="s">
        <v>333</v>
      </c>
      <c r="AF313" s="20" t="s">
        <v>333</v>
      </c>
      <c r="AG313" s="20" t="s">
        <v>344</v>
      </c>
      <c r="AH313" s="20" t="s">
        <v>344</v>
      </c>
      <c r="AI313" s="20" t="s">
        <v>333</v>
      </c>
      <c r="AJ313" s="20"/>
      <c r="AK313" s="20" t="s">
        <v>1244</v>
      </c>
      <c r="AL313" s="20" t="s">
        <v>1556</v>
      </c>
      <c r="AM313" s="20" t="s">
        <v>1244</v>
      </c>
      <c r="AN313" s="20" t="s">
        <v>349</v>
      </c>
      <c r="AO313" s="20"/>
      <c r="AP313" s="20" t="s">
        <v>1795</v>
      </c>
      <c r="AQ313" s="20" t="s">
        <v>1682</v>
      </c>
      <c r="AR313" s="20"/>
      <c r="AS313" s="20"/>
    </row>
    <row r="314">
      <c r="A314" s="20" t="s">
        <v>1745</v>
      </c>
      <c r="B314" s="20" t="s">
        <v>2558</v>
      </c>
      <c r="C314" s="20" t="s">
        <v>2559</v>
      </c>
      <c r="D314" s="20"/>
      <c r="E314" s="20" t="s">
        <v>49</v>
      </c>
      <c r="F314" s="80" t="s">
        <v>2561</v>
      </c>
      <c r="G314" s="75" t="s">
        <v>2563</v>
      </c>
      <c r="H314" s="20" t="s">
        <v>2564</v>
      </c>
      <c r="I314" s="20" t="s">
        <v>2565</v>
      </c>
      <c r="J314" s="20" t="s">
        <v>74</v>
      </c>
      <c r="K314" s="20" t="s">
        <v>55</v>
      </c>
      <c r="L314" s="20" t="s">
        <v>56</v>
      </c>
      <c r="M314" s="20" t="s">
        <v>57</v>
      </c>
      <c r="N314" s="20" t="s">
        <v>333</v>
      </c>
      <c r="O314" s="20"/>
      <c r="P314" s="20"/>
      <c r="Q314" s="20" t="s">
        <v>59</v>
      </c>
      <c r="R314" s="20" t="s">
        <v>333</v>
      </c>
      <c r="S314" s="20" t="s">
        <v>333</v>
      </c>
      <c r="T314" s="20"/>
      <c r="U314" s="20"/>
      <c r="V314" s="20" t="s">
        <v>344</v>
      </c>
      <c r="W314" s="20" t="s">
        <v>333</v>
      </c>
      <c r="X314" s="20" t="s">
        <v>333</v>
      </c>
      <c r="Y314" s="20" t="s">
        <v>333</v>
      </c>
      <c r="Z314" s="20" t="s">
        <v>333</v>
      </c>
      <c r="AA314" s="20" t="s">
        <v>333</v>
      </c>
      <c r="AB314" s="20" t="s">
        <v>333</v>
      </c>
      <c r="AC314" s="20"/>
      <c r="AD314" s="20" t="s">
        <v>333</v>
      </c>
      <c r="AE314" s="20" t="s">
        <v>333</v>
      </c>
      <c r="AF314" s="20" t="s">
        <v>333</v>
      </c>
      <c r="AG314" s="20" t="s">
        <v>344</v>
      </c>
      <c r="AH314" s="20" t="s">
        <v>344</v>
      </c>
      <c r="AI314" s="20" t="s">
        <v>333</v>
      </c>
      <c r="AJ314" s="20"/>
      <c r="AK314" s="20" t="s">
        <v>349</v>
      </c>
      <c r="AL314" s="20" t="s">
        <v>349</v>
      </c>
      <c r="AM314" s="20" t="s">
        <v>349</v>
      </c>
      <c r="AN314" s="20" t="s">
        <v>349</v>
      </c>
      <c r="AO314" s="20"/>
      <c r="AP314" s="20" t="s">
        <v>349</v>
      </c>
      <c r="AQ314" s="20" t="s">
        <v>349</v>
      </c>
      <c r="AR314" s="20"/>
      <c r="AS314" s="20"/>
    </row>
    <row r="315">
      <c r="A315" s="32" t="s">
        <v>3625</v>
      </c>
      <c r="B315" s="32" t="s">
        <v>3626</v>
      </c>
      <c r="C315" s="32" t="s">
        <v>3627</v>
      </c>
      <c r="D315" s="48" t="s">
        <v>3628</v>
      </c>
      <c r="E315" s="32" t="s">
        <v>49</v>
      </c>
      <c r="F315" s="32" t="s">
        <v>2471</v>
      </c>
      <c r="G315" s="32" t="s">
        <v>2474</v>
      </c>
      <c r="H315" s="32" t="s">
        <v>142</v>
      </c>
      <c r="I315" s="32" t="s">
        <v>144</v>
      </c>
      <c r="J315" s="32" t="s">
        <v>74</v>
      </c>
      <c r="K315" s="32" t="s">
        <v>55</v>
      </c>
      <c r="L315" s="32" t="s">
        <v>56</v>
      </c>
      <c r="M315" s="32" t="s">
        <v>57</v>
      </c>
      <c r="N315" s="32" t="s">
        <v>333</v>
      </c>
      <c r="O315" s="32" t="s">
        <v>1238</v>
      </c>
      <c r="P315" s="32" t="s">
        <v>1238</v>
      </c>
      <c r="Q315" s="32" t="s">
        <v>59</v>
      </c>
      <c r="R315" s="32" t="s">
        <v>333</v>
      </c>
      <c r="S315" s="32" t="s">
        <v>333</v>
      </c>
      <c r="T315" s="32"/>
      <c r="U315" s="32"/>
      <c r="V315" s="32" t="s">
        <v>344</v>
      </c>
      <c r="W315" s="32" t="s">
        <v>333</v>
      </c>
      <c r="X315" s="32" t="s">
        <v>333</v>
      </c>
      <c r="Y315" s="32" t="s">
        <v>333</v>
      </c>
      <c r="Z315" s="32" t="s">
        <v>333</v>
      </c>
      <c r="AA315" s="32" t="s">
        <v>333</v>
      </c>
      <c r="AB315" s="32" t="s">
        <v>333</v>
      </c>
      <c r="AC315" s="32"/>
      <c r="AD315" s="32" t="s">
        <v>333</v>
      </c>
      <c r="AE315" s="32" t="s">
        <v>333</v>
      </c>
      <c r="AF315" s="32" t="s">
        <v>333</v>
      </c>
      <c r="AG315" s="32" t="s">
        <v>344</v>
      </c>
      <c r="AH315" s="32" t="s">
        <v>344</v>
      </c>
      <c r="AI315" s="32" t="s">
        <v>333</v>
      </c>
      <c r="AJ315" s="32"/>
      <c r="AK315" s="32" t="s">
        <v>347</v>
      </c>
      <c r="AL315" s="32" t="s">
        <v>1556</v>
      </c>
      <c r="AM315" s="32" t="s">
        <v>347</v>
      </c>
      <c r="AN315" s="32" t="s">
        <v>349</v>
      </c>
      <c r="AO315" s="32"/>
      <c r="AP315" s="32" t="s">
        <v>1238</v>
      </c>
      <c r="AQ315" s="32" t="s">
        <v>1238</v>
      </c>
      <c r="AR315" s="21" t="s">
        <v>1931</v>
      </c>
      <c r="AS315" s="21">
        <v>2.0</v>
      </c>
    </row>
    <row r="316">
      <c r="A316" s="20" t="s">
        <v>3630</v>
      </c>
      <c r="B316" s="20" t="s">
        <v>3591</v>
      </c>
      <c r="C316" s="20" t="s">
        <v>3592</v>
      </c>
      <c r="D316" s="20"/>
      <c r="E316" s="20" t="s">
        <v>49</v>
      </c>
      <c r="F316" s="80" t="s">
        <v>3594</v>
      </c>
      <c r="G316" s="20" t="s">
        <v>3631</v>
      </c>
      <c r="H316" s="20" t="s">
        <v>285</v>
      </c>
      <c r="I316" s="20" t="s">
        <v>286</v>
      </c>
      <c r="J316" s="20" t="s">
        <v>74</v>
      </c>
      <c r="K316" s="20" t="s">
        <v>55</v>
      </c>
      <c r="L316" s="20" t="s">
        <v>56</v>
      </c>
      <c r="M316" s="20" t="s">
        <v>57</v>
      </c>
      <c r="N316" s="20" t="s">
        <v>333</v>
      </c>
      <c r="O316" s="20" t="s">
        <v>1238</v>
      </c>
      <c r="P316" s="20" t="s">
        <v>1682</v>
      </c>
      <c r="Q316" s="20" t="s">
        <v>59</v>
      </c>
      <c r="R316" s="20" t="s">
        <v>333</v>
      </c>
      <c r="S316" s="20" t="s">
        <v>333</v>
      </c>
      <c r="T316" s="20"/>
      <c r="U316" s="20"/>
      <c r="V316" s="20" t="s">
        <v>344</v>
      </c>
      <c r="W316" s="20" t="s">
        <v>333</v>
      </c>
      <c r="X316" s="20" t="s">
        <v>333</v>
      </c>
      <c r="Y316" s="20" t="s">
        <v>333</v>
      </c>
      <c r="Z316" s="20" t="s">
        <v>333</v>
      </c>
      <c r="AA316" s="20" t="s">
        <v>333</v>
      </c>
      <c r="AB316" s="20" t="s">
        <v>333</v>
      </c>
      <c r="AC316" s="20"/>
      <c r="AD316" s="20" t="s">
        <v>333</v>
      </c>
      <c r="AE316" s="20" t="s">
        <v>333</v>
      </c>
      <c r="AF316" s="20" t="s">
        <v>333</v>
      </c>
      <c r="AG316" s="20" t="s">
        <v>344</v>
      </c>
      <c r="AH316" s="20" t="s">
        <v>344</v>
      </c>
      <c r="AI316" s="20" t="s">
        <v>333</v>
      </c>
      <c r="AJ316" s="20"/>
      <c r="AK316" s="20" t="s">
        <v>1244</v>
      </c>
      <c r="AL316" s="20" t="s">
        <v>1586</v>
      </c>
      <c r="AM316" s="20" t="s">
        <v>1244</v>
      </c>
      <c r="AN316" s="20" t="s">
        <v>349</v>
      </c>
      <c r="AO316" s="20"/>
      <c r="AP316" s="20" t="s">
        <v>1238</v>
      </c>
      <c r="AQ316" s="20" t="s">
        <v>1682</v>
      </c>
      <c r="AR316" s="20"/>
      <c r="AS316" s="20"/>
    </row>
    <row r="317">
      <c r="A317" s="20" t="s">
        <v>3635</v>
      </c>
      <c r="B317" s="20" t="s">
        <v>3636</v>
      </c>
      <c r="C317" s="20" t="s">
        <v>3637</v>
      </c>
      <c r="D317" s="20" t="s">
        <v>3638</v>
      </c>
      <c r="E317" s="20" t="s">
        <v>49</v>
      </c>
      <c r="F317" s="80" t="s">
        <v>3639</v>
      </c>
      <c r="G317" s="29" t="s">
        <v>69</v>
      </c>
      <c r="H317" s="20" t="s">
        <v>303</v>
      </c>
      <c r="I317" s="20" t="s">
        <v>303</v>
      </c>
      <c r="J317" s="20" t="s">
        <v>74</v>
      </c>
      <c r="K317" s="20" t="s">
        <v>55</v>
      </c>
      <c r="L317" s="20" t="s">
        <v>56</v>
      </c>
      <c r="M317" s="20" t="s">
        <v>57</v>
      </c>
      <c r="N317" s="20" t="s">
        <v>333</v>
      </c>
      <c r="O317" s="20" t="s">
        <v>1795</v>
      </c>
      <c r="P317" s="20" t="s">
        <v>1253</v>
      </c>
      <c r="Q317" s="20" t="s">
        <v>59</v>
      </c>
      <c r="R317" s="20" t="s">
        <v>333</v>
      </c>
      <c r="S317" s="20" t="s">
        <v>333</v>
      </c>
      <c r="T317" s="20"/>
      <c r="U317" s="20"/>
      <c r="V317" s="20" t="s">
        <v>344</v>
      </c>
      <c r="W317" s="20" t="s">
        <v>333</v>
      </c>
      <c r="X317" s="20" t="s">
        <v>333</v>
      </c>
      <c r="Y317" s="20" t="s">
        <v>333</v>
      </c>
      <c r="Z317" s="20" t="s">
        <v>333</v>
      </c>
      <c r="AA317" s="20" t="s">
        <v>333</v>
      </c>
      <c r="AB317" s="20" t="s">
        <v>333</v>
      </c>
      <c r="AC317" s="20"/>
      <c r="AD317" s="20" t="s">
        <v>333</v>
      </c>
      <c r="AE317" s="20" t="s">
        <v>333</v>
      </c>
      <c r="AF317" s="20" t="s">
        <v>333</v>
      </c>
      <c r="AG317" s="20" t="s">
        <v>344</v>
      </c>
      <c r="AH317" s="20" t="s">
        <v>344</v>
      </c>
      <c r="AI317" s="20" t="s">
        <v>333</v>
      </c>
      <c r="AJ317" s="20"/>
      <c r="AK317" s="20" t="s">
        <v>1587</v>
      </c>
      <c r="AL317" s="20" t="s">
        <v>2452</v>
      </c>
      <c r="AM317" s="20" t="s">
        <v>1587</v>
      </c>
      <c r="AN317" s="20" t="s">
        <v>349</v>
      </c>
      <c r="AO317" s="20"/>
      <c r="AP317" s="20" t="s">
        <v>1795</v>
      </c>
      <c r="AQ317" s="20" t="s">
        <v>1253</v>
      </c>
      <c r="AR317" s="20"/>
      <c r="AS317" s="20"/>
    </row>
    <row r="318">
      <c r="A318" s="20" t="s">
        <v>3642</v>
      </c>
      <c r="B318" s="20" t="s">
        <v>2395</v>
      </c>
      <c r="C318" s="20" t="s">
        <v>2396</v>
      </c>
      <c r="D318" s="20"/>
      <c r="E318" s="20" t="s">
        <v>49</v>
      </c>
      <c r="F318" s="80" t="s">
        <v>3643</v>
      </c>
      <c r="G318" s="101" t="s">
        <v>3645</v>
      </c>
      <c r="H318" s="20" t="s">
        <v>1385</v>
      </c>
      <c r="I318" s="20" t="s">
        <v>1386</v>
      </c>
      <c r="J318" s="20" t="s">
        <v>74</v>
      </c>
      <c r="K318" s="20" t="s">
        <v>55</v>
      </c>
      <c r="L318" s="20" t="s">
        <v>56</v>
      </c>
      <c r="M318" s="20" t="s">
        <v>57</v>
      </c>
      <c r="N318" s="20" t="s">
        <v>333</v>
      </c>
      <c r="O318" s="20" t="s">
        <v>1238</v>
      </c>
      <c r="P318" s="20" t="s">
        <v>1556</v>
      </c>
      <c r="Q318" s="20" t="s">
        <v>59</v>
      </c>
      <c r="R318" s="20" t="s">
        <v>333</v>
      </c>
      <c r="S318" s="20" t="s">
        <v>333</v>
      </c>
      <c r="T318" s="20"/>
      <c r="U318" s="20"/>
      <c r="V318" s="20" t="s">
        <v>344</v>
      </c>
      <c r="W318" s="20" t="s">
        <v>333</v>
      </c>
      <c r="X318" s="20" t="s">
        <v>333</v>
      </c>
      <c r="Y318" s="20" t="s">
        <v>333</v>
      </c>
      <c r="Z318" s="20" t="s">
        <v>333</v>
      </c>
      <c r="AA318" s="20" t="s">
        <v>333</v>
      </c>
      <c r="AB318" s="20" t="s">
        <v>333</v>
      </c>
      <c r="AC318" s="20"/>
      <c r="AD318" s="20" t="s">
        <v>333</v>
      </c>
      <c r="AE318" s="20" t="s">
        <v>333</v>
      </c>
      <c r="AF318" s="20" t="s">
        <v>333</v>
      </c>
      <c r="AG318" s="20" t="s">
        <v>344</v>
      </c>
      <c r="AH318" s="20" t="s">
        <v>344</v>
      </c>
      <c r="AI318" s="20" t="s">
        <v>333</v>
      </c>
      <c r="AJ318" s="20"/>
      <c r="AK318" s="20" t="s">
        <v>1244</v>
      </c>
      <c r="AL318" s="20" t="s">
        <v>1556</v>
      </c>
      <c r="AM318" s="20" t="s">
        <v>1244</v>
      </c>
      <c r="AN318" s="20" t="s">
        <v>349</v>
      </c>
      <c r="AO318" s="20"/>
      <c r="AP318" s="20" t="s">
        <v>1238</v>
      </c>
      <c r="AQ318" s="20" t="s">
        <v>1556</v>
      </c>
      <c r="AR318" s="20"/>
      <c r="AS318" s="20"/>
    </row>
    <row r="319">
      <c r="A319" s="20" t="s">
        <v>3650</v>
      </c>
      <c r="B319" s="20" t="s">
        <v>3651</v>
      </c>
      <c r="C319" s="20" t="s">
        <v>3652</v>
      </c>
      <c r="D319" s="20"/>
      <c r="E319" s="20" t="s">
        <v>49</v>
      </c>
      <c r="F319" s="80" t="s">
        <v>3653</v>
      </c>
      <c r="G319" s="75" t="s">
        <v>3655</v>
      </c>
      <c r="H319" s="20" t="s">
        <v>586</v>
      </c>
      <c r="I319" s="20" t="s">
        <v>587</v>
      </c>
      <c r="J319" s="20" t="s">
        <v>74</v>
      </c>
      <c r="K319" s="20" t="s">
        <v>55</v>
      </c>
      <c r="L319" s="20" t="s">
        <v>56</v>
      </c>
      <c r="M319" s="20" t="s">
        <v>57</v>
      </c>
      <c r="N319" s="20" t="s">
        <v>333</v>
      </c>
      <c r="O319" s="20" t="s">
        <v>1238</v>
      </c>
      <c r="P319" s="20" t="s">
        <v>1239</v>
      </c>
      <c r="Q319" s="20" t="s">
        <v>59</v>
      </c>
      <c r="R319" s="20" t="s">
        <v>333</v>
      </c>
      <c r="S319" s="20" t="s">
        <v>333</v>
      </c>
      <c r="T319" s="20"/>
      <c r="U319" s="20"/>
      <c r="V319" s="20" t="s">
        <v>344</v>
      </c>
      <c r="W319" s="20" t="s">
        <v>333</v>
      </c>
      <c r="X319" s="20" t="s">
        <v>333</v>
      </c>
      <c r="Y319" s="20" t="s">
        <v>333</v>
      </c>
      <c r="Z319" s="20" t="s">
        <v>333</v>
      </c>
      <c r="AA319" s="20" t="s">
        <v>333</v>
      </c>
      <c r="AB319" s="20" t="s">
        <v>333</v>
      </c>
      <c r="AC319" s="20"/>
      <c r="AD319" s="20" t="s">
        <v>333</v>
      </c>
      <c r="AE319" s="20" t="s">
        <v>333</v>
      </c>
      <c r="AF319" s="20" t="s">
        <v>333</v>
      </c>
      <c r="AG319" s="20" t="s">
        <v>344</v>
      </c>
      <c r="AH319" s="20" t="s">
        <v>344</v>
      </c>
      <c r="AI319" s="20" t="s">
        <v>333</v>
      </c>
      <c r="AJ319" s="20"/>
      <c r="AK319" s="20" t="s">
        <v>1244</v>
      </c>
      <c r="AL319" s="20" t="s">
        <v>1261</v>
      </c>
      <c r="AM319" s="20" t="s">
        <v>1244</v>
      </c>
      <c r="AN319" s="20" t="s">
        <v>349</v>
      </c>
      <c r="AO319" s="20"/>
      <c r="AP319" s="20" t="s">
        <v>1238</v>
      </c>
      <c r="AQ319" s="20" t="s">
        <v>1239</v>
      </c>
      <c r="AR319" s="20"/>
      <c r="AS319" s="20"/>
    </row>
    <row r="320">
      <c r="A320" s="20" t="s">
        <v>3659</v>
      </c>
      <c r="B320" s="20" t="s">
        <v>853</v>
      </c>
      <c r="C320" s="20" t="s">
        <v>854</v>
      </c>
      <c r="D320" s="20"/>
      <c r="E320" s="20" t="s">
        <v>49</v>
      </c>
      <c r="F320" s="29" t="s">
        <v>69</v>
      </c>
      <c r="G320" s="20" t="s">
        <v>855</v>
      </c>
      <c r="H320" s="20" t="s">
        <v>147</v>
      </c>
      <c r="I320" s="20" t="s">
        <v>148</v>
      </c>
      <c r="J320" s="20" t="s">
        <v>148</v>
      </c>
      <c r="K320" s="20" t="s">
        <v>55</v>
      </c>
      <c r="L320" s="20" t="s">
        <v>56</v>
      </c>
      <c r="M320" s="20" t="s">
        <v>57</v>
      </c>
      <c r="N320" s="20" t="s">
        <v>333</v>
      </c>
      <c r="O320" s="20" t="s">
        <v>3660</v>
      </c>
      <c r="P320" s="20" t="s">
        <v>3661</v>
      </c>
      <c r="Q320" s="20" t="s">
        <v>59</v>
      </c>
      <c r="R320" s="20" t="s">
        <v>333</v>
      </c>
      <c r="S320" s="20" t="s">
        <v>333</v>
      </c>
      <c r="T320" s="20"/>
      <c r="U320" s="20"/>
      <c r="V320" s="20" t="s">
        <v>344</v>
      </c>
      <c r="W320" s="20" t="s">
        <v>333</v>
      </c>
      <c r="X320" s="20" t="s">
        <v>333</v>
      </c>
      <c r="Y320" s="20" t="s">
        <v>333</v>
      </c>
      <c r="Z320" s="20" t="s">
        <v>333</v>
      </c>
      <c r="AA320" s="20" t="s">
        <v>333</v>
      </c>
      <c r="AB320" s="20" t="s">
        <v>333</v>
      </c>
      <c r="AC320" s="20"/>
      <c r="AD320" s="20" t="s">
        <v>333</v>
      </c>
      <c r="AE320" s="20" t="s">
        <v>333</v>
      </c>
      <c r="AF320" s="20" t="s">
        <v>333</v>
      </c>
      <c r="AG320" s="20" t="s">
        <v>344</v>
      </c>
      <c r="AH320" s="20" t="s">
        <v>344</v>
      </c>
      <c r="AI320" s="20" t="s">
        <v>333</v>
      </c>
      <c r="AJ320" s="20"/>
      <c r="AK320" s="20" t="s">
        <v>1760</v>
      </c>
      <c r="AL320" s="20" t="s">
        <v>1581</v>
      </c>
      <c r="AM320" s="20" t="s">
        <v>1760</v>
      </c>
      <c r="AN320" s="20" t="s">
        <v>349</v>
      </c>
      <c r="AO320" s="20"/>
      <c r="AP320" s="20" t="s">
        <v>3660</v>
      </c>
      <c r="AQ320" s="20" t="s">
        <v>3661</v>
      </c>
      <c r="AR320" s="20"/>
      <c r="AS320" s="20"/>
    </row>
    <row r="321">
      <c r="A321" s="20" t="s">
        <v>3668</v>
      </c>
      <c r="B321" s="20" t="s">
        <v>668</v>
      </c>
      <c r="C321" s="20" t="s">
        <v>669</v>
      </c>
      <c r="D321" s="20" t="s">
        <v>670</v>
      </c>
      <c r="E321" s="20" t="s">
        <v>49</v>
      </c>
      <c r="F321" s="80" t="s">
        <v>3672</v>
      </c>
      <c r="G321" s="82">
        <v>9.989998928E9</v>
      </c>
      <c r="H321" s="20" t="s">
        <v>147</v>
      </c>
      <c r="I321" s="20" t="s">
        <v>148</v>
      </c>
      <c r="J321" s="20" t="s">
        <v>148</v>
      </c>
      <c r="K321" s="20" t="s">
        <v>55</v>
      </c>
      <c r="L321" s="20" t="s">
        <v>56</v>
      </c>
      <c r="M321" s="20" t="s">
        <v>57</v>
      </c>
      <c r="N321" s="20" t="s">
        <v>333</v>
      </c>
      <c r="O321" s="20" t="s">
        <v>3674</v>
      </c>
      <c r="P321" s="20" t="s">
        <v>335</v>
      </c>
      <c r="Q321" s="20" t="s">
        <v>59</v>
      </c>
      <c r="R321" s="20" t="s">
        <v>333</v>
      </c>
      <c r="S321" s="20" t="s">
        <v>333</v>
      </c>
      <c r="T321" s="20" t="s">
        <v>676</v>
      </c>
      <c r="U321" s="20"/>
      <c r="V321" s="20" t="s">
        <v>344</v>
      </c>
      <c r="W321" s="20" t="s">
        <v>333</v>
      </c>
      <c r="X321" s="20" t="s">
        <v>333</v>
      </c>
      <c r="Y321" s="20" t="s">
        <v>333</v>
      </c>
      <c r="Z321" s="20" t="s">
        <v>333</v>
      </c>
      <c r="AA321" s="20" t="s">
        <v>333</v>
      </c>
      <c r="AB321" s="20" t="s">
        <v>333</v>
      </c>
      <c r="AC321" s="20"/>
      <c r="AD321" s="20" t="s">
        <v>333</v>
      </c>
      <c r="AE321" s="20" t="s">
        <v>333</v>
      </c>
      <c r="AF321" s="20" t="s">
        <v>333</v>
      </c>
      <c r="AG321" s="20" t="s">
        <v>344</v>
      </c>
      <c r="AH321" s="20" t="s">
        <v>344</v>
      </c>
      <c r="AI321" s="20" t="s">
        <v>333</v>
      </c>
      <c r="AJ321" s="20"/>
      <c r="AK321" s="20" t="s">
        <v>1244</v>
      </c>
      <c r="AL321" s="20" t="s">
        <v>348</v>
      </c>
      <c r="AM321" s="20" t="s">
        <v>1244</v>
      </c>
      <c r="AN321" s="20" t="s">
        <v>349</v>
      </c>
      <c r="AO321" s="20"/>
      <c r="AP321" s="20" t="s">
        <v>3674</v>
      </c>
      <c r="AQ321" s="20" t="s">
        <v>335</v>
      </c>
      <c r="AR321" s="20"/>
      <c r="AS321" s="20"/>
    </row>
    <row r="322">
      <c r="A322" s="20" t="s">
        <v>3679</v>
      </c>
      <c r="B322" s="20" t="s">
        <v>3680</v>
      </c>
      <c r="C322" s="20" t="s">
        <v>3681</v>
      </c>
      <c r="D322" s="20"/>
      <c r="E322" s="20" t="s">
        <v>49</v>
      </c>
      <c r="F322" s="80" t="s">
        <v>3682</v>
      </c>
      <c r="G322" s="99" t="s">
        <v>3683</v>
      </c>
      <c r="H322" s="20" t="s">
        <v>2393</v>
      </c>
      <c r="I322" s="20" t="s">
        <v>2394</v>
      </c>
      <c r="J322" s="20" t="s">
        <v>74</v>
      </c>
      <c r="K322" s="20" t="s">
        <v>55</v>
      </c>
      <c r="L322" s="20" t="s">
        <v>56</v>
      </c>
      <c r="M322" s="20" t="s">
        <v>57</v>
      </c>
      <c r="N322" s="20" t="s">
        <v>333</v>
      </c>
      <c r="O322" s="20" t="s">
        <v>1695</v>
      </c>
      <c r="P322" s="20" t="s">
        <v>1591</v>
      </c>
      <c r="Q322" s="20" t="s">
        <v>59</v>
      </c>
      <c r="R322" s="20" t="s">
        <v>333</v>
      </c>
      <c r="S322" s="20" t="s">
        <v>333</v>
      </c>
      <c r="T322" s="20"/>
      <c r="U322" s="20"/>
      <c r="V322" s="20" t="s">
        <v>344</v>
      </c>
      <c r="W322" s="20" t="s">
        <v>333</v>
      </c>
      <c r="X322" s="20" t="s">
        <v>333</v>
      </c>
      <c r="Y322" s="20" t="s">
        <v>333</v>
      </c>
      <c r="Z322" s="20" t="s">
        <v>333</v>
      </c>
      <c r="AA322" s="20" t="s">
        <v>333</v>
      </c>
      <c r="AB322" s="20" t="s">
        <v>333</v>
      </c>
      <c r="AC322" s="20"/>
      <c r="AD322" s="20" t="s">
        <v>333</v>
      </c>
      <c r="AE322" s="20" t="s">
        <v>333</v>
      </c>
      <c r="AF322" s="20" t="s">
        <v>333</v>
      </c>
      <c r="AG322" s="20" t="s">
        <v>344</v>
      </c>
      <c r="AH322" s="20" t="s">
        <v>344</v>
      </c>
      <c r="AI322" s="20" t="s">
        <v>333</v>
      </c>
      <c r="AJ322" s="20"/>
      <c r="AK322" s="20" t="s">
        <v>1663</v>
      </c>
      <c r="AL322" s="20" t="s">
        <v>348</v>
      </c>
      <c r="AM322" s="20" t="s">
        <v>1663</v>
      </c>
      <c r="AN322" s="20" t="s">
        <v>349</v>
      </c>
      <c r="AO322" s="20"/>
      <c r="AP322" s="20" t="s">
        <v>1695</v>
      </c>
      <c r="AQ322" s="20" t="s">
        <v>1591</v>
      </c>
      <c r="AR322" s="20"/>
      <c r="AS322" s="20"/>
    </row>
    <row r="323">
      <c r="A323" s="20" t="s">
        <v>3688</v>
      </c>
      <c r="B323" s="20" t="s">
        <v>3689</v>
      </c>
      <c r="C323" s="20" t="s">
        <v>3690</v>
      </c>
      <c r="D323" s="20"/>
      <c r="E323" s="20" t="s">
        <v>49</v>
      </c>
      <c r="F323" s="80" t="s">
        <v>3691</v>
      </c>
      <c r="G323" s="29" t="s">
        <v>69</v>
      </c>
      <c r="H323" s="20" t="s">
        <v>570</v>
      </c>
      <c r="I323" s="20" t="s">
        <v>571</v>
      </c>
      <c r="J323" s="20" t="s">
        <v>571</v>
      </c>
      <c r="K323" s="20" t="s">
        <v>55</v>
      </c>
      <c r="L323" s="20" t="s">
        <v>56</v>
      </c>
      <c r="M323" s="20" t="s">
        <v>57</v>
      </c>
      <c r="N323" s="20" t="s">
        <v>333</v>
      </c>
      <c r="O323" s="20"/>
      <c r="P323" s="20"/>
      <c r="Q323" s="20" t="s">
        <v>59</v>
      </c>
      <c r="R323" s="20" t="s">
        <v>333</v>
      </c>
      <c r="S323" s="20" t="s">
        <v>333</v>
      </c>
      <c r="T323" s="20"/>
      <c r="U323" s="20"/>
      <c r="V323" s="20" t="s">
        <v>344</v>
      </c>
      <c r="W323" s="20" t="s">
        <v>333</v>
      </c>
      <c r="X323" s="20" t="s">
        <v>333</v>
      </c>
      <c r="Y323" s="20" t="s">
        <v>333</v>
      </c>
      <c r="Z323" s="20" t="s">
        <v>333</v>
      </c>
      <c r="AA323" s="20" t="s">
        <v>333</v>
      </c>
      <c r="AB323" s="20" t="s">
        <v>333</v>
      </c>
      <c r="AC323" s="20"/>
      <c r="AD323" s="20" t="s">
        <v>333</v>
      </c>
      <c r="AE323" s="20" t="s">
        <v>333</v>
      </c>
      <c r="AF323" s="20" t="s">
        <v>333</v>
      </c>
      <c r="AG323" s="20" t="s">
        <v>344</v>
      </c>
      <c r="AH323" s="20" t="s">
        <v>344</v>
      </c>
      <c r="AI323" s="20" t="s">
        <v>333</v>
      </c>
      <c r="AJ323" s="20"/>
      <c r="AK323" s="20" t="s">
        <v>349</v>
      </c>
      <c r="AL323" s="20" t="s">
        <v>349</v>
      </c>
      <c r="AM323" s="20" t="s">
        <v>349</v>
      </c>
      <c r="AN323" s="20" t="s">
        <v>349</v>
      </c>
      <c r="AO323" s="20"/>
      <c r="AP323" s="20" t="s">
        <v>349</v>
      </c>
      <c r="AQ323" s="20" t="s">
        <v>349</v>
      </c>
      <c r="AR323" s="20"/>
      <c r="AS323" s="20"/>
    </row>
    <row r="324">
      <c r="A324" s="20" t="s">
        <v>3698</v>
      </c>
      <c r="B324" s="20" t="s">
        <v>829</v>
      </c>
      <c r="C324" s="20" t="s">
        <v>831</v>
      </c>
      <c r="D324" s="20"/>
      <c r="E324" s="20" t="s">
        <v>49</v>
      </c>
      <c r="F324" s="29" t="s">
        <v>69</v>
      </c>
      <c r="G324" s="29" t="s">
        <v>69</v>
      </c>
      <c r="H324" s="20" t="s">
        <v>75</v>
      </c>
      <c r="I324" s="20" t="s">
        <v>76</v>
      </c>
      <c r="J324" s="20" t="s">
        <v>76</v>
      </c>
      <c r="K324" s="20" t="s">
        <v>55</v>
      </c>
      <c r="L324" s="20" t="s">
        <v>56</v>
      </c>
      <c r="M324" s="20" t="s">
        <v>57</v>
      </c>
      <c r="N324" s="20" t="s">
        <v>333</v>
      </c>
      <c r="O324" s="20" t="s">
        <v>1596</v>
      </c>
      <c r="P324" s="20" t="s">
        <v>1682</v>
      </c>
      <c r="Q324" s="20" t="s">
        <v>59</v>
      </c>
      <c r="R324" s="20" t="s">
        <v>333</v>
      </c>
      <c r="S324" s="20" t="s">
        <v>333</v>
      </c>
      <c r="T324" s="20"/>
      <c r="U324" s="20"/>
      <c r="V324" s="20" t="s">
        <v>344</v>
      </c>
      <c r="W324" s="20" t="s">
        <v>333</v>
      </c>
      <c r="X324" s="20" t="s">
        <v>333</v>
      </c>
      <c r="Y324" s="20" t="s">
        <v>333</v>
      </c>
      <c r="Z324" s="20" t="s">
        <v>333</v>
      </c>
      <c r="AA324" s="20" t="s">
        <v>333</v>
      </c>
      <c r="AB324" s="20" t="s">
        <v>333</v>
      </c>
      <c r="AC324" s="20"/>
      <c r="AD324" s="20" t="s">
        <v>333</v>
      </c>
      <c r="AE324" s="20" t="s">
        <v>333</v>
      </c>
      <c r="AF324" s="20" t="s">
        <v>333</v>
      </c>
      <c r="AG324" s="20" t="s">
        <v>344</v>
      </c>
      <c r="AH324" s="20" t="s">
        <v>344</v>
      </c>
      <c r="AI324" s="20" t="s">
        <v>333</v>
      </c>
      <c r="AJ324" s="20"/>
      <c r="AK324" s="20" t="s">
        <v>1244</v>
      </c>
      <c r="AL324" s="20" t="s">
        <v>1556</v>
      </c>
      <c r="AM324" s="20" t="s">
        <v>1244</v>
      </c>
      <c r="AN324" s="20" t="s">
        <v>349</v>
      </c>
      <c r="AO324" s="20"/>
      <c r="AP324" s="20" t="s">
        <v>1596</v>
      </c>
      <c r="AQ324" s="20" t="s">
        <v>1682</v>
      </c>
      <c r="AR324" s="20"/>
      <c r="AS324" s="20"/>
    </row>
    <row r="325">
      <c r="A325" s="20" t="s">
        <v>3703</v>
      </c>
      <c r="B325" s="20" t="s">
        <v>3704</v>
      </c>
      <c r="C325" s="20" t="s">
        <v>3706</v>
      </c>
      <c r="D325" s="20"/>
      <c r="E325" s="20" t="s">
        <v>49</v>
      </c>
      <c r="F325" s="80" t="s">
        <v>3707</v>
      </c>
      <c r="G325" s="101" t="s">
        <v>3708</v>
      </c>
      <c r="H325" s="20" t="s">
        <v>727</v>
      </c>
      <c r="I325" s="20" t="s">
        <v>729</v>
      </c>
      <c r="J325" s="20" t="s">
        <v>74</v>
      </c>
      <c r="K325" s="20" t="s">
        <v>55</v>
      </c>
      <c r="L325" s="20" t="s">
        <v>56</v>
      </c>
      <c r="M325" s="20" t="s">
        <v>57</v>
      </c>
      <c r="N325" s="20" t="s">
        <v>333</v>
      </c>
      <c r="O325" s="20" t="s">
        <v>1695</v>
      </c>
      <c r="P325" s="20"/>
      <c r="Q325" s="20" t="s">
        <v>59</v>
      </c>
      <c r="R325" s="20" t="s">
        <v>333</v>
      </c>
      <c r="S325" s="20" t="s">
        <v>333</v>
      </c>
      <c r="T325" s="20"/>
      <c r="U325" s="20"/>
      <c r="V325" s="20" t="s">
        <v>344</v>
      </c>
      <c r="W325" s="20" t="s">
        <v>333</v>
      </c>
      <c r="X325" s="20" t="s">
        <v>333</v>
      </c>
      <c r="Y325" s="20" t="s">
        <v>333</v>
      </c>
      <c r="Z325" s="20" t="s">
        <v>333</v>
      </c>
      <c r="AA325" s="20" t="s">
        <v>333</v>
      </c>
      <c r="AB325" s="20" t="s">
        <v>333</v>
      </c>
      <c r="AC325" s="20"/>
      <c r="AD325" s="20" t="s">
        <v>333</v>
      </c>
      <c r="AE325" s="20" t="s">
        <v>333</v>
      </c>
      <c r="AF325" s="20" t="s">
        <v>333</v>
      </c>
      <c r="AG325" s="20" t="s">
        <v>344</v>
      </c>
      <c r="AH325" s="20" t="s">
        <v>344</v>
      </c>
      <c r="AI325" s="20" t="s">
        <v>333</v>
      </c>
      <c r="AJ325" s="20"/>
      <c r="AK325" s="20" t="s">
        <v>347</v>
      </c>
      <c r="AL325" s="20" t="s">
        <v>1245</v>
      </c>
      <c r="AM325" s="20" t="s">
        <v>347</v>
      </c>
      <c r="AN325" s="20" t="s">
        <v>349</v>
      </c>
      <c r="AO325" s="20"/>
      <c r="AP325" s="20" t="s">
        <v>1695</v>
      </c>
      <c r="AQ325" s="20" t="s">
        <v>349</v>
      </c>
      <c r="AR325" s="20"/>
      <c r="AS325" s="20"/>
    </row>
    <row r="326">
      <c r="A326" s="20" t="s">
        <v>2472</v>
      </c>
      <c r="B326" s="20" t="s">
        <v>1004</v>
      </c>
      <c r="C326" s="20" t="s">
        <v>1005</v>
      </c>
      <c r="D326" s="20"/>
      <c r="E326" s="20" t="s">
        <v>49</v>
      </c>
      <c r="F326" s="29" t="s">
        <v>69</v>
      </c>
      <c r="G326" s="29" t="s">
        <v>69</v>
      </c>
      <c r="H326" s="20" t="s">
        <v>75</v>
      </c>
      <c r="I326" s="20" t="s">
        <v>76</v>
      </c>
      <c r="J326" s="20" t="s">
        <v>76</v>
      </c>
      <c r="K326" s="20" t="s">
        <v>55</v>
      </c>
      <c r="L326" s="20" t="s">
        <v>56</v>
      </c>
      <c r="M326" s="20" t="s">
        <v>57</v>
      </c>
      <c r="N326" s="20" t="s">
        <v>333</v>
      </c>
      <c r="O326" s="20" t="s">
        <v>3712</v>
      </c>
      <c r="P326" s="20" t="s">
        <v>3713</v>
      </c>
      <c r="Q326" s="20" t="s">
        <v>59</v>
      </c>
      <c r="R326" s="20" t="s">
        <v>333</v>
      </c>
      <c r="S326" s="20" t="s">
        <v>333</v>
      </c>
      <c r="T326" s="20"/>
      <c r="U326" s="20"/>
      <c r="V326" s="20" t="s">
        <v>344</v>
      </c>
      <c r="W326" s="20" t="s">
        <v>333</v>
      </c>
      <c r="X326" s="20" t="s">
        <v>333</v>
      </c>
      <c r="Y326" s="20" t="s">
        <v>333</v>
      </c>
      <c r="Z326" s="20" t="s">
        <v>333</v>
      </c>
      <c r="AA326" s="20" t="s">
        <v>333</v>
      </c>
      <c r="AB326" s="20" t="s">
        <v>333</v>
      </c>
      <c r="AC326" s="20"/>
      <c r="AD326" s="20" t="s">
        <v>333</v>
      </c>
      <c r="AE326" s="20" t="s">
        <v>333</v>
      </c>
      <c r="AF326" s="20" t="s">
        <v>333</v>
      </c>
      <c r="AG326" s="20" t="s">
        <v>344</v>
      </c>
      <c r="AH326" s="20" t="s">
        <v>344</v>
      </c>
      <c r="AI326" s="20" t="s">
        <v>333</v>
      </c>
      <c r="AJ326" s="20"/>
      <c r="AK326" s="20" t="s">
        <v>1587</v>
      </c>
      <c r="AL326" s="20" t="s">
        <v>1596</v>
      </c>
      <c r="AM326" s="20" t="s">
        <v>1587</v>
      </c>
      <c r="AN326" s="20" t="s">
        <v>349</v>
      </c>
      <c r="AO326" s="20"/>
      <c r="AP326" s="20" t="s">
        <v>3712</v>
      </c>
      <c r="AQ326" s="20" t="s">
        <v>3713</v>
      </c>
      <c r="AR326" s="20"/>
      <c r="AS326" s="20"/>
    </row>
    <row r="327">
      <c r="A327" s="20" t="s">
        <v>3714</v>
      </c>
      <c r="B327" s="20" t="s">
        <v>3506</v>
      </c>
      <c r="C327" s="20" t="s">
        <v>3507</v>
      </c>
      <c r="D327" s="20" t="s">
        <v>736</v>
      </c>
      <c r="E327" s="20" t="s">
        <v>49</v>
      </c>
      <c r="F327" s="80" t="s">
        <v>3715</v>
      </c>
      <c r="G327" s="71" t="s">
        <v>3717</v>
      </c>
      <c r="H327" s="20" t="s">
        <v>123</v>
      </c>
      <c r="I327" s="20" t="s">
        <v>124</v>
      </c>
      <c r="J327" s="20" t="s">
        <v>74</v>
      </c>
      <c r="K327" s="20" t="s">
        <v>55</v>
      </c>
      <c r="L327" s="20" t="s">
        <v>56</v>
      </c>
      <c r="M327" s="20" t="s">
        <v>57</v>
      </c>
      <c r="N327" s="20" t="s">
        <v>333</v>
      </c>
      <c r="O327" s="20" t="s">
        <v>3728</v>
      </c>
      <c r="P327" s="20" t="s">
        <v>3729</v>
      </c>
      <c r="Q327" s="20" t="s">
        <v>59</v>
      </c>
      <c r="R327" s="20" t="s">
        <v>333</v>
      </c>
      <c r="S327" s="20" t="s">
        <v>333</v>
      </c>
      <c r="T327" s="20" t="s">
        <v>3508</v>
      </c>
      <c r="U327" s="20"/>
      <c r="V327" s="20" t="s">
        <v>344</v>
      </c>
      <c r="W327" s="20" t="s">
        <v>333</v>
      </c>
      <c r="X327" s="20" t="s">
        <v>333</v>
      </c>
      <c r="Y327" s="20" t="s">
        <v>333</v>
      </c>
      <c r="Z327" s="20" t="s">
        <v>333</v>
      </c>
      <c r="AA327" s="20" t="s">
        <v>333</v>
      </c>
      <c r="AB327" s="20" t="s">
        <v>333</v>
      </c>
      <c r="AC327" s="20"/>
      <c r="AD327" s="20" t="s">
        <v>333</v>
      </c>
      <c r="AE327" s="20" t="s">
        <v>333</v>
      </c>
      <c r="AF327" s="20" t="s">
        <v>333</v>
      </c>
      <c r="AG327" s="20" t="s">
        <v>344</v>
      </c>
      <c r="AH327" s="20" t="s">
        <v>344</v>
      </c>
      <c r="AI327" s="20" t="s">
        <v>333</v>
      </c>
      <c r="AJ327" s="20"/>
      <c r="AK327" s="20" t="s">
        <v>1244</v>
      </c>
      <c r="AL327" s="20" t="s">
        <v>348</v>
      </c>
      <c r="AM327" s="20" t="s">
        <v>1244</v>
      </c>
      <c r="AN327" s="20" t="s">
        <v>349</v>
      </c>
      <c r="AO327" s="20"/>
      <c r="AP327" s="20" t="s">
        <v>3728</v>
      </c>
      <c r="AQ327" s="20" t="s">
        <v>3729</v>
      </c>
      <c r="AR327" s="20"/>
      <c r="AS327" s="20"/>
    </row>
    <row r="328">
      <c r="A328" s="20" t="s">
        <v>3731</v>
      </c>
      <c r="B328" s="20" t="s">
        <v>3732</v>
      </c>
      <c r="C328" s="20" t="s">
        <v>3733</v>
      </c>
      <c r="D328" s="20"/>
      <c r="E328" s="20" t="s">
        <v>49</v>
      </c>
      <c r="F328" s="80" t="s">
        <v>3734</v>
      </c>
      <c r="G328" s="114">
        <v>9.99972403E9</v>
      </c>
      <c r="H328" s="20" t="s">
        <v>303</v>
      </c>
      <c r="I328" s="20" t="s">
        <v>303</v>
      </c>
      <c r="J328" s="20" t="s">
        <v>74</v>
      </c>
      <c r="K328" s="20" t="s">
        <v>55</v>
      </c>
      <c r="L328" s="20" t="s">
        <v>56</v>
      </c>
      <c r="M328" s="20" t="s">
        <v>57</v>
      </c>
      <c r="N328" s="20" t="s">
        <v>333</v>
      </c>
      <c r="O328" s="20" t="s">
        <v>1591</v>
      </c>
      <c r="P328" s="20" t="s">
        <v>2262</v>
      </c>
      <c r="Q328" s="20" t="s">
        <v>59</v>
      </c>
      <c r="R328" s="20" t="s">
        <v>333</v>
      </c>
      <c r="S328" s="20" t="s">
        <v>333</v>
      </c>
      <c r="T328" s="20"/>
      <c r="U328" s="20"/>
      <c r="V328" s="20" t="s">
        <v>344</v>
      </c>
      <c r="W328" s="20" t="s">
        <v>333</v>
      </c>
      <c r="X328" s="20" t="s">
        <v>333</v>
      </c>
      <c r="Y328" s="20" t="s">
        <v>333</v>
      </c>
      <c r="Z328" s="20" t="s">
        <v>333</v>
      </c>
      <c r="AA328" s="20" t="s">
        <v>333</v>
      </c>
      <c r="AB328" s="20" t="s">
        <v>333</v>
      </c>
      <c r="AC328" s="20"/>
      <c r="AD328" s="20" t="s">
        <v>333</v>
      </c>
      <c r="AE328" s="20" t="s">
        <v>333</v>
      </c>
      <c r="AF328" s="20" t="s">
        <v>333</v>
      </c>
      <c r="AG328" s="20" t="s">
        <v>344</v>
      </c>
      <c r="AH328" s="20" t="s">
        <v>344</v>
      </c>
      <c r="AI328" s="20" t="s">
        <v>333</v>
      </c>
      <c r="AJ328" s="20"/>
      <c r="AK328" s="20" t="s">
        <v>1581</v>
      </c>
      <c r="AL328" s="20" t="s">
        <v>1269</v>
      </c>
      <c r="AM328" s="20" t="s">
        <v>1581</v>
      </c>
      <c r="AN328" s="20" t="s">
        <v>349</v>
      </c>
      <c r="AO328" s="20"/>
      <c r="AP328" s="20" t="s">
        <v>1591</v>
      </c>
      <c r="AQ328" s="20" t="s">
        <v>2262</v>
      </c>
      <c r="AR328" s="20"/>
      <c r="AS328" s="20"/>
    </row>
    <row r="329">
      <c r="A329" s="32" t="s">
        <v>3740</v>
      </c>
      <c r="B329" s="32" t="s">
        <v>3570</v>
      </c>
      <c r="C329" s="32" t="s">
        <v>3571</v>
      </c>
      <c r="D329" s="48" t="s">
        <v>3572</v>
      </c>
      <c r="E329" s="32" t="s">
        <v>49</v>
      </c>
      <c r="F329" s="32" t="s">
        <v>3741</v>
      </c>
      <c r="G329" s="32" t="s">
        <v>3575</v>
      </c>
      <c r="H329" s="32" t="s">
        <v>1475</v>
      </c>
      <c r="I329" s="32" t="s">
        <v>1476</v>
      </c>
      <c r="J329" s="32" t="s">
        <v>74</v>
      </c>
      <c r="K329" s="32" t="s">
        <v>55</v>
      </c>
      <c r="L329" s="32" t="s">
        <v>56</v>
      </c>
      <c r="M329" s="32" t="s">
        <v>57</v>
      </c>
      <c r="N329" s="32" t="s">
        <v>333</v>
      </c>
      <c r="O329" s="32" t="s">
        <v>1695</v>
      </c>
      <c r="P329" s="32"/>
      <c r="Q329" s="32" t="s">
        <v>59</v>
      </c>
      <c r="R329" s="32" t="s">
        <v>333</v>
      </c>
      <c r="S329" s="32" t="s">
        <v>333</v>
      </c>
      <c r="T329" s="32"/>
      <c r="U329" s="32"/>
      <c r="V329" s="32" t="s">
        <v>344</v>
      </c>
      <c r="W329" s="32" t="s">
        <v>333</v>
      </c>
      <c r="X329" s="32" t="s">
        <v>333</v>
      </c>
      <c r="Y329" s="32" t="s">
        <v>333</v>
      </c>
      <c r="Z329" s="32" t="s">
        <v>333</v>
      </c>
      <c r="AA329" s="32" t="s">
        <v>333</v>
      </c>
      <c r="AB329" s="32" t="s">
        <v>333</v>
      </c>
      <c r="AC329" s="32"/>
      <c r="AD329" s="32" t="s">
        <v>333</v>
      </c>
      <c r="AE329" s="32" t="s">
        <v>333</v>
      </c>
      <c r="AF329" s="32" t="s">
        <v>333</v>
      </c>
      <c r="AG329" s="32" t="s">
        <v>344</v>
      </c>
      <c r="AH329" s="32" t="s">
        <v>344</v>
      </c>
      <c r="AI329" s="32" t="s">
        <v>333</v>
      </c>
      <c r="AJ329" s="32"/>
      <c r="AK329" s="32" t="s">
        <v>1244</v>
      </c>
      <c r="AL329" s="32" t="s">
        <v>1673</v>
      </c>
      <c r="AM329" s="32" t="s">
        <v>1244</v>
      </c>
      <c r="AN329" s="32" t="s">
        <v>349</v>
      </c>
      <c r="AO329" s="32"/>
      <c r="AP329" s="32" t="s">
        <v>1695</v>
      </c>
      <c r="AQ329" s="32" t="s">
        <v>349</v>
      </c>
      <c r="AR329" s="21" t="s">
        <v>1931</v>
      </c>
      <c r="AS329" s="21">
        <v>2.0</v>
      </c>
    </row>
    <row r="330">
      <c r="A330" s="20" t="s">
        <v>3744</v>
      </c>
      <c r="B330" s="20" t="s">
        <v>105</v>
      </c>
      <c r="C330" s="20" t="s">
        <v>106</v>
      </c>
      <c r="D330" s="20"/>
      <c r="E330" s="20" t="s">
        <v>49</v>
      </c>
      <c r="F330" s="80" t="s">
        <v>3745</v>
      </c>
      <c r="G330" s="71" t="s">
        <v>3750</v>
      </c>
      <c r="H330" s="20" t="s">
        <v>115</v>
      </c>
      <c r="I330" s="20" t="s">
        <v>116</v>
      </c>
      <c r="J330" s="20" t="s">
        <v>116</v>
      </c>
      <c r="K330" s="20" t="s">
        <v>55</v>
      </c>
      <c r="L330" s="20" t="s">
        <v>56</v>
      </c>
      <c r="M330" s="20" t="s">
        <v>57</v>
      </c>
      <c r="N330" s="20" t="s">
        <v>333</v>
      </c>
      <c r="O330" s="20" t="s">
        <v>3289</v>
      </c>
      <c r="P330" s="20"/>
      <c r="Q330" s="20" t="s">
        <v>59</v>
      </c>
      <c r="R330" s="20" t="s">
        <v>333</v>
      </c>
      <c r="S330" s="20" t="s">
        <v>333</v>
      </c>
      <c r="T330" s="20"/>
      <c r="U330" s="20"/>
      <c r="V330" s="20" t="s">
        <v>344</v>
      </c>
      <c r="W330" s="20" t="s">
        <v>333</v>
      </c>
      <c r="X330" s="20" t="s">
        <v>333</v>
      </c>
      <c r="Y330" s="20" t="s">
        <v>333</v>
      </c>
      <c r="Z330" s="20" t="s">
        <v>333</v>
      </c>
      <c r="AA330" s="20" t="s">
        <v>333</v>
      </c>
      <c r="AB330" s="20" t="s">
        <v>333</v>
      </c>
      <c r="AC330" s="20"/>
      <c r="AD330" s="20" t="s">
        <v>333</v>
      </c>
      <c r="AE330" s="20" t="s">
        <v>333</v>
      </c>
      <c r="AF330" s="20" t="s">
        <v>333</v>
      </c>
      <c r="AG330" s="20" t="s">
        <v>344</v>
      </c>
      <c r="AH330" s="20" t="s">
        <v>344</v>
      </c>
      <c r="AI330" s="20" t="s">
        <v>333</v>
      </c>
      <c r="AJ330" s="20"/>
      <c r="AK330" s="20" t="s">
        <v>1274</v>
      </c>
      <c r="AL330" s="20" t="s">
        <v>1717</v>
      </c>
      <c r="AM330" s="20" t="s">
        <v>1274</v>
      </c>
      <c r="AN330" s="20" t="s">
        <v>349</v>
      </c>
      <c r="AO330" s="20"/>
      <c r="AP330" s="20" t="s">
        <v>3289</v>
      </c>
      <c r="AQ330" s="20" t="s">
        <v>349</v>
      </c>
      <c r="AR330" s="20"/>
      <c r="AS330" s="20"/>
    </row>
    <row r="331">
      <c r="A331" s="20" t="s">
        <v>3759</v>
      </c>
      <c r="B331" s="20" t="s">
        <v>2201</v>
      </c>
      <c r="C331" s="20" t="s">
        <v>2202</v>
      </c>
      <c r="D331" s="20"/>
      <c r="E331" s="20" t="s">
        <v>49</v>
      </c>
      <c r="F331" s="80" t="s">
        <v>2197</v>
      </c>
      <c r="G331" s="71" t="s">
        <v>3764</v>
      </c>
      <c r="H331" s="20" t="s">
        <v>513</v>
      </c>
      <c r="I331" s="20" t="s">
        <v>514</v>
      </c>
      <c r="J331" s="20" t="s">
        <v>74</v>
      </c>
      <c r="K331" s="20" t="s">
        <v>55</v>
      </c>
      <c r="L331" s="20" t="s">
        <v>56</v>
      </c>
      <c r="M331" s="20" t="s">
        <v>57</v>
      </c>
      <c r="N331" s="20" t="s">
        <v>333</v>
      </c>
      <c r="O331" s="20"/>
      <c r="P331" s="20"/>
      <c r="Q331" s="20" t="s">
        <v>59</v>
      </c>
      <c r="R331" s="20" t="s">
        <v>333</v>
      </c>
      <c r="S331" s="20" t="s">
        <v>333</v>
      </c>
      <c r="T331" s="20"/>
      <c r="U331" s="20"/>
      <c r="V331" s="20" t="s">
        <v>344</v>
      </c>
      <c r="W331" s="20" t="s">
        <v>333</v>
      </c>
      <c r="X331" s="20" t="s">
        <v>333</v>
      </c>
      <c r="Y331" s="20" t="s">
        <v>333</v>
      </c>
      <c r="Z331" s="20" t="s">
        <v>333</v>
      </c>
      <c r="AA331" s="20" t="s">
        <v>333</v>
      </c>
      <c r="AB331" s="20" t="s">
        <v>333</v>
      </c>
      <c r="AC331" s="20"/>
      <c r="AD331" s="20" t="s">
        <v>333</v>
      </c>
      <c r="AE331" s="20" t="s">
        <v>333</v>
      </c>
      <c r="AF331" s="20" t="s">
        <v>333</v>
      </c>
      <c r="AG331" s="20" t="s">
        <v>344</v>
      </c>
      <c r="AH331" s="20" t="s">
        <v>344</v>
      </c>
      <c r="AI331" s="20" t="s">
        <v>333</v>
      </c>
      <c r="AJ331" s="20"/>
      <c r="AK331" s="20" t="s">
        <v>349</v>
      </c>
      <c r="AL331" s="20" t="s">
        <v>349</v>
      </c>
      <c r="AM331" s="20" t="s">
        <v>349</v>
      </c>
      <c r="AN331" s="20" t="s">
        <v>349</v>
      </c>
      <c r="AO331" s="20"/>
      <c r="AP331" s="20" t="s">
        <v>349</v>
      </c>
      <c r="AQ331" s="20" t="s">
        <v>349</v>
      </c>
      <c r="AR331" s="20"/>
      <c r="AS331" s="20"/>
    </row>
    <row r="332">
      <c r="A332" s="20" t="s">
        <v>3772</v>
      </c>
      <c r="B332" s="20" t="s">
        <v>895</v>
      </c>
      <c r="C332" s="20" t="s">
        <v>896</v>
      </c>
      <c r="D332" s="20"/>
      <c r="E332" s="20" t="s">
        <v>49</v>
      </c>
      <c r="F332" s="80" t="s">
        <v>3773</v>
      </c>
      <c r="G332" s="75" t="s">
        <v>3775</v>
      </c>
      <c r="H332" s="20" t="s">
        <v>899</v>
      </c>
      <c r="I332" s="20" t="s">
        <v>900</v>
      </c>
      <c r="J332" s="20" t="s">
        <v>900</v>
      </c>
      <c r="K332" s="20" t="s">
        <v>55</v>
      </c>
      <c r="L332" s="20" t="s">
        <v>56</v>
      </c>
      <c r="M332" s="20" t="s">
        <v>57</v>
      </c>
      <c r="N332" s="20" t="s">
        <v>333</v>
      </c>
      <c r="O332" s="20" t="s">
        <v>2325</v>
      </c>
      <c r="P332" s="20"/>
      <c r="Q332" s="20" t="s">
        <v>59</v>
      </c>
      <c r="R332" s="20" t="s">
        <v>333</v>
      </c>
      <c r="S332" s="20" t="s">
        <v>333</v>
      </c>
      <c r="T332" s="20"/>
      <c r="U332" s="20"/>
      <c r="V332" s="20" t="s">
        <v>344</v>
      </c>
      <c r="W332" s="20" t="s">
        <v>333</v>
      </c>
      <c r="X332" s="20" t="s">
        <v>333</v>
      </c>
      <c r="Y332" s="20" t="s">
        <v>333</v>
      </c>
      <c r="Z332" s="20" t="s">
        <v>333</v>
      </c>
      <c r="AA332" s="20" t="s">
        <v>333</v>
      </c>
      <c r="AB332" s="20" t="s">
        <v>333</v>
      </c>
      <c r="AC332" s="20"/>
      <c r="AD332" s="20" t="s">
        <v>333</v>
      </c>
      <c r="AE332" s="20" t="s">
        <v>333</v>
      </c>
      <c r="AF332" s="20" t="s">
        <v>333</v>
      </c>
      <c r="AG332" s="20" t="s">
        <v>344</v>
      </c>
      <c r="AH332" s="20" t="s">
        <v>344</v>
      </c>
      <c r="AI332" s="20" t="s">
        <v>333</v>
      </c>
      <c r="AJ332" s="20"/>
      <c r="AK332" s="20" t="s">
        <v>1244</v>
      </c>
      <c r="AL332" s="20" t="s">
        <v>1673</v>
      </c>
      <c r="AM332" s="20" t="s">
        <v>1244</v>
      </c>
      <c r="AN332" s="20" t="s">
        <v>349</v>
      </c>
      <c r="AO332" s="20"/>
      <c r="AP332" s="20" t="s">
        <v>2325</v>
      </c>
      <c r="AQ332" s="20" t="s">
        <v>349</v>
      </c>
      <c r="AR332" s="20"/>
      <c r="AS332" s="20"/>
    </row>
    <row r="333">
      <c r="A333" s="20" t="s">
        <v>3779</v>
      </c>
      <c r="B333" s="20" t="s">
        <v>749</v>
      </c>
      <c r="C333" s="20" t="s">
        <v>751</v>
      </c>
      <c r="D333" s="20"/>
      <c r="E333" s="20" t="s">
        <v>49</v>
      </c>
      <c r="F333" s="80" t="s">
        <v>3781</v>
      </c>
      <c r="G333" s="75" t="s">
        <v>3783</v>
      </c>
      <c r="H333" s="20" t="s">
        <v>75</v>
      </c>
      <c r="I333" s="20" t="s">
        <v>76</v>
      </c>
      <c r="J333" s="20" t="s">
        <v>76</v>
      </c>
      <c r="K333" s="20" t="s">
        <v>55</v>
      </c>
      <c r="L333" s="20" t="s">
        <v>56</v>
      </c>
      <c r="M333" s="20" t="s">
        <v>57</v>
      </c>
      <c r="N333" s="20" t="s">
        <v>333</v>
      </c>
      <c r="O333" s="20" t="s">
        <v>1682</v>
      </c>
      <c r="P333" s="20" t="s">
        <v>3784</v>
      </c>
      <c r="Q333" s="20" t="s">
        <v>59</v>
      </c>
      <c r="R333" s="20" t="s">
        <v>333</v>
      </c>
      <c r="S333" s="20" t="s">
        <v>333</v>
      </c>
      <c r="T333" s="20"/>
      <c r="U333" s="20"/>
      <c r="V333" s="20" t="s">
        <v>344</v>
      </c>
      <c r="W333" s="20" t="s">
        <v>333</v>
      </c>
      <c r="X333" s="20" t="s">
        <v>333</v>
      </c>
      <c r="Y333" s="20" t="s">
        <v>333</v>
      </c>
      <c r="Z333" s="20" t="s">
        <v>333</v>
      </c>
      <c r="AA333" s="20" t="s">
        <v>333</v>
      </c>
      <c r="AB333" s="20" t="s">
        <v>333</v>
      </c>
      <c r="AC333" s="20"/>
      <c r="AD333" s="20" t="s">
        <v>333</v>
      </c>
      <c r="AE333" s="20" t="s">
        <v>333</v>
      </c>
      <c r="AF333" s="20" t="s">
        <v>333</v>
      </c>
      <c r="AG333" s="20" t="s">
        <v>344</v>
      </c>
      <c r="AH333" s="20" t="s">
        <v>344</v>
      </c>
      <c r="AI333" s="20" t="s">
        <v>333</v>
      </c>
      <c r="AJ333" s="20"/>
      <c r="AK333" s="20" t="s">
        <v>1940</v>
      </c>
      <c r="AL333" s="20" t="s">
        <v>1253</v>
      </c>
      <c r="AM333" s="20" t="s">
        <v>1940</v>
      </c>
      <c r="AN333" s="20" t="s">
        <v>349</v>
      </c>
      <c r="AO333" s="20"/>
      <c r="AP333" s="20" t="s">
        <v>1682</v>
      </c>
      <c r="AQ333" s="20" t="s">
        <v>3784</v>
      </c>
      <c r="AR333" s="20"/>
      <c r="AS333" s="20"/>
    </row>
    <row r="334">
      <c r="A334" s="20" t="s">
        <v>3789</v>
      </c>
      <c r="B334" s="20" t="s">
        <v>431</v>
      </c>
      <c r="C334" s="20" t="s">
        <v>432</v>
      </c>
      <c r="D334" s="20"/>
      <c r="E334" s="20" t="s">
        <v>49</v>
      </c>
      <c r="F334" s="80" t="s">
        <v>3790</v>
      </c>
      <c r="G334" s="95">
        <v>9.319134101E9</v>
      </c>
      <c r="H334" s="20" t="s">
        <v>147</v>
      </c>
      <c r="I334" s="20" t="s">
        <v>148</v>
      </c>
      <c r="J334" s="20" t="s">
        <v>148</v>
      </c>
      <c r="K334" s="20" t="s">
        <v>55</v>
      </c>
      <c r="L334" s="20" t="s">
        <v>56</v>
      </c>
      <c r="M334" s="20" t="s">
        <v>57</v>
      </c>
      <c r="N334" s="20" t="s">
        <v>333</v>
      </c>
      <c r="O334" s="20" t="s">
        <v>334</v>
      </c>
      <c r="P334" s="20" t="s">
        <v>2400</v>
      </c>
      <c r="Q334" s="20" t="s">
        <v>59</v>
      </c>
      <c r="R334" s="20" t="s">
        <v>333</v>
      </c>
      <c r="S334" s="20" t="s">
        <v>333</v>
      </c>
      <c r="T334" s="20"/>
      <c r="U334" s="20"/>
      <c r="V334" s="20" t="s">
        <v>344</v>
      </c>
      <c r="W334" s="20" t="s">
        <v>333</v>
      </c>
      <c r="X334" s="20" t="s">
        <v>333</v>
      </c>
      <c r="Y334" s="20" t="s">
        <v>333</v>
      </c>
      <c r="Z334" s="20" t="s">
        <v>333</v>
      </c>
      <c r="AA334" s="20" t="s">
        <v>333</v>
      </c>
      <c r="AB334" s="20" t="s">
        <v>333</v>
      </c>
      <c r="AC334" s="20"/>
      <c r="AD334" s="20" t="s">
        <v>333</v>
      </c>
      <c r="AE334" s="20" t="s">
        <v>333</v>
      </c>
      <c r="AF334" s="20" t="s">
        <v>333</v>
      </c>
      <c r="AG334" s="20" t="s">
        <v>344</v>
      </c>
      <c r="AH334" s="20" t="s">
        <v>344</v>
      </c>
      <c r="AI334" s="20" t="s">
        <v>333</v>
      </c>
      <c r="AJ334" s="20"/>
      <c r="AK334" s="20" t="s">
        <v>1274</v>
      </c>
      <c r="AL334" s="20" t="s">
        <v>1261</v>
      </c>
      <c r="AM334" s="20" t="s">
        <v>1274</v>
      </c>
      <c r="AN334" s="20" t="s">
        <v>349</v>
      </c>
      <c r="AO334" s="20"/>
      <c r="AP334" s="20" t="s">
        <v>334</v>
      </c>
      <c r="AQ334" s="20" t="s">
        <v>2400</v>
      </c>
      <c r="AR334" s="20"/>
      <c r="AS334" s="20"/>
    </row>
    <row r="335">
      <c r="A335" s="20" t="s">
        <v>3797</v>
      </c>
      <c r="B335" s="20" t="s">
        <v>3798</v>
      </c>
      <c r="C335" s="20" t="s">
        <v>3799</v>
      </c>
      <c r="D335" s="20"/>
      <c r="E335" s="20" t="s">
        <v>49</v>
      </c>
      <c r="F335" s="80" t="s">
        <v>3800</v>
      </c>
      <c r="G335" s="20" t="s">
        <v>3801</v>
      </c>
      <c r="H335" s="20" t="s">
        <v>1888</v>
      </c>
      <c r="I335" s="20" t="s">
        <v>1889</v>
      </c>
      <c r="J335" s="20" t="s">
        <v>74</v>
      </c>
      <c r="K335" s="20" t="s">
        <v>55</v>
      </c>
      <c r="L335" s="20" t="s">
        <v>56</v>
      </c>
      <c r="M335" s="20" t="s">
        <v>57</v>
      </c>
      <c r="N335" s="20" t="s">
        <v>333</v>
      </c>
      <c r="O335" s="20" t="s">
        <v>1596</v>
      </c>
      <c r="P335" s="20"/>
      <c r="Q335" s="20" t="s">
        <v>59</v>
      </c>
      <c r="R335" s="20" t="s">
        <v>333</v>
      </c>
      <c r="S335" s="20" t="s">
        <v>333</v>
      </c>
      <c r="T335" s="20"/>
      <c r="U335" s="20"/>
      <c r="V335" s="20" t="s">
        <v>344</v>
      </c>
      <c r="W335" s="20" t="s">
        <v>333</v>
      </c>
      <c r="X335" s="20" t="s">
        <v>333</v>
      </c>
      <c r="Y335" s="20" t="s">
        <v>333</v>
      </c>
      <c r="Z335" s="20" t="s">
        <v>333</v>
      </c>
      <c r="AA335" s="20" t="s">
        <v>333</v>
      </c>
      <c r="AB335" s="20" t="s">
        <v>333</v>
      </c>
      <c r="AC335" s="20"/>
      <c r="AD335" s="20" t="s">
        <v>333</v>
      </c>
      <c r="AE335" s="20" t="s">
        <v>333</v>
      </c>
      <c r="AF335" s="20" t="s">
        <v>333</v>
      </c>
      <c r="AG335" s="20" t="s">
        <v>344</v>
      </c>
      <c r="AH335" s="20" t="s">
        <v>344</v>
      </c>
      <c r="AI335" s="20" t="s">
        <v>333</v>
      </c>
      <c r="AJ335" s="20"/>
      <c r="AK335" s="20" t="s">
        <v>1244</v>
      </c>
      <c r="AL335" s="20" t="s">
        <v>1245</v>
      </c>
      <c r="AM335" s="20" t="s">
        <v>1244</v>
      </c>
      <c r="AN335" s="20" t="s">
        <v>349</v>
      </c>
      <c r="AO335" s="20"/>
      <c r="AP335" s="20" t="s">
        <v>1596</v>
      </c>
      <c r="AQ335" s="20" t="s">
        <v>349</v>
      </c>
      <c r="AR335" s="20"/>
      <c r="AS335" s="20"/>
    </row>
    <row r="336">
      <c r="A336" s="20" t="s">
        <v>3803</v>
      </c>
      <c r="B336" s="20" t="s">
        <v>3724</v>
      </c>
      <c r="C336" s="20" t="s">
        <v>3725</v>
      </c>
      <c r="D336" s="20" t="s">
        <v>3804</v>
      </c>
      <c r="E336" s="20" t="s">
        <v>49</v>
      </c>
      <c r="F336" s="80" t="s">
        <v>3805</v>
      </c>
      <c r="G336" s="95" t="s">
        <v>3810</v>
      </c>
      <c r="H336" s="20" t="s">
        <v>513</v>
      </c>
      <c r="I336" s="20" t="s">
        <v>514</v>
      </c>
      <c r="J336" s="20" t="s">
        <v>74</v>
      </c>
      <c r="K336" s="20" t="s">
        <v>55</v>
      </c>
      <c r="L336" s="20" t="s">
        <v>56</v>
      </c>
      <c r="M336" s="20" t="s">
        <v>57</v>
      </c>
      <c r="N336" s="20" t="s">
        <v>333</v>
      </c>
      <c r="O336" s="20" t="s">
        <v>1695</v>
      </c>
      <c r="P336" s="20" t="s">
        <v>1556</v>
      </c>
      <c r="Q336" s="20" t="s">
        <v>59</v>
      </c>
      <c r="R336" s="20" t="s">
        <v>333</v>
      </c>
      <c r="S336" s="20" t="s">
        <v>333</v>
      </c>
      <c r="T336" s="20" t="s">
        <v>3814</v>
      </c>
      <c r="U336" s="20"/>
      <c r="V336" s="20" t="s">
        <v>344</v>
      </c>
      <c r="W336" s="20" t="s">
        <v>333</v>
      </c>
      <c r="X336" s="20" t="s">
        <v>333</v>
      </c>
      <c r="Y336" s="20" t="s">
        <v>333</v>
      </c>
      <c r="Z336" s="20" t="s">
        <v>333</v>
      </c>
      <c r="AA336" s="20" t="s">
        <v>333</v>
      </c>
      <c r="AB336" s="20" t="s">
        <v>333</v>
      </c>
      <c r="AC336" s="20"/>
      <c r="AD336" s="20" t="s">
        <v>333</v>
      </c>
      <c r="AE336" s="20" t="s">
        <v>333</v>
      </c>
      <c r="AF336" s="20" t="s">
        <v>333</v>
      </c>
      <c r="AG336" s="20" t="s">
        <v>344</v>
      </c>
      <c r="AH336" s="20" t="s">
        <v>344</v>
      </c>
      <c r="AI336" s="20" t="s">
        <v>333</v>
      </c>
      <c r="AJ336" s="20"/>
      <c r="AK336" s="20" t="s">
        <v>347</v>
      </c>
      <c r="AL336" s="20" t="s">
        <v>1717</v>
      </c>
      <c r="AM336" s="20" t="s">
        <v>347</v>
      </c>
      <c r="AN336" s="20" t="s">
        <v>349</v>
      </c>
      <c r="AO336" s="20"/>
      <c r="AP336" s="20" t="s">
        <v>1695</v>
      </c>
      <c r="AQ336" s="20" t="s">
        <v>1556</v>
      </c>
      <c r="AR336" s="20"/>
      <c r="AS336" s="20"/>
    </row>
    <row r="337">
      <c r="A337" s="20" t="s">
        <v>3817</v>
      </c>
      <c r="B337" s="20" t="s">
        <v>2366</v>
      </c>
      <c r="C337" s="20" t="s">
        <v>2367</v>
      </c>
      <c r="D337" s="20" t="s">
        <v>2368</v>
      </c>
      <c r="E337" s="20" t="s">
        <v>49</v>
      </c>
      <c r="F337" s="80" t="s">
        <v>2369</v>
      </c>
      <c r="G337" s="75" t="s">
        <v>2373</v>
      </c>
      <c r="H337" s="20" t="s">
        <v>303</v>
      </c>
      <c r="I337" s="20" t="s">
        <v>303</v>
      </c>
      <c r="J337" s="20" t="s">
        <v>74</v>
      </c>
      <c r="K337" s="20" t="s">
        <v>55</v>
      </c>
      <c r="L337" s="20" t="s">
        <v>56</v>
      </c>
      <c r="M337" s="20" t="s">
        <v>57</v>
      </c>
      <c r="N337" s="20" t="s">
        <v>333</v>
      </c>
      <c r="O337" s="20" t="s">
        <v>1720</v>
      </c>
      <c r="P337" s="20" t="s">
        <v>2006</v>
      </c>
      <c r="Q337" s="20" t="s">
        <v>59</v>
      </c>
      <c r="R337" s="20" t="s">
        <v>333</v>
      </c>
      <c r="S337" s="20" t="s">
        <v>333</v>
      </c>
      <c r="T337" s="20"/>
      <c r="U337" s="20"/>
      <c r="V337" s="20" t="s">
        <v>344</v>
      </c>
      <c r="W337" s="20" t="s">
        <v>333</v>
      </c>
      <c r="X337" s="20" t="s">
        <v>333</v>
      </c>
      <c r="Y337" s="20" t="s">
        <v>333</v>
      </c>
      <c r="Z337" s="20" t="s">
        <v>333</v>
      </c>
      <c r="AA337" s="20" t="s">
        <v>333</v>
      </c>
      <c r="AB337" s="20" t="s">
        <v>333</v>
      </c>
      <c r="AC337" s="20"/>
      <c r="AD337" s="20" t="s">
        <v>333</v>
      </c>
      <c r="AE337" s="20" t="s">
        <v>333</v>
      </c>
      <c r="AF337" s="20" t="s">
        <v>333</v>
      </c>
      <c r="AG337" s="20" t="s">
        <v>344</v>
      </c>
      <c r="AH337" s="20" t="s">
        <v>344</v>
      </c>
      <c r="AI337" s="20" t="s">
        <v>333</v>
      </c>
      <c r="AJ337" s="20"/>
      <c r="AK337" s="20" t="s">
        <v>1244</v>
      </c>
      <c r="AL337" s="20" t="s">
        <v>1596</v>
      </c>
      <c r="AM337" s="20" t="s">
        <v>1244</v>
      </c>
      <c r="AN337" s="20" t="s">
        <v>349</v>
      </c>
      <c r="AO337" s="20"/>
      <c r="AP337" s="20" t="s">
        <v>1720</v>
      </c>
      <c r="AQ337" s="20" t="s">
        <v>2006</v>
      </c>
      <c r="AR337" s="20"/>
      <c r="AS337" s="20"/>
    </row>
    <row r="338">
      <c r="A338" s="32" t="s">
        <v>3821</v>
      </c>
      <c r="B338" s="32" t="s">
        <v>2213</v>
      </c>
      <c r="C338" s="32" t="s">
        <v>2215</v>
      </c>
      <c r="D338" s="48" t="s">
        <v>3822</v>
      </c>
      <c r="E338" s="32" t="s">
        <v>49</v>
      </c>
      <c r="F338" s="32" t="s">
        <v>3823</v>
      </c>
      <c r="G338" s="32" t="s">
        <v>3824</v>
      </c>
      <c r="H338" s="32" t="s">
        <v>1385</v>
      </c>
      <c r="I338" s="32" t="s">
        <v>1386</v>
      </c>
      <c r="J338" s="32" t="s">
        <v>74</v>
      </c>
      <c r="K338" s="32" t="s">
        <v>55</v>
      </c>
      <c r="L338" s="32" t="s">
        <v>56</v>
      </c>
      <c r="M338" s="32" t="s">
        <v>57</v>
      </c>
      <c r="N338" s="32" t="s">
        <v>333</v>
      </c>
      <c r="O338" s="32" t="s">
        <v>1669</v>
      </c>
      <c r="P338" s="32" t="s">
        <v>1670</v>
      </c>
      <c r="Q338" s="32" t="s">
        <v>59</v>
      </c>
      <c r="R338" s="32" t="s">
        <v>333</v>
      </c>
      <c r="S338" s="32" t="s">
        <v>333</v>
      </c>
      <c r="T338" s="32"/>
      <c r="U338" s="32"/>
      <c r="V338" s="32" t="s">
        <v>344</v>
      </c>
      <c r="W338" s="32" t="s">
        <v>333</v>
      </c>
      <c r="X338" s="32" t="s">
        <v>333</v>
      </c>
      <c r="Y338" s="32" t="s">
        <v>333</v>
      </c>
      <c r="Z338" s="32" t="s">
        <v>333</v>
      </c>
      <c r="AA338" s="32" t="s">
        <v>333</v>
      </c>
      <c r="AB338" s="32" t="s">
        <v>333</v>
      </c>
      <c r="AC338" s="32"/>
      <c r="AD338" s="32" t="s">
        <v>333</v>
      </c>
      <c r="AE338" s="32" t="s">
        <v>333</v>
      </c>
      <c r="AF338" s="32" t="s">
        <v>333</v>
      </c>
      <c r="AG338" s="32" t="s">
        <v>344</v>
      </c>
      <c r="AH338" s="32" t="s">
        <v>344</v>
      </c>
      <c r="AI338" s="32" t="s">
        <v>333</v>
      </c>
      <c r="AJ338" s="32"/>
      <c r="AK338" s="32" t="s">
        <v>347</v>
      </c>
      <c r="AL338" s="32" t="s">
        <v>1269</v>
      </c>
      <c r="AM338" s="32" t="s">
        <v>347</v>
      </c>
      <c r="AN338" s="32" t="s">
        <v>349</v>
      </c>
      <c r="AO338" s="32"/>
      <c r="AP338" s="32" t="s">
        <v>1669</v>
      </c>
      <c r="AQ338" s="32" t="s">
        <v>1670</v>
      </c>
      <c r="AR338" s="21" t="s">
        <v>1931</v>
      </c>
      <c r="AS338" s="21">
        <v>2.0</v>
      </c>
    </row>
    <row r="339">
      <c r="A339" s="20" t="s">
        <v>3828</v>
      </c>
      <c r="B339" s="20" t="s">
        <v>554</v>
      </c>
      <c r="C339" s="20" t="s">
        <v>555</v>
      </c>
      <c r="D339" s="20"/>
      <c r="E339" s="20" t="s">
        <v>49</v>
      </c>
      <c r="F339" s="80" t="s">
        <v>3829</v>
      </c>
      <c r="G339" s="75" t="s">
        <v>3830</v>
      </c>
      <c r="H339" s="20" t="s">
        <v>147</v>
      </c>
      <c r="I339" s="20" t="s">
        <v>148</v>
      </c>
      <c r="J339" s="20" t="s">
        <v>148</v>
      </c>
      <c r="K339" s="20" t="s">
        <v>55</v>
      </c>
      <c r="L339" s="20" t="s">
        <v>56</v>
      </c>
      <c r="M339" s="20" t="s">
        <v>57</v>
      </c>
      <c r="N339" s="20" t="s">
        <v>333</v>
      </c>
      <c r="O339" s="20" t="s">
        <v>1745</v>
      </c>
      <c r="P339" s="20" t="s">
        <v>1695</v>
      </c>
      <c r="Q339" s="20" t="s">
        <v>59</v>
      </c>
      <c r="R339" s="20" t="s">
        <v>333</v>
      </c>
      <c r="S339" s="20" t="s">
        <v>333</v>
      </c>
      <c r="T339" s="20"/>
      <c r="U339" s="20"/>
      <c r="V339" s="20" t="s">
        <v>344</v>
      </c>
      <c r="W339" s="20" t="s">
        <v>333</v>
      </c>
      <c r="X339" s="20" t="s">
        <v>333</v>
      </c>
      <c r="Y339" s="20" t="s">
        <v>333</v>
      </c>
      <c r="Z339" s="20" t="s">
        <v>333</v>
      </c>
      <c r="AA339" s="20" t="s">
        <v>333</v>
      </c>
      <c r="AB339" s="20" t="s">
        <v>333</v>
      </c>
      <c r="AC339" s="20"/>
      <c r="AD339" s="20" t="s">
        <v>333</v>
      </c>
      <c r="AE339" s="20" t="s">
        <v>333</v>
      </c>
      <c r="AF339" s="20" t="s">
        <v>333</v>
      </c>
      <c r="AG339" s="20" t="s">
        <v>344</v>
      </c>
      <c r="AH339" s="20" t="s">
        <v>344</v>
      </c>
      <c r="AI339" s="20" t="s">
        <v>333</v>
      </c>
      <c r="AJ339" s="20"/>
      <c r="AK339" s="20" t="s">
        <v>347</v>
      </c>
      <c r="AL339" s="20" t="s">
        <v>348</v>
      </c>
      <c r="AM339" s="20" t="s">
        <v>347</v>
      </c>
      <c r="AN339" s="20" t="s">
        <v>349</v>
      </c>
      <c r="AO339" s="20"/>
      <c r="AP339" s="20" t="s">
        <v>1745</v>
      </c>
      <c r="AQ339" s="20" t="s">
        <v>1695</v>
      </c>
      <c r="AR339" s="20"/>
      <c r="AS339" s="20"/>
    </row>
    <row r="340">
      <c r="A340" s="20" t="s">
        <v>3833</v>
      </c>
      <c r="B340" s="20" t="s">
        <v>3806</v>
      </c>
      <c r="C340" s="20" t="s">
        <v>3807</v>
      </c>
      <c r="D340" s="20"/>
      <c r="E340" s="20" t="s">
        <v>49</v>
      </c>
      <c r="F340" s="80" t="s">
        <v>3809</v>
      </c>
      <c r="G340" s="71" t="s">
        <v>3834</v>
      </c>
      <c r="H340" s="20" t="s">
        <v>2801</v>
      </c>
      <c r="I340" s="20" t="s">
        <v>2802</v>
      </c>
      <c r="J340" s="20" t="s">
        <v>74</v>
      </c>
      <c r="K340" s="20" t="s">
        <v>55</v>
      </c>
      <c r="L340" s="20" t="s">
        <v>56</v>
      </c>
      <c r="M340" s="20" t="s">
        <v>57</v>
      </c>
      <c r="N340" s="20" t="s">
        <v>333</v>
      </c>
      <c r="O340" s="20" t="s">
        <v>1720</v>
      </c>
      <c r="P340" s="20"/>
      <c r="Q340" s="20" t="s">
        <v>59</v>
      </c>
      <c r="R340" s="20" t="s">
        <v>333</v>
      </c>
      <c r="S340" s="20" t="s">
        <v>333</v>
      </c>
      <c r="T340" s="20"/>
      <c r="U340" s="20"/>
      <c r="V340" s="20" t="s">
        <v>344</v>
      </c>
      <c r="W340" s="20" t="s">
        <v>333</v>
      </c>
      <c r="X340" s="20" t="s">
        <v>333</v>
      </c>
      <c r="Y340" s="20" t="s">
        <v>333</v>
      </c>
      <c r="Z340" s="20" t="s">
        <v>333</v>
      </c>
      <c r="AA340" s="20" t="s">
        <v>333</v>
      </c>
      <c r="AB340" s="20" t="s">
        <v>333</v>
      </c>
      <c r="AC340" s="20"/>
      <c r="AD340" s="20" t="s">
        <v>333</v>
      </c>
      <c r="AE340" s="20" t="s">
        <v>333</v>
      </c>
      <c r="AF340" s="20" t="s">
        <v>333</v>
      </c>
      <c r="AG340" s="20" t="s">
        <v>344</v>
      </c>
      <c r="AH340" s="20" t="s">
        <v>344</v>
      </c>
      <c r="AI340" s="20" t="s">
        <v>333</v>
      </c>
      <c r="AJ340" s="20"/>
      <c r="AK340" s="20" t="s">
        <v>1244</v>
      </c>
      <c r="AL340" s="20" t="s">
        <v>1596</v>
      </c>
      <c r="AM340" s="20" t="s">
        <v>1244</v>
      </c>
      <c r="AN340" s="20" t="s">
        <v>349</v>
      </c>
      <c r="AO340" s="20"/>
      <c r="AP340" s="20" t="s">
        <v>1720</v>
      </c>
      <c r="AQ340" s="20" t="s">
        <v>349</v>
      </c>
      <c r="AR340" s="20"/>
      <c r="AS340" s="20"/>
    </row>
    <row r="341">
      <c r="A341" s="20" t="s">
        <v>3836</v>
      </c>
      <c r="B341" s="20" t="s">
        <v>1406</v>
      </c>
      <c r="C341" s="20" t="s">
        <v>1407</v>
      </c>
      <c r="D341" s="20"/>
      <c r="E341" s="20" t="s">
        <v>49</v>
      </c>
      <c r="F341" s="80" t="s">
        <v>3837</v>
      </c>
      <c r="G341" s="75" t="s">
        <v>3838</v>
      </c>
      <c r="H341" s="20" t="s">
        <v>513</v>
      </c>
      <c r="I341" s="20" t="s">
        <v>514</v>
      </c>
      <c r="J341" s="20" t="s">
        <v>74</v>
      </c>
      <c r="K341" s="20" t="s">
        <v>55</v>
      </c>
      <c r="L341" s="20" t="s">
        <v>56</v>
      </c>
      <c r="M341" s="20" t="s">
        <v>57</v>
      </c>
      <c r="N341" s="20" t="s">
        <v>333</v>
      </c>
      <c r="O341" s="20" t="s">
        <v>1736</v>
      </c>
      <c r="P341" s="20" t="s">
        <v>1695</v>
      </c>
      <c r="Q341" s="20" t="s">
        <v>59</v>
      </c>
      <c r="R341" s="20" t="s">
        <v>333</v>
      </c>
      <c r="S341" s="20" t="s">
        <v>333</v>
      </c>
      <c r="T341" s="20"/>
      <c r="U341" s="20"/>
      <c r="V341" s="20" t="s">
        <v>344</v>
      </c>
      <c r="W341" s="20" t="s">
        <v>333</v>
      </c>
      <c r="X341" s="20" t="s">
        <v>333</v>
      </c>
      <c r="Y341" s="20" t="s">
        <v>333</v>
      </c>
      <c r="Z341" s="20" t="s">
        <v>333</v>
      </c>
      <c r="AA341" s="20" t="s">
        <v>333</v>
      </c>
      <c r="AB341" s="20" t="s">
        <v>333</v>
      </c>
      <c r="AC341" s="20"/>
      <c r="AD341" s="20" t="s">
        <v>333</v>
      </c>
      <c r="AE341" s="20" t="s">
        <v>333</v>
      </c>
      <c r="AF341" s="20" t="s">
        <v>333</v>
      </c>
      <c r="AG341" s="20" t="s">
        <v>344</v>
      </c>
      <c r="AH341" s="20" t="s">
        <v>344</v>
      </c>
      <c r="AI341" s="20" t="s">
        <v>333</v>
      </c>
      <c r="AJ341" s="20"/>
      <c r="AK341" s="20" t="s">
        <v>1244</v>
      </c>
      <c r="AL341" s="20" t="s">
        <v>348</v>
      </c>
      <c r="AM341" s="20" t="s">
        <v>1244</v>
      </c>
      <c r="AN341" s="20" t="s">
        <v>349</v>
      </c>
      <c r="AO341" s="20"/>
      <c r="AP341" s="20" t="s">
        <v>1736</v>
      </c>
      <c r="AQ341" s="20" t="s">
        <v>1695</v>
      </c>
      <c r="AR341" s="20"/>
      <c r="AS341" s="20"/>
    </row>
    <row r="342">
      <c r="A342" s="20" t="s">
        <v>3840</v>
      </c>
      <c r="B342" s="20" t="s">
        <v>2375</v>
      </c>
      <c r="C342" s="20" t="s">
        <v>2376</v>
      </c>
      <c r="D342" s="20"/>
      <c r="E342" s="20" t="s">
        <v>49</v>
      </c>
      <c r="F342" s="80" t="s">
        <v>3841</v>
      </c>
      <c r="G342" s="75" t="s">
        <v>3845</v>
      </c>
      <c r="H342" s="20" t="s">
        <v>513</v>
      </c>
      <c r="I342" s="20" t="s">
        <v>514</v>
      </c>
      <c r="J342" s="20" t="s">
        <v>74</v>
      </c>
      <c r="K342" s="20" t="s">
        <v>55</v>
      </c>
      <c r="L342" s="20" t="s">
        <v>56</v>
      </c>
      <c r="M342" s="20" t="s">
        <v>57</v>
      </c>
      <c r="N342" s="20" t="s">
        <v>333</v>
      </c>
      <c r="O342" s="20" t="s">
        <v>1559</v>
      </c>
      <c r="P342" s="20" t="s">
        <v>1586</v>
      </c>
      <c r="Q342" s="20" t="s">
        <v>59</v>
      </c>
      <c r="R342" s="20" t="s">
        <v>333</v>
      </c>
      <c r="S342" s="20" t="s">
        <v>333</v>
      </c>
      <c r="T342" s="20"/>
      <c r="U342" s="20"/>
      <c r="V342" s="20" t="s">
        <v>344</v>
      </c>
      <c r="W342" s="20" t="s">
        <v>333</v>
      </c>
      <c r="X342" s="20" t="s">
        <v>333</v>
      </c>
      <c r="Y342" s="20" t="s">
        <v>333</v>
      </c>
      <c r="Z342" s="20" t="s">
        <v>333</v>
      </c>
      <c r="AA342" s="20" t="s">
        <v>333</v>
      </c>
      <c r="AB342" s="20" t="s">
        <v>333</v>
      </c>
      <c r="AC342" s="20"/>
      <c r="AD342" s="20" t="s">
        <v>333</v>
      </c>
      <c r="AE342" s="20" t="s">
        <v>333</v>
      </c>
      <c r="AF342" s="20" t="s">
        <v>333</v>
      </c>
      <c r="AG342" s="20" t="s">
        <v>344</v>
      </c>
      <c r="AH342" s="20" t="s">
        <v>344</v>
      </c>
      <c r="AI342" s="20" t="s">
        <v>333</v>
      </c>
      <c r="AJ342" s="20"/>
      <c r="AK342" s="20" t="s">
        <v>1717</v>
      </c>
      <c r="AL342" s="20" t="s">
        <v>1556</v>
      </c>
      <c r="AM342" s="20" t="s">
        <v>1717</v>
      </c>
      <c r="AN342" s="20" t="s">
        <v>349</v>
      </c>
      <c r="AO342" s="20"/>
      <c r="AP342" s="20" t="s">
        <v>1559</v>
      </c>
      <c r="AQ342" s="20" t="s">
        <v>1586</v>
      </c>
      <c r="AR342" s="20"/>
      <c r="AS342" s="20"/>
    </row>
    <row r="343">
      <c r="A343" s="20" t="s">
        <v>3850</v>
      </c>
      <c r="B343" s="20" t="s">
        <v>3615</v>
      </c>
      <c r="C343" s="20" t="s">
        <v>3616</v>
      </c>
      <c r="D343" s="20"/>
      <c r="E343" s="20" t="s">
        <v>49</v>
      </c>
      <c r="F343" s="29" t="s">
        <v>69</v>
      </c>
      <c r="G343" s="29" t="s">
        <v>69</v>
      </c>
      <c r="H343" s="20" t="s">
        <v>303</v>
      </c>
      <c r="I343" s="20" t="s">
        <v>303</v>
      </c>
      <c r="J343" s="20" t="s">
        <v>74</v>
      </c>
      <c r="K343" s="20" t="s">
        <v>55</v>
      </c>
      <c r="L343" s="20" t="s">
        <v>56</v>
      </c>
      <c r="M343" s="20" t="s">
        <v>57</v>
      </c>
      <c r="N343" s="20" t="s">
        <v>333</v>
      </c>
      <c r="O343" s="20"/>
      <c r="P343" s="20"/>
      <c r="Q343" s="20" t="s">
        <v>59</v>
      </c>
      <c r="R343" s="20" t="s">
        <v>333</v>
      </c>
      <c r="S343" s="20" t="s">
        <v>333</v>
      </c>
      <c r="T343" s="20"/>
      <c r="U343" s="20"/>
      <c r="V343" s="20" t="s">
        <v>344</v>
      </c>
      <c r="W343" s="20" t="s">
        <v>333</v>
      </c>
      <c r="X343" s="20" t="s">
        <v>333</v>
      </c>
      <c r="Y343" s="20" t="s">
        <v>333</v>
      </c>
      <c r="Z343" s="20" t="s">
        <v>333</v>
      </c>
      <c r="AA343" s="20" t="s">
        <v>333</v>
      </c>
      <c r="AB343" s="20" t="s">
        <v>333</v>
      </c>
      <c r="AC343" s="20"/>
      <c r="AD343" s="20" t="s">
        <v>333</v>
      </c>
      <c r="AE343" s="20" t="s">
        <v>333</v>
      </c>
      <c r="AF343" s="20" t="s">
        <v>333</v>
      </c>
      <c r="AG343" s="20" t="s">
        <v>344</v>
      </c>
      <c r="AH343" s="20" t="s">
        <v>344</v>
      </c>
      <c r="AI343" s="20" t="s">
        <v>333</v>
      </c>
      <c r="AJ343" s="20"/>
      <c r="AK343" s="20" t="s">
        <v>349</v>
      </c>
      <c r="AL343" s="20" t="s">
        <v>349</v>
      </c>
      <c r="AM343" s="20" t="s">
        <v>349</v>
      </c>
      <c r="AN343" s="20" t="s">
        <v>349</v>
      </c>
      <c r="AO343" s="20"/>
      <c r="AP343" s="20" t="s">
        <v>349</v>
      </c>
      <c r="AQ343" s="20" t="s">
        <v>349</v>
      </c>
      <c r="AR343" s="20"/>
      <c r="AS343" s="20"/>
    </row>
    <row r="344">
      <c r="A344" s="20" t="s">
        <v>3853</v>
      </c>
      <c r="B344" s="20" t="s">
        <v>3855</v>
      </c>
      <c r="C344" s="20" t="s">
        <v>3857</v>
      </c>
      <c r="D344" s="20"/>
      <c r="E344" s="20" t="s">
        <v>49</v>
      </c>
      <c r="F344" s="80" t="s">
        <v>3860</v>
      </c>
      <c r="G344" s="75" t="s">
        <v>3861</v>
      </c>
      <c r="H344" s="20" t="s">
        <v>472</v>
      </c>
      <c r="I344" s="20" t="s">
        <v>473</v>
      </c>
      <c r="J344" s="20" t="s">
        <v>74</v>
      </c>
      <c r="K344" s="20" t="s">
        <v>55</v>
      </c>
      <c r="L344" s="20" t="s">
        <v>56</v>
      </c>
      <c r="M344" s="20" t="s">
        <v>57</v>
      </c>
      <c r="N344" s="20" t="s">
        <v>333</v>
      </c>
      <c r="O344" s="20" t="s">
        <v>2005</v>
      </c>
      <c r="P344" s="20" t="s">
        <v>348</v>
      </c>
      <c r="Q344" s="20" t="s">
        <v>59</v>
      </c>
      <c r="R344" s="20" t="s">
        <v>333</v>
      </c>
      <c r="S344" s="20" t="s">
        <v>333</v>
      </c>
      <c r="T344" s="20"/>
      <c r="U344" s="20"/>
      <c r="V344" s="20" t="s">
        <v>344</v>
      </c>
      <c r="W344" s="20" t="s">
        <v>333</v>
      </c>
      <c r="X344" s="20" t="s">
        <v>333</v>
      </c>
      <c r="Y344" s="20" t="s">
        <v>333</v>
      </c>
      <c r="Z344" s="20" t="s">
        <v>333</v>
      </c>
      <c r="AA344" s="20" t="s">
        <v>333</v>
      </c>
      <c r="AB344" s="20" t="s">
        <v>333</v>
      </c>
      <c r="AC344" s="20"/>
      <c r="AD344" s="20" t="s">
        <v>333</v>
      </c>
      <c r="AE344" s="20" t="s">
        <v>333</v>
      </c>
      <c r="AF344" s="20" t="s">
        <v>333</v>
      </c>
      <c r="AG344" s="20" t="s">
        <v>344</v>
      </c>
      <c r="AH344" s="20" t="s">
        <v>344</v>
      </c>
      <c r="AI344" s="20" t="s">
        <v>333</v>
      </c>
      <c r="AJ344" s="20"/>
      <c r="AK344" s="20" t="s">
        <v>1244</v>
      </c>
      <c r="AL344" s="20" t="s">
        <v>1245</v>
      </c>
      <c r="AM344" s="20" t="s">
        <v>1244</v>
      </c>
      <c r="AN344" s="20" t="s">
        <v>349</v>
      </c>
      <c r="AO344" s="20"/>
      <c r="AP344" s="20" t="s">
        <v>2005</v>
      </c>
      <c r="AQ344" s="20" t="s">
        <v>348</v>
      </c>
      <c r="AR344" s="20"/>
      <c r="AS344" s="20"/>
    </row>
    <row r="345">
      <c r="A345" s="20" t="s">
        <v>3866</v>
      </c>
      <c r="B345" s="20" t="s">
        <v>742</v>
      </c>
      <c r="C345" s="20" t="s">
        <v>743</v>
      </c>
      <c r="D345" s="20" t="s">
        <v>744</v>
      </c>
      <c r="E345" s="20" t="s">
        <v>49</v>
      </c>
      <c r="F345" s="80" t="s">
        <v>2976</v>
      </c>
      <c r="G345" s="75" t="s">
        <v>745</v>
      </c>
      <c r="H345" s="20" t="s">
        <v>723</v>
      </c>
      <c r="I345" s="20" t="s">
        <v>587</v>
      </c>
      <c r="J345" s="20" t="s">
        <v>74</v>
      </c>
      <c r="K345" s="20" t="s">
        <v>55</v>
      </c>
      <c r="L345" s="20" t="s">
        <v>56</v>
      </c>
      <c r="M345" s="20" t="s">
        <v>57</v>
      </c>
      <c r="N345" s="20" t="s">
        <v>333</v>
      </c>
      <c r="O345" s="20" t="s">
        <v>1795</v>
      </c>
      <c r="P345" s="20"/>
      <c r="Q345" s="20" t="s">
        <v>59</v>
      </c>
      <c r="R345" s="20" t="s">
        <v>333</v>
      </c>
      <c r="S345" s="20" t="s">
        <v>333</v>
      </c>
      <c r="T345" s="20" t="s">
        <v>746</v>
      </c>
      <c r="U345" s="20" t="s">
        <v>275</v>
      </c>
      <c r="V345" s="20" t="s">
        <v>344</v>
      </c>
      <c r="W345" s="20" t="s">
        <v>333</v>
      </c>
      <c r="X345" s="20" t="s">
        <v>333</v>
      </c>
      <c r="Y345" s="20" t="s">
        <v>333</v>
      </c>
      <c r="Z345" s="20" t="s">
        <v>333</v>
      </c>
      <c r="AA345" s="20" t="s">
        <v>333</v>
      </c>
      <c r="AB345" s="20" t="s">
        <v>333</v>
      </c>
      <c r="AC345" s="20"/>
      <c r="AD345" s="20" t="s">
        <v>333</v>
      </c>
      <c r="AE345" s="20" t="s">
        <v>333</v>
      </c>
      <c r="AF345" s="20" t="s">
        <v>333</v>
      </c>
      <c r="AG345" s="20" t="s">
        <v>344</v>
      </c>
      <c r="AH345" s="20" t="s">
        <v>344</v>
      </c>
      <c r="AI345" s="20" t="s">
        <v>333</v>
      </c>
      <c r="AJ345" s="20"/>
      <c r="AK345" s="20" t="s">
        <v>1581</v>
      </c>
      <c r="AL345" s="20" t="s">
        <v>1245</v>
      </c>
      <c r="AM345" s="20" t="s">
        <v>1581</v>
      </c>
      <c r="AN345" s="20" t="s">
        <v>349</v>
      </c>
      <c r="AO345" s="20"/>
      <c r="AP345" s="20" t="s">
        <v>1795</v>
      </c>
      <c r="AQ345" s="20" t="s">
        <v>349</v>
      </c>
      <c r="AR345" s="20"/>
      <c r="AS345" s="20"/>
    </row>
    <row r="346">
      <c r="A346" s="20" t="s">
        <v>3872</v>
      </c>
      <c r="B346" s="20" t="s">
        <v>2668</v>
      </c>
      <c r="C346" s="20" t="s">
        <v>2669</v>
      </c>
      <c r="D346" s="20"/>
      <c r="E346" s="20" t="s">
        <v>49</v>
      </c>
      <c r="F346" s="80" t="s">
        <v>3875</v>
      </c>
      <c r="G346" s="75" t="s">
        <v>3878</v>
      </c>
      <c r="H346" s="20" t="s">
        <v>1110</v>
      </c>
      <c r="I346" s="20" t="s">
        <v>1111</v>
      </c>
      <c r="J346" s="20" t="s">
        <v>74</v>
      </c>
      <c r="K346" s="20" t="s">
        <v>55</v>
      </c>
      <c r="L346" s="20" t="s">
        <v>56</v>
      </c>
      <c r="M346" s="20" t="s">
        <v>57</v>
      </c>
      <c r="N346" s="20" t="s">
        <v>333</v>
      </c>
      <c r="O346" s="20" t="s">
        <v>1238</v>
      </c>
      <c r="P346" s="20"/>
      <c r="Q346" s="20" t="s">
        <v>59</v>
      </c>
      <c r="R346" s="20" t="s">
        <v>333</v>
      </c>
      <c r="S346" s="20" t="s">
        <v>333</v>
      </c>
      <c r="T346" s="20"/>
      <c r="U346" s="20"/>
      <c r="V346" s="20" t="s">
        <v>344</v>
      </c>
      <c r="W346" s="20" t="s">
        <v>333</v>
      </c>
      <c r="X346" s="20" t="s">
        <v>333</v>
      </c>
      <c r="Y346" s="20" t="s">
        <v>333</v>
      </c>
      <c r="Z346" s="20" t="s">
        <v>333</v>
      </c>
      <c r="AA346" s="20" t="s">
        <v>333</v>
      </c>
      <c r="AB346" s="20" t="s">
        <v>333</v>
      </c>
      <c r="AC346" s="20"/>
      <c r="AD346" s="20" t="s">
        <v>333</v>
      </c>
      <c r="AE346" s="20" t="s">
        <v>333</v>
      </c>
      <c r="AF346" s="20" t="s">
        <v>333</v>
      </c>
      <c r="AG346" s="20" t="s">
        <v>344</v>
      </c>
      <c r="AH346" s="20" t="s">
        <v>344</v>
      </c>
      <c r="AI346" s="20" t="s">
        <v>333</v>
      </c>
      <c r="AJ346" s="20"/>
      <c r="AK346" s="20" t="s">
        <v>347</v>
      </c>
      <c r="AL346" s="20" t="s">
        <v>348</v>
      </c>
      <c r="AM346" s="20" t="s">
        <v>347</v>
      </c>
      <c r="AN346" s="20" t="s">
        <v>349</v>
      </c>
      <c r="AO346" s="20"/>
      <c r="AP346" s="20" t="s">
        <v>1238</v>
      </c>
      <c r="AQ346" s="20" t="s">
        <v>349</v>
      </c>
      <c r="AR346" s="20"/>
      <c r="AS346" s="20"/>
    </row>
    <row r="347">
      <c r="A347" s="20" t="s">
        <v>3884</v>
      </c>
      <c r="B347" s="20" t="s">
        <v>3885</v>
      </c>
      <c r="C347" s="20" t="s">
        <v>3886</v>
      </c>
      <c r="D347" s="20"/>
      <c r="E347" s="20" t="s">
        <v>49</v>
      </c>
      <c r="F347" s="80" t="s">
        <v>3887</v>
      </c>
      <c r="G347" s="75" t="s">
        <v>3891</v>
      </c>
      <c r="H347" s="20" t="s">
        <v>142</v>
      </c>
      <c r="I347" s="20" t="s">
        <v>144</v>
      </c>
      <c r="J347" s="20" t="s">
        <v>74</v>
      </c>
      <c r="K347" s="20" t="s">
        <v>55</v>
      </c>
      <c r="L347" s="20" t="s">
        <v>56</v>
      </c>
      <c r="M347" s="20" t="s">
        <v>57</v>
      </c>
      <c r="N347" s="20" t="s">
        <v>333</v>
      </c>
      <c r="O347" s="20" t="s">
        <v>1745</v>
      </c>
      <c r="P347" s="20"/>
      <c r="Q347" s="20" t="s">
        <v>59</v>
      </c>
      <c r="R347" s="20" t="s">
        <v>333</v>
      </c>
      <c r="S347" s="20" t="s">
        <v>333</v>
      </c>
      <c r="T347" s="20"/>
      <c r="U347" s="20"/>
      <c r="V347" s="20" t="s">
        <v>344</v>
      </c>
      <c r="W347" s="20" t="s">
        <v>333</v>
      </c>
      <c r="X347" s="20" t="s">
        <v>333</v>
      </c>
      <c r="Y347" s="20" t="s">
        <v>333</v>
      </c>
      <c r="Z347" s="20" t="s">
        <v>333</v>
      </c>
      <c r="AA347" s="20" t="s">
        <v>333</v>
      </c>
      <c r="AB347" s="20" t="s">
        <v>333</v>
      </c>
      <c r="AC347" s="20"/>
      <c r="AD347" s="20" t="s">
        <v>333</v>
      </c>
      <c r="AE347" s="20" t="s">
        <v>333</v>
      </c>
      <c r="AF347" s="20" t="s">
        <v>333</v>
      </c>
      <c r="AG347" s="20" t="s">
        <v>344</v>
      </c>
      <c r="AH347" s="20" t="s">
        <v>344</v>
      </c>
      <c r="AI347" s="20" t="s">
        <v>333</v>
      </c>
      <c r="AJ347" s="20"/>
      <c r="AK347" s="20" t="s">
        <v>1260</v>
      </c>
      <c r="AL347" s="20" t="s">
        <v>2584</v>
      </c>
      <c r="AM347" s="20" t="s">
        <v>1260</v>
      </c>
      <c r="AN347" s="20" t="s">
        <v>349</v>
      </c>
      <c r="AO347" s="20"/>
      <c r="AP347" s="20" t="s">
        <v>1745</v>
      </c>
      <c r="AQ347" s="20" t="s">
        <v>349</v>
      </c>
      <c r="AR347" s="20"/>
      <c r="AS347" s="20"/>
    </row>
    <row r="348">
      <c r="A348" s="20" t="s">
        <v>3895</v>
      </c>
      <c r="B348" s="20" t="s">
        <v>3811</v>
      </c>
      <c r="C348" s="20" t="s">
        <v>3812</v>
      </c>
      <c r="D348" s="20"/>
      <c r="E348" s="20" t="s">
        <v>49</v>
      </c>
      <c r="F348" s="80" t="s">
        <v>3896</v>
      </c>
      <c r="G348" s="75" t="s">
        <v>3898</v>
      </c>
      <c r="H348" s="20" t="s">
        <v>142</v>
      </c>
      <c r="I348" s="20" t="s">
        <v>144</v>
      </c>
      <c r="J348" s="20" t="s">
        <v>74</v>
      </c>
      <c r="K348" s="20" t="s">
        <v>55</v>
      </c>
      <c r="L348" s="20" t="s">
        <v>56</v>
      </c>
      <c r="M348" s="20" t="s">
        <v>57</v>
      </c>
      <c r="N348" s="20" t="s">
        <v>333</v>
      </c>
      <c r="O348" s="20" t="s">
        <v>1736</v>
      </c>
      <c r="P348" s="20" t="s">
        <v>1596</v>
      </c>
      <c r="Q348" s="20" t="s">
        <v>59</v>
      </c>
      <c r="R348" s="20" t="s">
        <v>333</v>
      </c>
      <c r="S348" s="20" t="s">
        <v>333</v>
      </c>
      <c r="T348" s="20"/>
      <c r="U348" s="20"/>
      <c r="V348" s="20" t="s">
        <v>344</v>
      </c>
      <c r="W348" s="20" t="s">
        <v>333</v>
      </c>
      <c r="X348" s="20" t="s">
        <v>333</v>
      </c>
      <c r="Y348" s="20" t="s">
        <v>333</v>
      </c>
      <c r="Z348" s="20" t="s">
        <v>333</v>
      </c>
      <c r="AA348" s="20" t="s">
        <v>333</v>
      </c>
      <c r="AB348" s="20" t="s">
        <v>333</v>
      </c>
      <c r="AC348" s="20"/>
      <c r="AD348" s="20" t="s">
        <v>333</v>
      </c>
      <c r="AE348" s="20" t="s">
        <v>333</v>
      </c>
      <c r="AF348" s="20" t="s">
        <v>333</v>
      </c>
      <c r="AG348" s="20" t="s">
        <v>344</v>
      </c>
      <c r="AH348" s="20" t="s">
        <v>344</v>
      </c>
      <c r="AI348" s="20" t="s">
        <v>333</v>
      </c>
      <c r="AJ348" s="20"/>
      <c r="AK348" s="20" t="s">
        <v>1244</v>
      </c>
      <c r="AL348" s="20" t="s">
        <v>1245</v>
      </c>
      <c r="AM348" s="20" t="s">
        <v>1244</v>
      </c>
      <c r="AN348" s="20" t="s">
        <v>349</v>
      </c>
      <c r="AO348" s="20"/>
      <c r="AP348" s="20" t="s">
        <v>1736</v>
      </c>
      <c r="AQ348" s="20" t="s">
        <v>1596</v>
      </c>
      <c r="AR348" s="20"/>
      <c r="AS348" s="20"/>
    </row>
    <row r="349">
      <c r="A349" s="20" t="s">
        <v>3899</v>
      </c>
      <c r="B349" s="20" t="s">
        <v>2733</v>
      </c>
      <c r="C349" s="20" t="s">
        <v>2734</v>
      </c>
      <c r="D349" s="20"/>
      <c r="E349" s="20" t="s">
        <v>49</v>
      </c>
      <c r="F349" s="80" t="s">
        <v>3900</v>
      </c>
      <c r="G349" s="20" t="s">
        <v>3901</v>
      </c>
      <c r="H349" s="20" t="s">
        <v>123</v>
      </c>
      <c r="I349" s="20" t="s">
        <v>124</v>
      </c>
      <c r="J349" s="20" t="s">
        <v>74</v>
      </c>
      <c r="K349" s="20" t="s">
        <v>55</v>
      </c>
      <c r="L349" s="20" t="s">
        <v>56</v>
      </c>
      <c r="M349" s="20" t="s">
        <v>57</v>
      </c>
      <c r="N349" s="20" t="s">
        <v>333</v>
      </c>
      <c r="O349" s="20" t="s">
        <v>1571</v>
      </c>
      <c r="P349" s="20" t="s">
        <v>1253</v>
      </c>
      <c r="Q349" s="20" t="s">
        <v>59</v>
      </c>
      <c r="R349" s="20" t="s">
        <v>333</v>
      </c>
      <c r="S349" s="20" t="s">
        <v>333</v>
      </c>
      <c r="T349" s="20"/>
      <c r="U349" s="20"/>
      <c r="V349" s="20" t="s">
        <v>344</v>
      </c>
      <c r="W349" s="20" t="s">
        <v>333</v>
      </c>
      <c r="X349" s="20" t="s">
        <v>333</v>
      </c>
      <c r="Y349" s="20" t="s">
        <v>333</v>
      </c>
      <c r="Z349" s="20" t="s">
        <v>333</v>
      </c>
      <c r="AA349" s="20" t="s">
        <v>333</v>
      </c>
      <c r="AB349" s="20" t="s">
        <v>333</v>
      </c>
      <c r="AC349" s="20"/>
      <c r="AD349" s="20" t="s">
        <v>333</v>
      </c>
      <c r="AE349" s="20" t="s">
        <v>333</v>
      </c>
      <c r="AF349" s="20" t="s">
        <v>333</v>
      </c>
      <c r="AG349" s="20" t="s">
        <v>344</v>
      </c>
      <c r="AH349" s="20" t="s">
        <v>344</v>
      </c>
      <c r="AI349" s="20" t="s">
        <v>333</v>
      </c>
      <c r="AJ349" s="20"/>
      <c r="AK349" s="20" t="s">
        <v>347</v>
      </c>
      <c r="AL349" s="20" t="s">
        <v>348</v>
      </c>
      <c r="AM349" s="20" t="s">
        <v>347</v>
      </c>
      <c r="AN349" s="20" t="s">
        <v>349</v>
      </c>
      <c r="AO349" s="20"/>
      <c r="AP349" s="20" t="s">
        <v>1571</v>
      </c>
      <c r="AQ349" s="20" t="s">
        <v>1253</v>
      </c>
      <c r="AR349" s="20"/>
      <c r="AS349" s="20"/>
    </row>
    <row r="350">
      <c r="A350" s="20" t="s">
        <v>3904</v>
      </c>
      <c r="B350" s="20" t="s">
        <v>1171</v>
      </c>
      <c r="C350" s="20" t="s">
        <v>1172</v>
      </c>
      <c r="D350" s="20" t="s">
        <v>1173</v>
      </c>
      <c r="E350" s="20" t="s">
        <v>49</v>
      </c>
      <c r="F350" s="80" t="s">
        <v>3907</v>
      </c>
      <c r="G350" s="75" t="s">
        <v>3910</v>
      </c>
      <c r="H350" s="20" t="s">
        <v>53</v>
      </c>
      <c r="I350" s="20" t="s">
        <v>54</v>
      </c>
      <c r="J350" s="20" t="s">
        <v>54</v>
      </c>
      <c r="K350" s="20" t="s">
        <v>55</v>
      </c>
      <c r="L350" s="20" t="s">
        <v>56</v>
      </c>
      <c r="M350" s="20" t="s">
        <v>57</v>
      </c>
      <c r="N350" s="20" t="s">
        <v>333</v>
      </c>
      <c r="O350" s="20" t="s">
        <v>1682</v>
      </c>
      <c r="P350" s="20" t="s">
        <v>1556</v>
      </c>
      <c r="Q350" s="20" t="s">
        <v>59</v>
      </c>
      <c r="R350" s="20" t="s">
        <v>333</v>
      </c>
      <c r="S350" s="20" t="s">
        <v>333</v>
      </c>
      <c r="T350" s="20" t="s">
        <v>275</v>
      </c>
      <c r="U350" s="20"/>
      <c r="V350" s="20" t="s">
        <v>344</v>
      </c>
      <c r="W350" s="20" t="s">
        <v>333</v>
      </c>
      <c r="X350" s="20" t="s">
        <v>333</v>
      </c>
      <c r="Y350" s="20" t="s">
        <v>333</v>
      </c>
      <c r="Z350" s="20" t="s">
        <v>333</v>
      </c>
      <c r="AA350" s="20" t="s">
        <v>333</v>
      </c>
      <c r="AB350" s="20" t="s">
        <v>333</v>
      </c>
      <c r="AC350" s="20"/>
      <c r="AD350" s="20" t="s">
        <v>333</v>
      </c>
      <c r="AE350" s="20" t="s">
        <v>333</v>
      </c>
      <c r="AF350" s="20" t="s">
        <v>333</v>
      </c>
      <c r="AG350" s="20" t="s">
        <v>344</v>
      </c>
      <c r="AH350" s="20" t="s">
        <v>344</v>
      </c>
      <c r="AI350" s="20" t="s">
        <v>333</v>
      </c>
      <c r="AJ350" s="20"/>
      <c r="AK350" s="20" t="s">
        <v>1260</v>
      </c>
      <c r="AL350" s="20" t="s">
        <v>2452</v>
      </c>
      <c r="AM350" s="20" t="s">
        <v>1260</v>
      </c>
      <c r="AN350" s="20" t="s">
        <v>349</v>
      </c>
      <c r="AO350" s="20"/>
      <c r="AP350" s="20" t="s">
        <v>1682</v>
      </c>
      <c r="AQ350" s="20" t="s">
        <v>1556</v>
      </c>
      <c r="AR350" s="20"/>
      <c r="AS350" s="20"/>
    </row>
    <row r="351">
      <c r="A351" s="20" t="s">
        <v>3916</v>
      </c>
      <c r="B351" s="20" t="s">
        <v>755</v>
      </c>
      <c r="C351" s="20" t="s">
        <v>758</v>
      </c>
      <c r="D351" s="20"/>
      <c r="E351" s="20" t="s">
        <v>49</v>
      </c>
      <c r="F351" s="80" t="s">
        <v>2197</v>
      </c>
      <c r="G351" s="71" t="s">
        <v>3917</v>
      </c>
      <c r="H351" s="20" t="s">
        <v>147</v>
      </c>
      <c r="I351" s="20" t="s">
        <v>148</v>
      </c>
      <c r="J351" s="20" t="s">
        <v>148</v>
      </c>
      <c r="K351" s="20" t="s">
        <v>55</v>
      </c>
      <c r="L351" s="20" t="s">
        <v>56</v>
      </c>
      <c r="M351" s="20" t="s">
        <v>57</v>
      </c>
      <c r="N351" s="20" t="s">
        <v>333</v>
      </c>
      <c r="O351" s="20" t="s">
        <v>1682</v>
      </c>
      <c r="P351" s="20" t="s">
        <v>1556</v>
      </c>
      <c r="Q351" s="20" t="s">
        <v>59</v>
      </c>
      <c r="R351" s="20" t="s">
        <v>333</v>
      </c>
      <c r="S351" s="20" t="s">
        <v>333</v>
      </c>
      <c r="T351" s="20"/>
      <c r="U351" s="20"/>
      <c r="V351" s="20" t="s">
        <v>344</v>
      </c>
      <c r="W351" s="20" t="s">
        <v>333</v>
      </c>
      <c r="X351" s="20" t="s">
        <v>333</v>
      </c>
      <c r="Y351" s="20" t="s">
        <v>333</v>
      </c>
      <c r="Z351" s="20" t="s">
        <v>333</v>
      </c>
      <c r="AA351" s="20" t="s">
        <v>333</v>
      </c>
      <c r="AB351" s="20" t="s">
        <v>333</v>
      </c>
      <c r="AC351" s="20"/>
      <c r="AD351" s="20" t="s">
        <v>333</v>
      </c>
      <c r="AE351" s="20" t="s">
        <v>333</v>
      </c>
      <c r="AF351" s="20" t="s">
        <v>333</v>
      </c>
      <c r="AG351" s="20" t="s">
        <v>344</v>
      </c>
      <c r="AH351" s="20" t="s">
        <v>344</v>
      </c>
      <c r="AI351" s="20" t="s">
        <v>333</v>
      </c>
      <c r="AJ351" s="20"/>
      <c r="AK351" s="20" t="s">
        <v>347</v>
      </c>
      <c r="AL351" s="20" t="s">
        <v>1261</v>
      </c>
      <c r="AM351" s="20" t="s">
        <v>347</v>
      </c>
      <c r="AN351" s="20" t="s">
        <v>349</v>
      </c>
      <c r="AO351" s="20"/>
      <c r="AP351" s="20" t="s">
        <v>1682</v>
      </c>
      <c r="AQ351" s="20" t="s">
        <v>1556</v>
      </c>
      <c r="AR351" s="20"/>
      <c r="AS351" s="20"/>
    </row>
    <row r="352">
      <c r="A352" s="20" t="s">
        <v>3926</v>
      </c>
      <c r="B352" s="20" t="s">
        <v>2235</v>
      </c>
      <c r="C352" s="20" t="s">
        <v>2236</v>
      </c>
      <c r="D352" s="20"/>
      <c r="E352" s="20" t="s">
        <v>49</v>
      </c>
      <c r="F352" s="29" t="s">
        <v>69</v>
      </c>
      <c r="G352" s="20" t="s">
        <v>3927</v>
      </c>
      <c r="H352" s="20" t="s">
        <v>142</v>
      </c>
      <c r="I352" s="20" t="s">
        <v>144</v>
      </c>
      <c r="J352" s="20" t="s">
        <v>74</v>
      </c>
      <c r="K352" s="20" t="s">
        <v>55</v>
      </c>
      <c r="L352" s="20" t="s">
        <v>56</v>
      </c>
      <c r="M352" s="20" t="s">
        <v>57</v>
      </c>
      <c r="N352" s="20" t="s">
        <v>333</v>
      </c>
      <c r="O352" s="20" t="s">
        <v>1596</v>
      </c>
      <c r="P352" s="20" t="s">
        <v>1720</v>
      </c>
      <c r="Q352" s="20" t="s">
        <v>59</v>
      </c>
      <c r="R352" s="20" t="s">
        <v>333</v>
      </c>
      <c r="S352" s="20" t="s">
        <v>333</v>
      </c>
      <c r="T352" s="20"/>
      <c r="U352" s="20"/>
      <c r="V352" s="20" t="s">
        <v>344</v>
      </c>
      <c r="W352" s="20" t="s">
        <v>333</v>
      </c>
      <c r="X352" s="20" t="s">
        <v>333</v>
      </c>
      <c r="Y352" s="20" t="s">
        <v>333</v>
      </c>
      <c r="Z352" s="20" t="s">
        <v>333</v>
      </c>
      <c r="AA352" s="20" t="s">
        <v>333</v>
      </c>
      <c r="AB352" s="20" t="s">
        <v>333</v>
      </c>
      <c r="AC352" s="20"/>
      <c r="AD352" s="20" t="s">
        <v>333</v>
      </c>
      <c r="AE352" s="20" t="s">
        <v>333</v>
      </c>
      <c r="AF352" s="20" t="s">
        <v>333</v>
      </c>
      <c r="AG352" s="20" t="s">
        <v>344</v>
      </c>
      <c r="AH352" s="20" t="s">
        <v>344</v>
      </c>
      <c r="AI352" s="20" t="s">
        <v>333</v>
      </c>
      <c r="AJ352" s="20"/>
      <c r="AK352" s="20" t="s">
        <v>347</v>
      </c>
      <c r="AL352" s="20" t="s">
        <v>2019</v>
      </c>
      <c r="AM352" s="20" t="s">
        <v>347</v>
      </c>
      <c r="AN352" s="20" t="s">
        <v>349</v>
      </c>
      <c r="AO352" s="20"/>
      <c r="AP352" s="20" t="s">
        <v>1596</v>
      </c>
      <c r="AQ352" s="20" t="s">
        <v>1720</v>
      </c>
      <c r="AR352" s="20"/>
      <c r="AS352" s="20"/>
    </row>
    <row r="353">
      <c r="A353" s="20" t="s">
        <v>3930</v>
      </c>
      <c r="B353" s="20" t="s">
        <v>1021</v>
      </c>
      <c r="C353" s="20" t="s">
        <v>1022</v>
      </c>
      <c r="D353" s="20"/>
      <c r="E353" s="20" t="s">
        <v>49</v>
      </c>
      <c r="F353" s="29" t="s">
        <v>69</v>
      </c>
      <c r="G353" s="29" t="s">
        <v>69</v>
      </c>
      <c r="H353" s="20" t="s">
        <v>75</v>
      </c>
      <c r="I353" s="20" t="s">
        <v>76</v>
      </c>
      <c r="J353" s="20" t="s">
        <v>76</v>
      </c>
      <c r="K353" s="20" t="s">
        <v>55</v>
      </c>
      <c r="L353" s="20" t="s">
        <v>56</v>
      </c>
      <c r="M353" s="20" t="s">
        <v>57</v>
      </c>
      <c r="N353" s="20" t="s">
        <v>333</v>
      </c>
      <c r="O353" s="20" t="s">
        <v>1682</v>
      </c>
      <c r="P353" s="20" t="s">
        <v>1556</v>
      </c>
      <c r="Q353" s="20" t="s">
        <v>59</v>
      </c>
      <c r="R353" s="20" t="s">
        <v>333</v>
      </c>
      <c r="S353" s="20" t="s">
        <v>333</v>
      </c>
      <c r="T353" s="20"/>
      <c r="U353" s="20"/>
      <c r="V353" s="20" t="s">
        <v>344</v>
      </c>
      <c r="W353" s="20" t="s">
        <v>333</v>
      </c>
      <c r="X353" s="20" t="s">
        <v>333</v>
      </c>
      <c r="Y353" s="20" t="s">
        <v>333</v>
      </c>
      <c r="Z353" s="20" t="s">
        <v>333</v>
      </c>
      <c r="AA353" s="20" t="s">
        <v>333</v>
      </c>
      <c r="AB353" s="20" t="s">
        <v>333</v>
      </c>
      <c r="AC353" s="20"/>
      <c r="AD353" s="20" t="s">
        <v>333</v>
      </c>
      <c r="AE353" s="20" t="s">
        <v>333</v>
      </c>
      <c r="AF353" s="20" t="s">
        <v>333</v>
      </c>
      <c r="AG353" s="20" t="s">
        <v>344</v>
      </c>
      <c r="AH353" s="20" t="s">
        <v>344</v>
      </c>
      <c r="AI353" s="20" t="s">
        <v>333</v>
      </c>
      <c r="AJ353" s="20"/>
      <c r="AK353" s="20" t="s">
        <v>1244</v>
      </c>
      <c r="AL353" s="20" t="s">
        <v>348</v>
      </c>
      <c r="AM353" s="20" t="s">
        <v>1244</v>
      </c>
      <c r="AN353" s="20" t="s">
        <v>349</v>
      </c>
      <c r="AO353" s="20"/>
      <c r="AP353" s="20" t="s">
        <v>1682</v>
      </c>
      <c r="AQ353" s="20" t="s">
        <v>1556</v>
      </c>
      <c r="AR353" s="20"/>
      <c r="AS353" s="20"/>
    </row>
    <row r="354">
      <c r="A354" s="20" t="s">
        <v>2569</v>
      </c>
      <c r="B354" s="20" t="s">
        <v>934</v>
      </c>
      <c r="C354" s="20" t="s">
        <v>935</v>
      </c>
      <c r="D354" s="20" t="s">
        <v>937</v>
      </c>
      <c r="E354" s="20" t="s">
        <v>49</v>
      </c>
      <c r="F354" s="20" t="s">
        <v>3932</v>
      </c>
      <c r="G354" s="75" t="s">
        <v>3767</v>
      </c>
      <c r="H354" s="20" t="s">
        <v>938</v>
      </c>
      <c r="I354" s="20" t="s">
        <v>939</v>
      </c>
      <c r="J354" s="20" t="s">
        <v>939</v>
      </c>
      <c r="K354" s="20" t="s">
        <v>55</v>
      </c>
      <c r="L354" s="20" t="s">
        <v>56</v>
      </c>
      <c r="M354" s="20" t="s">
        <v>57</v>
      </c>
      <c r="N354" s="20" t="s">
        <v>333</v>
      </c>
      <c r="O354" s="20" t="s">
        <v>1717</v>
      </c>
      <c r="P354" s="20" t="s">
        <v>1745</v>
      </c>
      <c r="Q354" s="20" t="s">
        <v>59</v>
      </c>
      <c r="R354" s="20" t="s">
        <v>333</v>
      </c>
      <c r="S354" s="20" t="s">
        <v>333</v>
      </c>
      <c r="T354" s="20" t="s">
        <v>275</v>
      </c>
      <c r="U354" s="20"/>
      <c r="V354" s="20" t="s">
        <v>344</v>
      </c>
      <c r="W354" s="20" t="s">
        <v>333</v>
      </c>
      <c r="X354" s="20" t="s">
        <v>333</v>
      </c>
      <c r="Y354" s="20" t="s">
        <v>333</v>
      </c>
      <c r="Z354" s="20" t="s">
        <v>333</v>
      </c>
      <c r="AA354" s="20" t="s">
        <v>333</v>
      </c>
      <c r="AB354" s="20" t="s">
        <v>333</v>
      </c>
      <c r="AC354" s="20"/>
      <c r="AD354" s="20" t="s">
        <v>333</v>
      </c>
      <c r="AE354" s="20" t="s">
        <v>333</v>
      </c>
      <c r="AF354" s="20" t="s">
        <v>333</v>
      </c>
      <c r="AG354" s="20" t="s">
        <v>344</v>
      </c>
      <c r="AH354" s="20" t="s">
        <v>344</v>
      </c>
      <c r="AI354" s="20" t="s">
        <v>333</v>
      </c>
      <c r="AJ354" s="20"/>
      <c r="AK354" s="20" t="s">
        <v>3207</v>
      </c>
      <c r="AL354" s="20" t="s">
        <v>1260</v>
      </c>
      <c r="AM354" s="20" t="s">
        <v>3207</v>
      </c>
      <c r="AN354" s="20" t="s">
        <v>349</v>
      </c>
      <c r="AO354" s="20"/>
      <c r="AP354" s="20" t="s">
        <v>1717</v>
      </c>
      <c r="AQ354" s="20" t="s">
        <v>1745</v>
      </c>
      <c r="AR354" s="29" t="s">
        <v>3937</v>
      </c>
      <c r="AS354" s="20"/>
    </row>
    <row r="355">
      <c r="A355" s="32" t="s">
        <v>1795</v>
      </c>
      <c r="B355" s="32" t="s">
        <v>1265</v>
      </c>
      <c r="C355" s="32" t="s">
        <v>1267</v>
      </c>
      <c r="D355" s="48" t="s">
        <v>1268</v>
      </c>
      <c r="E355" s="32" t="s">
        <v>49</v>
      </c>
      <c r="F355" s="32" t="s">
        <v>3938</v>
      </c>
      <c r="G355" s="32" t="s">
        <v>3939</v>
      </c>
      <c r="H355" s="32" t="s">
        <v>53</v>
      </c>
      <c r="I355" s="32" t="s">
        <v>54</v>
      </c>
      <c r="J355" s="32" t="s">
        <v>54</v>
      </c>
      <c r="K355" s="32" t="s">
        <v>55</v>
      </c>
      <c r="L355" s="32" t="s">
        <v>56</v>
      </c>
      <c r="M355" s="32" t="s">
        <v>57</v>
      </c>
      <c r="N355" s="32" t="s">
        <v>333</v>
      </c>
      <c r="O355" s="32" t="s">
        <v>2005</v>
      </c>
      <c r="P355" s="32" t="s">
        <v>1941</v>
      </c>
      <c r="Q355" s="32" t="s">
        <v>59</v>
      </c>
      <c r="R355" s="32" t="s">
        <v>333</v>
      </c>
      <c r="S355" s="32" t="s">
        <v>333</v>
      </c>
      <c r="T355" s="32"/>
      <c r="U355" s="32"/>
      <c r="V355" s="32" t="s">
        <v>344</v>
      </c>
      <c r="W355" s="32" t="s">
        <v>333</v>
      </c>
      <c r="X355" s="32" t="s">
        <v>333</v>
      </c>
      <c r="Y355" s="32" t="s">
        <v>333</v>
      </c>
      <c r="Z355" s="32" t="s">
        <v>333</v>
      </c>
      <c r="AA355" s="32" t="s">
        <v>333</v>
      </c>
      <c r="AB355" s="32" t="s">
        <v>333</v>
      </c>
      <c r="AC355" s="32"/>
      <c r="AD355" s="32" t="s">
        <v>333</v>
      </c>
      <c r="AE355" s="32" t="s">
        <v>333</v>
      </c>
      <c r="AF355" s="32" t="s">
        <v>333</v>
      </c>
      <c r="AG355" s="32" t="s">
        <v>344</v>
      </c>
      <c r="AH355" s="32" t="s">
        <v>344</v>
      </c>
      <c r="AI355" s="32" t="s">
        <v>333</v>
      </c>
      <c r="AJ355" s="32"/>
      <c r="AK355" s="32" t="s">
        <v>348</v>
      </c>
      <c r="AL355" s="32" t="s">
        <v>347</v>
      </c>
      <c r="AM355" s="32" t="s">
        <v>348</v>
      </c>
      <c r="AN355" s="32" t="s">
        <v>349</v>
      </c>
      <c r="AO355" s="32"/>
      <c r="AP355" s="32" t="s">
        <v>2005</v>
      </c>
      <c r="AQ355" s="32" t="s">
        <v>1941</v>
      </c>
      <c r="AR355" s="21" t="s">
        <v>1931</v>
      </c>
      <c r="AS355" s="21">
        <v>2.0</v>
      </c>
    </row>
    <row r="356">
      <c r="A356" s="20" t="s">
        <v>3945</v>
      </c>
      <c r="B356" s="20" t="s">
        <v>2095</v>
      </c>
      <c r="C356" s="20" t="s">
        <v>2096</v>
      </c>
      <c r="D356" s="20"/>
      <c r="E356" s="20" t="s">
        <v>49</v>
      </c>
      <c r="F356" s="80" t="s">
        <v>3947</v>
      </c>
      <c r="G356" s="75" t="s">
        <v>3949</v>
      </c>
      <c r="H356" s="20" t="s">
        <v>1385</v>
      </c>
      <c r="I356" s="20" t="s">
        <v>1386</v>
      </c>
      <c r="J356" s="20" t="s">
        <v>74</v>
      </c>
      <c r="K356" s="20" t="s">
        <v>55</v>
      </c>
      <c r="L356" s="20" t="s">
        <v>56</v>
      </c>
      <c r="M356" s="20" t="s">
        <v>57</v>
      </c>
      <c r="N356" s="20" t="s">
        <v>333</v>
      </c>
      <c r="O356" s="20" t="s">
        <v>1256</v>
      </c>
      <c r="P356" s="20"/>
      <c r="Q356" s="20" t="s">
        <v>59</v>
      </c>
      <c r="R356" s="20" t="s">
        <v>333</v>
      </c>
      <c r="S356" s="20" t="s">
        <v>333</v>
      </c>
      <c r="T356" s="20"/>
      <c r="U356" s="20"/>
      <c r="V356" s="20" t="s">
        <v>344</v>
      </c>
      <c r="W356" s="20" t="s">
        <v>333</v>
      </c>
      <c r="X356" s="20" t="s">
        <v>333</v>
      </c>
      <c r="Y356" s="20" t="s">
        <v>333</v>
      </c>
      <c r="Z356" s="20" t="s">
        <v>333</v>
      </c>
      <c r="AA356" s="20" t="s">
        <v>333</v>
      </c>
      <c r="AB356" s="20" t="s">
        <v>333</v>
      </c>
      <c r="AC356" s="20"/>
      <c r="AD356" s="20" t="s">
        <v>333</v>
      </c>
      <c r="AE356" s="20" t="s">
        <v>333</v>
      </c>
      <c r="AF356" s="20" t="s">
        <v>333</v>
      </c>
      <c r="AG356" s="20" t="s">
        <v>344</v>
      </c>
      <c r="AH356" s="20" t="s">
        <v>344</v>
      </c>
      <c r="AI356" s="20" t="s">
        <v>333</v>
      </c>
      <c r="AJ356" s="20"/>
      <c r="AK356" s="20" t="s">
        <v>1940</v>
      </c>
      <c r="AL356" s="20" t="s">
        <v>1673</v>
      </c>
      <c r="AM356" s="20" t="s">
        <v>1940</v>
      </c>
      <c r="AN356" s="20" t="s">
        <v>349</v>
      </c>
      <c r="AO356" s="20"/>
      <c r="AP356" s="20" t="s">
        <v>1256</v>
      </c>
      <c r="AQ356" s="20" t="s">
        <v>349</v>
      </c>
      <c r="AR356" s="20"/>
      <c r="AS356" s="20"/>
    </row>
    <row r="357">
      <c r="A357" s="20" t="s">
        <v>3955</v>
      </c>
      <c r="B357" s="20" t="s">
        <v>671</v>
      </c>
      <c r="C357" s="20" t="s">
        <v>672</v>
      </c>
      <c r="D357" s="20"/>
      <c r="E357" s="20" t="s">
        <v>49</v>
      </c>
      <c r="F357" s="29" t="s">
        <v>69</v>
      </c>
      <c r="G357" s="29" t="s">
        <v>69</v>
      </c>
      <c r="H357" s="20" t="s">
        <v>674</v>
      </c>
      <c r="I357" s="20" t="s">
        <v>675</v>
      </c>
      <c r="J357" s="20" t="s">
        <v>675</v>
      </c>
      <c r="K357" s="20" t="s">
        <v>55</v>
      </c>
      <c r="L357" s="20" t="s">
        <v>56</v>
      </c>
      <c r="M357" s="20" t="s">
        <v>57</v>
      </c>
      <c r="N357" s="20" t="s">
        <v>333</v>
      </c>
      <c r="O357" s="20" t="s">
        <v>3956</v>
      </c>
      <c r="P357" s="20" t="s">
        <v>3957</v>
      </c>
      <c r="Q357" s="20" t="s">
        <v>59</v>
      </c>
      <c r="R357" s="20" t="s">
        <v>333</v>
      </c>
      <c r="S357" s="20" t="s">
        <v>333</v>
      </c>
      <c r="T357" s="20"/>
      <c r="U357" s="20"/>
      <c r="V357" s="20" t="s">
        <v>344</v>
      </c>
      <c r="W357" s="20" t="s">
        <v>333</v>
      </c>
      <c r="X357" s="20" t="s">
        <v>333</v>
      </c>
      <c r="Y357" s="20" t="s">
        <v>333</v>
      </c>
      <c r="Z357" s="20" t="s">
        <v>333</v>
      </c>
      <c r="AA357" s="20" t="s">
        <v>333</v>
      </c>
      <c r="AB357" s="20" t="s">
        <v>333</v>
      </c>
      <c r="AC357" s="20"/>
      <c r="AD357" s="20" t="s">
        <v>333</v>
      </c>
      <c r="AE357" s="20" t="s">
        <v>333</v>
      </c>
      <c r="AF357" s="20" t="s">
        <v>333</v>
      </c>
      <c r="AG357" s="20" t="s">
        <v>344</v>
      </c>
      <c r="AH357" s="20" t="s">
        <v>344</v>
      </c>
      <c r="AI357" s="20" t="s">
        <v>333</v>
      </c>
      <c r="AJ357" s="20"/>
      <c r="AK357" s="20" t="s">
        <v>347</v>
      </c>
      <c r="AL357" s="20" t="s">
        <v>348</v>
      </c>
      <c r="AM357" s="20" t="s">
        <v>347</v>
      </c>
      <c r="AN357" s="20" t="s">
        <v>349</v>
      </c>
      <c r="AO357" s="20"/>
      <c r="AP357" s="20" t="s">
        <v>3956</v>
      </c>
      <c r="AQ357" s="20" t="s">
        <v>3957</v>
      </c>
      <c r="AR357" s="20"/>
      <c r="AS357" s="20"/>
    </row>
    <row r="358">
      <c r="A358" s="20" t="s">
        <v>3958</v>
      </c>
      <c r="B358" s="20" t="s">
        <v>3959</v>
      </c>
      <c r="C358" s="20" t="s">
        <v>3960</v>
      </c>
      <c r="D358" s="20"/>
      <c r="E358" s="20" t="s">
        <v>49</v>
      </c>
      <c r="F358" s="80" t="s">
        <v>3961</v>
      </c>
      <c r="G358" s="125">
        <v>9.810077265E9</v>
      </c>
      <c r="H358" s="20" t="s">
        <v>1464</v>
      </c>
      <c r="I358" s="20" t="s">
        <v>1465</v>
      </c>
      <c r="J358" s="20" t="s">
        <v>74</v>
      </c>
      <c r="K358" s="20" t="s">
        <v>55</v>
      </c>
      <c r="L358" s="20" t="s">
        <v>56</v>
      </c>
      <c r="M358" s="20" t="s">
        <v>57</v>
      </c>
      <c r="N358" s="20" t="s">
        <v>333</v>
      </c>
      <c r="O358" s="20" t="s">
        <v>1596</v>
      </c>
      <c r="P358" s="20" t="s">
        <v>1695</v>
      </c>
      <c r="Q358" s="20" t="s">
        <v>59</v>
      </c>
      <c r="R358" s="20" t="s">
        <v>333</v>
      </c>
      <c r="S358" s="20" t="s">
        <v>333</v>
      </c>
      <c r="T358" s="20"/>
      <c r="U358" s="20"/>
      <c r="V358" s="20" t="s">
        <v>344</v>
      </c>
      <c r="W358" s="20" t="s">
        <v>333</v>
      </c>
      <c r="X358" s="20" t="s">
        <v>333</v>
      </c>
      <c r="Y358" s="20" t="s">
        <v>333</v>
      </c>
      <c r="Z358" s="20" t="s">
        <v>333</v>
      </c>
      <c r="AA358" s="20" t="s">
        <v>333</v>
      </c>
      <c r="AB358" s="20" t="s">
        <v>333</v>
      </c>
      <c r="AC358" s="20"/>
      <c r="AD358" s="20" t="s">
        <v>333</v>
      </c>
      <c r="AE358" s="20" t="s">
        <v>333</v>
      </c>
      <c r="AF358" s="20" t="s">
        <v>333</v>
      </c>
      <c r="AG358" s="20" t="s">
        <v>344</v>
      </c>
      <c r="AH358" s="20" t="s">
        <v>344</v>
      </c>
      <c r="AI358" s="20" t="s">
        <v>333</v>
      </c>
      <c r="AJ358" s="20"/>
      <c r="AK358" s="20" t="s">
        <v>1244</v>
      </c>
      <c r="AL358" s="20" t="s">
        <v>1245</v>
      </c>
      <c r="AM358" s="20" t="s">
        <v>1244</v>
      </c>
      <c r="AN358" s="20" t="s">
        <v>349</v>
      </c>
      <c r="AO358" s="20"/>
      <c r="AP358" s="20" t="s">
        <v>1596</v>
      </c>
      <c r="AQ358" s="20" t="s">
        <v>1695</v>
      </c>
      <c r="AR358" s="20"/>
      <c r="AS358" s="20"/>
    </row>
    <row r="359">
      <c r="A359" s="20" t="s">
        <v>3966</v>
      </c>
      <c r="B359" s="20" t="s">
        <v>2503</v>
      </c>
      <c r="C359" s="20" t="s">
        <v>2504</v>
      </c>
      <c r="D359" s="20"/>
      <c r="E359" s="20" t="s">
        <v>49</v>
      </c>
      <c r="F359" s="80" t="s">
        <v>3967</v>
      </c>
      <c r="G359" s="82" t="s">
        <v>3969</v>
      </c>
      <c r="H359" s="20" t="s">
        <v>1385</v>
      </c>
      <c r="I359" s="20" t="s">
        <v>1386</v>
      </c>
      <c r="J359" s="20" t="s">
        <v>74</v>
      </c>
      <c r="K359" s="20" t="s">
        <v>55</v>
      </c>
      <c r="L359" s="20" t="s">
        <v>56</v>
      </c>
      <c r="M359" s="20" t="s">
        <v>57</v>
      </c>
      <c r="N359" s="20" t="s">
        <v>333</v>
      </c>
      <c r="O359" s="20" t="s">
        <v>1720</v>
      </c>
      <c r="P359" s="20"/>
      <c r="Q359" s="20" t="s">
        <v>59</v>
      </c>
      <c r="R359" s="20" t="s">
        <v>333</v>
      </c>
      <c r="S359" s="20" t="s">
        <v>333</v>
      </c>
      <c r="T359" s="20"/>
      <c r="U359" s="20"/>
      <c r="V359" s="20" t="s">
        <v>344</v>
      </c>
      <c r="W359" s="20" t="s">
        <v>333</v>
      </c>
      <c r="X359" s="20" t="s">
        <v>333</v>
      </c>
      <c r="Y359" s="20" t="s">
        <v>333</v>
      </c>
      <c r="Z359" s="20" t="s">
        <v>333</v>
      </c>
      <c r="AA359" s="20" t="s">
        <v>333</v>
      </c>
      <c r="AB359" s="20" t="s">
        <v>333</v>
      </c>
      <c r="AC359" s="20"/>
      <c r="AD359" s="20" t="s">
        <v>333</v>
      </c>
      <c r="AE359" s="20" t="s">
        <v>333</v>
      </c>
      <c r="AF359" s="20" t="s">
        <v>333</v>
      </c>
      <c r="AG359" s="20" t="s">
        <v>344</v>
      </c>
      <c r="AH359" s="20" t="s">
        <v>344</v>
      </c>
      <c r="AI359" s="20" t="s">
        <v>333</v>
      </c>
      <c r="AJ359" s="20"/>
      <c r="AK359" s="20" t="s">
        <v>347</v>
      </c>
      <c r="AL359" s="20" t="s">
        <v>1245</v>
      </c>
      <c r="AM359" s="20" t="s">
        <v>347</v>
      </c>
      <c r="AN359" s="20" t="s">
        <v>349</v>
      </c>
      <c r="AO359" s="20"/>
      <c r="AP359" s="20" t="s">
        <v>1720</v>
      </c>
      <c r="AQ359" s="20" t="s">
        <v>349</v>
      </c>
      <c r="AR359" s="20"/>
      <c r="AS359" s="20"/>
    </row>
    <row r="360">
      <c r="A360" s="32" t="s">
        <v>3977</v>
      </c>
      <c r="B360" s="32" t="s">
        <v>3978</v>
      </c>
      <c r="C360" s="32" t="s">
        <v>3979</v>
      </c>
      <c r="D360" s="48" t="s">
        <v>3980</v>
      </c>
      <c r="E360" s="32" t="s">
        <v>49</v>
      </c>
      <c r="F360" s="32" t="s">
        <v>3981</v>
      </c>
      <c r="G360" s="32" t="s">
        <v>3982</v>
      </c>
      <c r="H360" s="32" t="s">
        <v>3983</v>
      </c>
      <c r="I360" s="32" t="s">
        <v>3984</v>
      </c>
      <c r="J360" s="32" t="s">
        <v>74</v>
      </c>
      <c r="K360" s="32" t="s">
        <v>55</v>
      </c>
      <c r="L360" s="32" t="s">
        <v>56</v>
      </c>
      <c r="M360" s="32" t="s">
        <v>57</v>
      </c>
      <c r="N360" s="32" t="s">
        <v>333</v>
      </c>
      <c r="O360" s="32" t="s">
        <v>1239</v>
      </c>
      <c r="P360" s="32" t="s">
        <v>1720</v>
      </c>
      <c r="Q360" s="32" t="s">
        <v>59</v>
      </c>
      <c r="R360" s="32" t="s">
        <v>333</v>
      </c>
      <c r="S360" s="32" t="s">
        <v>333</v>
      </c>
      <c r="T360" s="32"/>
      <c r="U360" s="32"/>
      <c r="V360" s="32" t="s">
        <v>344</v>
      </c>
      <c r="W360" s="32" t="s">
        <v>333</v>
      </c>
      <c r="X360" s="32" t="s">
        <v>333</v>
      </c>
      <c r="Y360" s="32" t="s">
        <v>333</v>
      </c>
      <c r="Z360" s="32" t="s">
        <v>333</v>
      </c>
      <c r="AA360" s="32" t="s">
        <v>333</v>
      </c>
      <c r="AB360" s="32" t="s">
        <v>333</v>
      </c>
      <c r="AC360" s="32"/>
      <c r="AD360" s="32" t="s">
        <v>333</v>
      </c>
      <c r="AE360" s="32" t="s">
        <v>333</v>
      </c>
      <c r="AF360" s="32" t="s">
        <v>333</v>
      </c>
      <c r="AG360" s="32" t="s">
        <v>344</v>
      </c>
      <c r="AH360" s="32" t="s">
        <v>344</v>
      </c>
      <c r="AI360" s="32" t="s">
        <v>333</v>
      </c>
      <c r="AJ360" s="32"/>
      <c r="AK360" s="32" t="s">
        <v>347</v>
      </c>
      <c r="AL360" s="32" t="s">
        <v>348</v>
      </c>
      <c r="AM360" s="32" t="s">
        <v>347</v>
      </c>
      <c r="AN360" s="32" t="s">
        <v>349</v>
      </c>
      <c r="AO360" s="32"/>
      <c r="AP360" s="32" t="s">
        <v>1239</v>
      </c>
      <c r="AQ360" s="32" t="s">
        <v>1720</v>
      </c>
      <c r="AR360" s="21" t="s">
        <v>1931</v>
      </c>
      <c r="AS360" s="21">
        <v>2.0</v>
      </c>
    </row>
    <row r="361">
      <c r="A361" s="20" t="s">
        <v>3988</v>
      </c>
      <c r="B361" s="20" t="s">
        <v>2640</v>
      </c>
      <c r="C361" s="20" t="s">
        <v>2642</v>
      </c>
      <c r="D361" s="20"/>
      <c r="E361" s="20" t="s">
        <v>49</v>
      </c>
      <c r="F361" s="80" t="s">
        <v>3989</v>
      </c>
      <c r="G361" s="20" t="s">
        <v>2646</v>
      </c>
      <c r="H361" s="20" t="s">
        <v>513</v>
      </c>
      <c r="I361" s="20" t="s">
        <v>514</v>
      </c>
      <c r="J361" s="20" t="s">
        <v>74</v>
      </c>
      <c r="K361" s="20" t="s">
        <v>55</v>
      </c>
      <c r="L361" s="20" t="s">
        <v>56</v>
      </c>
      <c r="M361" s="20" t="s">
        <v>57</v>
      </c>
      <c r="N361" s="20" t="s">
        <v>333</v>
      </c>
      <c r="O361" s="20" t="s">
        <v>1253</v>
      </c>
      <c r="P361" s="20" t="s">
        <v>1576</v>
      </c>
      <c r="Q361" s="20" t="s">
        <v>59</v>
      </c>
      <c r="R361" s="20" t="s">
        <v>333</v>
      </c>
      <c r="S361" s="20" t="s">
        <v>333</v>
      </c>
      <c r="T361" s="20"/>
      <c r="U361" s="20"/>
      <c r="V361" s="20" t="s">
        <v>344</v>
      </c>
      <c r="W361" s="20" t="s">
        <v>333</v>
      </c>
      <c r="X361" s="20" t="s">
        <v>333</v>
      </c>
      <c r="Y361" s="20" t="s">
        <v>333</v>
      </c>
      <c r="Z361" s="20" t="s">
        <v>333</v>
      </c>
      <c r="AA361" s="20" t="s">
        <v>333</v>
      </c>
      <c r="AB361" s="20" t="s">
        <v>333</v>
      </c>
      <c r="AC361" s="20"/>
      <c r="AD361" s="20" t="s">
        <v>333</v>
      </c>
      <c r="AE361" s="20" t="s">
        <v>333</v>
      </c>
      <c r="AF361" s="20" t="s">
        <v>333</v>
      </c>
      <c r="AG361" s="20" t="s">
        <v>344</v>
      </c>
      <c r="AH361" s="20" t="s">
        <v>344</v>
      </c>
      <c r="AI361" s="20" t="s">
        <v>333</v>
      </c>
      <c r="AJ361" s="20"/>
      <c r="AK361" s="20" t="s">
        <v>347</v>
      </c>
      <c r="AL361" s="20" t="s">
        <v>1556</v>
      </c>
      <c r="AM361" s="20" t="s">
        <v>347</v>
      </c>
      <c r="AN361" s="20" t="s">
        <v>349</v>
      </c>
      <c r="AO361" s="20"/>
      <c r="AP361" s="20" t="s">
        <v>1253</v>
      </c>
      <c r="AQ361" s="20" t="s">
        <v>1576</v>
      </c>
      <c r="AR361" s="20"/>
      <c r="AS361" s="20"/>
    </row>
    <row r="362">
      <c r="A362" s="20" t="s">
        <v>3997</v>
      </c>
      <c r="B362" s="20" t="s">
        <v>970</v>
      </c>
      <c r="C362" s="20" t="s">
        <v>971</v>
      </c>
      <c r="D362" s="20" t="s">
        <v>972</v>
      </c>
      <c r="E362" s="20" t="s">
        <v>49</v>
      </c>
      <c r="F362" s="126" t="s">
        <v>3998</v>
      </c>
      <c r="G362" s="105" t="s">
        <v>4002</v>
      </c>
      <c r="H362" s="20" t="s">
        <v>664</v>
      </c>
      <c r="I362" s="20" t="s">
        <v>665</v>
      </c>
      <c r="J362" s="20" t="s">
        <v>665</v>
      </c>
      <c r="K362" s="20" t="s">
        <v>55</v>
      </c>
      <c r="L362" s="20" t="s">
        <v>56</v>
      </c>
      <c r="M362" s="20" t="s">
        <v>57</v>
      </c>
      <c r="N362" s="20" t="s">
        <v>333</v>
      </c>
      <c r="O362" s="20" t="s">
        <v>1238</v>
      </c>
      <c r="P362" s="20" t="s">
        <v>1239</v>
      </c>
      <c r="Q362" s="20" t="s">
        <v>59</v>
      </c>
      <c r="R362" s="20" t="s">
        <v>333</v>
      </c>
      <c r="S362" s="20" t="s">
        <v>333</v>
      </c>
      <c r="T362" s="20"/>
      <c r="U362" s="20"/>
      <c r="V362" s="20" t="s">
        <v>344</v>
      </c>
      <c r="W362" s="20" t="s">
        <v>333</v>
      </c>
      <c r="X362" s="20" t="s">
        <v>333</v>
      </c>
      <c r="Y362" s="20" t="s">
        <v>333</v>
      </c>
      <c r="Z362" s="20" t="s">
        <v>333</v>
      </c>
      <c r="AA362" s="20" t="s">
        <v>333</v>
      </c>
      <c r="AB362" s="20" t="s">
        <v>333</v>
      </c>
      <c r="AC362" s="20"/>
      <c r="AD362" s="20" t="s">
        <v>333</v>
      </c>
      <c r="AE362" s="20" t="s">
        <v>333</v>
      </c>
      <c r="AF362" s="20" t="s">
        <v>333</v>
      </c>
      <c r="AG362" s="20" t="s">
        <v>344</v>
      </c>
      <c r="AH362" s="20" t="s">
        <v>344</v>
      </c>
      <c r="AI362" s="20" t="s">
        <v>333</v>
      </c>
      <c r="AJ362" s="20"/>
      <c r="AK362" s="20" t="s">
        <v>1595</v>
      </c>
      <c r="AL362" s="20" t="s">
        <v>1269</v>
      </c>
      <c r="AM362" s="20" t="s">
        <v>1595</v>
      </c>
      <c r="AN362" s="20" t="s">
        <v>349</v>
      </c>
      <c r="AO362" s="20"/>
      <c r="AP362" s="20" t="s">
        <v>1238</v>
      </c>
      <c r="AQ362" s="20" t="s">
        <v>1239</v>
      </c>
      <c r="AR362" s="20"/>
      <c r="AS362" s="20"/>
    </row>
    <row r="363">
      <c r="A363" s="32" t="s">
        <v>4006</v>
      </c>
      <c r="B363" s="32" t="s">
        <v>2903</v>
      </c>
      <c r="C363" s="32" t="s">
        <v>2904</v>
      </c>
      <c r="D363" s="48" t="s">
        <v>4008</v>
      </c>
      <c r="E363" s="32" t="s">
        <v>49</v>
      </c>
      <c r="F363" s="32" t="s">
        <v>4009</v>
      </c>
      <c r="G363" s="105" t="s">
        <v>69</v>
      </c>
      <c r="H363" s="32" t="s">
        <v>2906</v>
      </c>
      <c r="I363" s="32" t="s">
        <v>2907</v>
      </c>
      <c r="J363" s="32" t="s">
        <v>2907</v>
      </c>
      <c r="K363" s="32" t="s">
        <v>55</v>
      </c>
      <c r="L363" s="32" t="s">
        <v>56</v>
      </c>
      <c r="M363" s="32" t="s">
        <v>57</v>
      </c>
      <c r="N363" s="32" t="s">
        <v>333</v>
      </c>
      <c r="O363" s="32"/>
      <c r="P363" s="32"/>
      <c r="Q363" s="32" t="s">
        <v>59</v>
      </c>
      <c r="R363" s="32" t="s">
        <v>333</v>
      </c>
      <c r="S363" s="32" t="s">
        <v>333</v>
      </c>
      <c r="T363" s="32"/>
      <c r="U363" s="32"/>
      <c r="V363" s="32" t="s">
        <v>344</v>
      </c>
      <c r="W363" s="32" t="s">
        <v>333</v>
      </c>
      <c r="X363" s="32" t="s">
        <v>333</v>
      </c>
      <c r="Y363" s="32" t="s">
        <v>333</v>
      </c>
      <c r="Z363" s="32" t="s">
        <v>333</v>
      </c>
      <c r="AA363" s="32" t="s">
        <v>333</v>
      </c>
      <c r="AB363" s="32" t="s">
        <v>333</v>
      </c>
      <c r="AC363" s="32"/>
      <c r="AD363" s="32" t="s">
        <v>333</v>
      </c>
      <c r="AE363" s="32" t="s">
        <v>333</v>
      </c>
      <c r="AF363" s="32" t="s">
        <v>333</v>
      </c>
      <c r="AG363" s="32" t="s">
        <v>344</v>
      </c>
      <c r="AH363" s="32" t="s">
        <v>344</v>
      </c>
      <c r="AI363" s="32" t="s">
        <v>333</v>
      </c>
      <c r="AJ363" s="32"/>
      <c r="AK363" s="32" t="s">
        <v>349</v>
      </c>
      <c r="AL363" s="32" t="s">
        <v>349</v>
      </c>
      <c r="AM363" s="32" t="s">
        <v>349</v>
      </c>
      <c r="AN363" s="32" t="s">
        <v>349</v>
      </c>
      <c r="AO363" s="32"/>
      <c r="AP363" s="32" t="s">
        <v>349</v>
      </c>
      <c r="AQ363" s="32" t="s">
        <v>349</v>
      </c>
      <c r="AR363" s="21" t="s">
        <v>1931</v>
      </c>
      <c r="AS363" s="21">
        <v>2.0</v>
      </c>
    </row>
    <row r="364">
      <c r="A364" s="20" t="s">
        <v>4011</v>
      </c>
      <c r="B364" s="20" t="s">
        <v>3328</v>
      </c>
      <c r="C364" s="20" t="s">
        <v>3329</v>
      </c>
      <c r="D364" s="20" t="s">
        <v>3330</v>
      </c>
      <c r="E364" s="20" t="s">
        <v>49</v>
      </c>
      <c r="F364" s="80" t="s">
        <v>3331</v>
      </c>
      <c r="G364" s="110" t="s">
        <v>3333</v>
      </c>
      <c r="H364" s="20" t="s">
        <v>1385</v>
      </c>
      <c r="I364" s="20" t="s">
        <v>1386</v>
      </c>
      <c r="J364" s="20" t="s">
        <v>74</v>
      </c>
      <c r="K364" s="20" t="s">
        <v>55</v>
      </c>
      <c r="L364" s="20" t="s">
        <v>56</v>
      </c>
      <c r="M364" s="20" t="s">
        <v>57</v>
      </c>
      <c r="N364" s="20" t="s">
        <v>333</v>
      </c>
      <c r="O364" s="20" t="s">
        <v>1695</v>
      </c>
      <c r="P364" s="20"/>
      <c r="Q364" s="20" t="s">
        <v>59</v>
      </c>
      <c r="R364" s="20" t="s">
        <v>333</v>
      </c>
      <c r="S364" s="20" t="s">
        <v>333</v>
      </c>
      <c r="T364" s="20"/>
      <c r="U364" s="20"/>
      <c r="V364" s="20" t="s">
        <v>344</v>
      </c>
      <c r="W364" s="20" t="s">
        <v>333</v>
      </c>
      <c r="X364" s="20" t="s">
        <v>333</v>
      </c>
      <c r="Y364" s="20" t="s">
        <v>333</v>
      </c>
      <c r="Z364" s="20" t="s">
        <v>333</v>
      </c>
      <c r="AA364" s="20" t="s">
        <v>333</v>
      </c>
      <c r="AB364" s="20" t="s">
        <v>333</v>
      </c>
      <c r="AC364" s="20"/>
      <c r="AD364" s="20" t="s">
        <v>333</v>
      </c>
      <c r="AE364" s="20" t="s">
        <v>333</v>
      </c>
      <c r="AF364" s="20" t="s">
        <v>333</v>
      </c>
      <c r="AG364" s="20" t="s">
        <v>344</v>
      </c>
      <c r="AH364" s="20" t="s">
        <v>344</v>
      </c>
      <c r="AI364" s="20" t="s">
        <v>333</v>
      </c>
      <c r="AJ364" s="20"/>
      <c r="AK364" s="20" t="s">
        <v>1596</v>
      </c>
      <c r="AL364" s="20" t="s">
        <v>349</v>
      </c>
      <c r="AM364" s="20" t="s">
        <v>1596</v>
      </c>
      <c r="AN364" s="20" t="s">
        <v>349</v>
      </c>
      <c r="AO364" s="20"/>
      <c r="AP364" s="20" t="s">
        <v>1695</v>
      </c>
      <c r="AQ364" s="20" t="s">
        <v>349</v>
      </c>
      <c r="AR364" s="20"/>
      <c r="AS364" s="20"/>
    </row>
    <row r="365">
      <c r="A365" s="20" t="s">
        <v>4016</v>
      </c>
      <c r="B365" s="20" t="s">
        <v>2917</v>
      </c>
      <c r="C365" s="20" t="s">
        <v>2919</v>
      </c>
      <c r="D365" s="20"/>
      <c r="E365" s="20" t="s">
        <v>49</v>
      </c>
      <c r="F365" s="29" t="s">
        <v>69</v>
      </c>
      <c r="G365" s="29" t="s">
        <v>69</v>
      </c>
      <c r="H365" s="20" t="s">
        <v>72</v>
      </c>
      <c r="I365" s="20" t="s">
        <v>73</v>
      </c>
      <c r="J365" s="20" t="s">
        <v>74</v>
      </c>
      <c r="K365" s="20" t="s">
        <v>55</v>
      </c>
      <c r="L365" s="20" t="s">
        <v>56</v>
      </c>
      <c r="M365" s="20" t="s">
        <v>57</v>
      </c>
      <c r="N365" s="20" t="s">
        <v>333</v>
      </c>
      <c r="O365" s="20" t="s">
        <v>1695</v>
      </c>
      <c r="P365" s="20" t="s">
        <v>1682</v>
      </c>
      <c r="Q365" s="20" t="s">
        <v>59</v>
      </c>
      <c r="R365" s="20" t="s">
        <v>333</v>
      </c>
      <c r="S365" s="20" t="s">
        <v>333</v>
      </c>
      <c r="T365" s="20"/>
      <c r="U365" s="20"/>
      <c r="V365" s="20" t="s">
        <v>344</v>
      </c>
      <c r="W365" s="20" t="s">
        <v>333</v>
      </c>
      <c r="X365" s="20" t="s">
        <v>333</v>
      </c>
      <c r="Y365" s="20" t="s">
        <v>333</v>
      </c>
      <c r="Z365" s="20" t="s">
        <v>333</v>
      </c>
      <c r="AA365" s="20" t="s">
        <v>333</v>
      </c>
      <c r="AB365" s="20" t="s">
        <v>333</v>
      </c>
      <c r="AC365" s="20"/>
      <c r="AD365" s="20" t="s">
        <v>333</v>
      </c>
      <c r="AE365" s="20" t="s">
        <v>333</v>
      </c>
      <c r="AF365" s="20" t="s">
        <v>333</v>
      </c>
      <c r="AG365" s="20" t="s">
        <v>344</v>
      </c>
      <c r="AH365" s="20" t="s">
        <v>344</v>
      </c>
      <c r="AI365" s="20" t="s">
        <v>333</v>
      </c>
      <c r="AJ365" s="20"/>
      <c r="AK365" s="20" t="s">
        <v>1274</v>
      </c>
      <c r="AL365" s="20" t="s">
        <v>348</v>
      </c>
      <c r="AM365" s="20" t="s">
        <v>1274</v>
      </c>
      <c r="AN365" s="20" t="s">
        <v>349</v>
      </c>
      <c r="AO365" s="20"/>
      <c r="AP365" s="20" t="s">
        <v>1695</v>
      </c>
      <c r="AQ365" s="20" t="s">
        <v>1682</v>
      </c>
      <c r="AR365" s="20"/>
      <c r="AS365" s="20"/>
    </row>
    <row r="366">
      <c r="A366" s="20" t="s">
        <v>4021</v>
      </c>
      <c r="B366" s="20" t="s">
        <v>1294</v>
      </c>
      <c r="C366" s="20" t="s">
        <v>1295</v>
      </c>
      <c r="D366" s="20"/>
      <c r="E366" s="20" t="s">
        <v>49</v>
      </c>
      <c r="F366" s="29" t="s">
        <v>69</v>
      </c>
      <c r="G366" s="20" t="s">
        <v>4022</v>
      </c>
      <c r="H366" s="20" t="s">
        <v>540</v>
      </c>
      <c r="I366" s="20" t="s">
        <v>541</v>
      </c>
      <c r="J366" s="20" t="s">
        <v>541</v>
      </c>
      <c r="K366" s="20" t="s">
        <v>55</v>
      </c>
      <c r="L366" s="20" t="s">
        <v>56</v>
      </c>
      <c r="M366" s="20" t="s">
        <v>57</v>
      </c>
      <c r="N366" s="20" t="s">
        <v>333</v>
      </c>
      <c r="O366" s="20" t="s">
        <v>1586</v>
      </c>
      <c r="P366" s="20" t="s">
        <v>4026</v>
      </c>
      <c r="Q366" s="20" t="s">
        <v>59</v>
      </c>
      <c r="R366" s="20" t="s">
        <v>333</v>
      </c>
      <c r="S366" s="20" t="s">
        <v>333</v>
      </c>
      <c r="T366" s="20"/>
      <c r="U366" s="20"/>
      <c r="V366" s="20" t="s">
        <v>344</v>
      </c>
      <c r="W366" s="20" t="s">
        <v>333</v>
      </c>
      <c r="X366" s="20" t="s">
        <v>333</v>
      </c>
      <c r="Y366" s="20" t="s">
        <v>333</v>
      </c>
      <c r="Z366" s="20" t="s">
        <v>333</v>
      </c>
      <c r="AA366" s="20" t="s">
        <v>333</v>
      </c>
      <c r="AB366" s="20" t="s">
        <v>333</v>
      </c>
      <c r="AC366" s="20"/>
      <c r="AD366" s="20" t="s">
        <v>333</v>
      </c>
      <c r="AE366" s="20" t="s">
        <v>333</v>
      </c>
      <c r="AF366" s="20" t="s">
        <v>333</v>
      </c>
      <c r="AG366" s="20" t="s">
        <v>344</v>
      </c>
      <c r="AH366" s="20" t="s">
        <v>344</v>
      </c>
      <c r="AI366" s="20" t="s">
        <v>333</v>
      </c>
      <c r="AJ366" s="20"/>
      <c r="AK366" s="20" t="s">
        <v>1244</v>
      </c>
      <c r="AL366" s="20" t="s">
        <v>1586</v>
      </c>
      <c r="AM366" s="20" t="s">
        <v>1244</v>
      </c>
      <c r="AN366" s="20" t="s">
        <v>349</v>
      </c>
      <c r="AO366" s="20"/>
      <c r="AP366" s="20" t="s">
        <v>1586</v>
      </c>
      <c r="AQ366" s="20" t="s">
        <v>4026</v>
      </c>
      <c r="AR366" s="20"/>
      <c r="AS366" s="20"/>
    </row>
    <row r="367">
      <c r="A367" s="20" t="s">
        <v>4027</v>
      </c>
      <c r="B367" s="20" t="s">
        <v>4028</v>
      </c>
      <c r="C367" s="20" t="s">
        <v>4029</v>
      </c>
      <c r="D367" s="20" t="s">
        <v>4030</v>
      </c>
      <c r="E367" s="20" t="s">
        <v>49</v>
      </c>
      <c r="F367" s="80" t="s">
        <v>4031</v>
      </c>
      <c r="G367" s="75" t="s">
        <v>4032</v>
      </c>
      <c r="H367" s="20" t="s">
        <v>513</v>
      </c>
      <c r="I367" s="20" t="s">
        <v>514</v>
      </c>
      <c r="J367" s="20" t="s">
        <v>74</v>
      </c>
      <c r="K367" s="20" t="s">
        <v>55</v>
      </c>
      <c r="L367" s="20" t="s">
        <v>56</v>
      </c>
      <c r="M367" s="20" t="s">
        <v>57</v>
      </c>
      <c r="N367" s="20" t="s">
        <v>333</v>
      </c>
      <c r="O367" s="20" t="s">
        <v>1559</v>
      </c>
      <c r="P367" s="20" t="s">
        <v>1564</v>
      </c>
      <c r="Q367" s="20" t="s">
        <v>59</v>
      </c>
      <c r="R367" s="20" t="s">
        <v>333</v>
      </c>
      <c r="S367" s="20" t="s">
        <v>333</v>
      </c>
      <c r="T367" s="20" t="s">
        <v>1787</v>
      </c>
      <c r="U367" s="20" t="s">
        <v>1787</v>
      </c>
      <c r="V367" s="20" t="s">
        <v>344</v>
      </c>
      <c r="W367" s="20" t="s">
        <v>333</v>
      </c>
      <c r="X367" s="20" t="s">
        <v>333</v>
      </c>
      <c r="Y367" s="20" t="s">
        <v>333</v>
      </c>
      <c r="Z367" s="20" t="s">
        <v>333</v>
      </c>
      <c r="AA367" s="20" t="s">
        <v>333</v>
      </c>
      <c r="AB367" s="20" t="s">
        <v>333</v>
      </c>
      <c r="AC367" s="20"/>
      <c r="AD367" s="20" t="s">
        <v>333</v>
      </c>
      <c r="AE367" s="20" t="s">
        <v>333</v>
      </c>
      <c r="AF367" s="20" t="s">
        <v>333</v>
      </c>
      <c r="AG367" s="20" t="s">
        <v>344</v>
      </c>
      <c r="AH367" s="20" t="s">
        <v>344</v>
      </c>
      <c r="AI367" s="20" t="s">
        <v>333</v>
      </c>
      <c r="AJ367" s="20"/>
      <c r="AK367" s="20" t="s">
        <v>347</v>
      </c>
      <c r="AL367" s="20" t="s">
        <v>1596</v>
      </c>
      <c r="AM367" s="20" t="s">
        <v>347</v>
      </c>
      <c r="AN367" s="20" t="s">
        <v>349</v>
      </c>
      <c r="AO367" s="20"/>
      <c r="AP367" s="20" t="s">
        <v>1559</v>
      </c>
      <c r="AQ367" s="20" t="s">
        <v>1564</v>
      </c>
      <c r="AR367" s="20"/>
      <c r="AS367" s="20"/>
    </row>
    <row r="368">
      <c r="A368" s="20" t="s">
        <v>4034</v>
      </c>
      <c r="B368" s="20" t="s">
        <v>417</v>
      </c>
      <c r="C368" s="20" t="s">
        <v>418</v>
      </c>
      <c r="D368" s="20"/>
      <c r="E368" s="20" t="s">
        <v>49</v>
      </c>
      <c r="F368" s="29" t="s">
        <v>69</v>
      </c>
      <c r="G368" s="29" t="s">
        <v>69</v>
      </c>
      <c r="H368" s="20" t="s">
        <v>147</v>
      </c>
      <c r="I368" s="20" t="s">
        <v>148</v>
      </c>
      <c r="J368" s="20" t="s">
        <v>148</v>
      </c>
      <c r="K368" s="20" t="s">
        <v>55</v>
      </c>
      <c r="L368" s="20" t="s">
        <v>56</v>
      </c>
      <c r="M368" s="20" t="s">
        <v>57</v>
      </c>
      <c r="N368" s="20" t="s">
        <v>333</v>
      </c>
      <c r="O368" s="20" t="s">
        <v>1571</v>
      </c>
      <c r="P368" s="20" t="s">
        <v>1591</v>
      </c>
      <c r="Q368" s="20" t="s">
        <v>59</v>
      </c>
      <c r="R368" s="20" t="s">
        <v>333</v>
      </c>
      <c r="S368" s="20" t="s">
        <v>333</v>
      </c>
      <c r="T368" s="20"/>
      <c r="U368" s="20"/>
      <c r="V368" s="20" t="s">
        <v>344</v>
      </c>
      <c r="W368" s="20" t="s">
        <v>333</v>
      </c>
      <c r="X368" s="20" t="s">
        <v>333</v>
      </c>
      <c r="Y368" s="20" t="s">
        <v>333</v>
      </c>
      <c r="Z368" s="20" t="s">
        <v>333</v>
      </c>
      <c r="AA368" s="20" t="s">
        <v>333</v>
      </c>
      <c r="AB368" s="20" t="s">
        <v>333</v>
      </c>
      <c r="AC368" s="20"/>
      <c r="AD368" s="20" t="s">
        <v>333</v>
      </c>
      <c r="AE368" s="20" t="s">
        <v>333</v>
      </c>
      <c r="AF368" s="20" t="s">
        <v>333</v>
      </c>
      <c r="AG368" s="20" t="s">
        <v>344</v>
      </c>
      <c r="AH368" s="20" t="s">
        <v>344</v>
      </c>
      <c r="AI368" s="20" t="s">
        <v>333</v>
      </c>
      <c r="AJ368" s="20"/>
      <c r="AK368" s="20" t="s">
        <v>347</v>
      </c>
      <c r="AL368" s="20" t="s">
        <v>1556</v>
      </c>
      <c r="AM368" s="20" t="s">
        <v>347</v>
      </c>
      <c r="AN368" s="20" t="s">
        <v>349</v>
      </c>
      <c r="AO368" s="20"/>
      <c r="AP368" s="20" t="s">
        <v>1571</v>
      </c>
      <c r="AQ368" s="20" t="s">
        <v>1591</v>
      </c>
      <c r="AR368" s="20"/>
      <c r="AS368" s="20"/>
    </row>
    <row r="369">
      <c r="A369" s="20" t="s">
        <v>4035</v>
      </c>
      <c r="B369" s="20" t="s">
        <v>3053</v>
      </c>
      <c r="C369" s="20" t="s">
        <v>3054</v>
      </c>
      <c r="D369" s="20"/>
      <c r="E369" s="20" t="s">
        <v>49</v>
      </c>
      <c r="F369" s="29" t="s">
        <v>69</v>
      </c>
      <c r="G369" s="29" t="s">
        <v>69</v>
      </c>
      <c r="H369" s="20" t="s">
        <v>727</v>
      </c>
      <c r="I369" s="20" t="s">
        <v>729</v>
      </c>
      <c r="J369" s="20" t="s">
        <v>74</v>
      </c>
      <c r="K369" s="20" t="s">
        <v>55</v>
      </c>
      <c r="L369" s="20" t="s">
        <v>56</v>
      </c>
      <c r="M369" s="20" t="s">
        <v>57</v>
      </c>
      <c r="N369" s="20" t="s">
        <v>333</v>
      </c>
      <c r="O369" s="20" t="s">
        <v>1682</v>
      </c>
      <c r="P369" s="20" t="s">
        <v>1559</v>
      </c>
      <c r="Q369" s="20" t="s">
        <v>59</v>
      </c>
      <c r="R369" s="20" t="s">
        <v>333</v>
      </c>
      <c r="S369" s="20" t="s">
        <v>333</v>
      </c>
      <c r="T369" s="20"/>
      <c r="U369" s="20"/>
      <c r="V369" s="20" t="s">
        <v>344</v>
      </c>
      <c r="W369" s="20" t="s">
        <v>333</v>
      </c>
      <c r="X369" s="20" t="s">
        <v>333</v>
      </c>
      <c r="Y369" s="20" t="s">
        <v>333</v>
      </c>
      <c r="Z369" s="20" t="s">
        <v>333</v>
      </c>
      <c r="AA369" s="20" t="s">
        <v>333</v>
      </c>
      <c r="AB369" s="20" t="s">
        <v>333</v>
      </c>
      <c r="AC369" s="20"/>
      <c r="AD369" s="20" t="s">
        <v>333</v>
      </c>
      <c r="AE369" s="20" t="s">
        <v>333</v>
      </c>
      <c r="AF369" s="20" t="s">
        <v>333</v>
      </c>
      <c r="AG369" s="20" t="s">
        <v>344</v>
      </c>
      <c r="AH369" s="20" t="s">
        <v>344</v>
      </c>
      <c r="AI369" s="20" t="s">
        <v>333</v>
      </c>
      <c r="AJ369" s="20"/>
      <c r="AK369" s="20" t="s">
        <v>347</v>
      </c>
      <c r="AL369" s="20" t="s">
        <v>1269</v>
      </c>
      <c r="AM369" s="20" t="s">
        <v>347</v>
      </c>
      <c r="AN369" s="20" t="s">
        <v>349</v>
      </c>
      <c r="AO369" s="20"/>
      <c r="AP369" s="20" t="s">
        <v>1682</v>
      </c>
      <c r="AQ369" s="20" t="s">
        <v>1559</v>
      </c>
      <c r="AR369" s="20"/>
      <c r="AS369" s="20"/>
    </row>
    <row r="370">
      <c r="A370" s="20" t="s">
        <v>4036</v>
      </c>
      <c r="B370" s="20" t="s">
        <v>3395</v>
      </c>
      <c r="C370" s="20" t="s">
        <v>3396</v>
      </c>
      <c r="D370" s="20"/>
      <c r="E370" s="20" t="s">
        <v>49</v>
      </c>
      <c r="F370" s="80" t="s">
        <v>3398</v>
      </c>
      <c r="G370" s="82">
        <v>9.971688994E9</v>
      </c>
      <c r="H370" s="20" t="s">
        <v>314</v>
      </c>
      <c r="I370" s="20" t="s">
        <v>315</v>
      </c>
      <c r="J370" s="20" t="s">
        <v>74</v>
      </c>
      <c r="K370" s="20" t="s">
        <v>55</v>
      </c>
      <c r="L370" s="20" t="s">
        <v>56</v>
      </c>
      <c r="M370" s="20" t="s">
        <v>57</v>
      </c>
      <c r="N370" s="20" t="s">
        <v>333</v>
      </c>
      <c r="O370" s="20" t="s">
        <v>1745</v>
      </c>
      <c r="P370" s="20"/>
      <c r="Q370" s="20" t="s">
        <v>59</v>
      </c>
      <c r="R370" s="20" t="s">
        <v>333</v>
      </c>
      <c r="S370" s="20" t="s">
        <v>333</v>
      </c>
      <c r="T370" s="20"/>
      <c r="U370" s="20"/>
      <c r="V370" s="20" t="s">
        <v>344</v>
      </c>
      <c r="W370" s="20" t="s">
        <v>333</v>
      </c>
      <c r="X370" s="20" t="s">
        <v>333</v>
      </c>
      <c r="Y370" s="20" t="s">
        <v>333</v>
      </c>
      <c r="Z370" s="20" t="s">
        <v>333</v>
      </c>
      <c r="AA370" s="20" t="s">
        <v>333</v>
      </c>
      <c r="AB370" s="20" t="s">
        <v>333</v>
      </c>
      <c r="AC370" s="20"/>
      <c r="AD370" s="20" t="s">
        <v>333</v>
      </c>
      <c r="AE370" s="20" t="s">
        <v>333</v>
      </c>
      <c r="AF370" s="20" t="s">
        <v>333</v>
      </c>
      <c r="AG370" s="20" t="s">
        <v>344</v>
      </c>
      <c r="AH370" s="20" t="s">
        <v>344</v>
      </c>
      <c r="AI370" s="20" t="s">
        <v>333</v>
      </c>
      <c r="AJ370" s="20"/>
      <c r="AK370" s="20" t="s">
        <v>1873</v>
      </c>
      <c r="AL370" s="20" t="s">
        <v>1245</v>
      </c>
      <c r="AM370" s="20" t="s">
        <v>1873</v>
      </c>
      <c r="AN370" s="20" t="s">
        <v>349</v>
      </c>
      <c r="AO370" s="20"/>
      <c r="AP370" s="20" t="s">
        <v>1745</v>
      </c>
      <c r="AQ370" s="20" t="s">
        <v>349</v>
      </c>
      <c r="AR370" s="20"/>
      <c r="AS370" s="20"/>
    </row>
    <row r="371">
      <c r="A371" s="20" t="s">
        <v>4042</v>
      </c>
      <c r="B371" s="20" t="s">
        <v>2068</v>
      </c>
      <c r="C371" s="20" t="s">
        <v>2070</v>
      </c>
      <c r="D371" s="20"/>
      <c r="E371" s="20" t="s">
        <v>49</v>
      </c>
      <c r="F371" s="29" t="s">
        <v>69</v>
      </c>
      <c r="G371" s="29" t="s">
        <v>69</v>
      </c>
      <c r="H371" s="20" t="s">
        <v>1475</v>
      </c>
      <c r="I371" s="20" t="s">
        <v>1476</v>
      </c>
      <c r="J371" s="20" t="s">
        <v>74</v>
      </c>
      <c r="K371" s="20" t="s">
        <v>55</v>
      </c>
      <c r="L371" s="20" t="s">
        <v>56</v>
      </c>
      <c r="M371" s="20" t="s">
        <v>57</v>
      </c>
      <c r="N371" s="20" t="s">
        <v>333</v>
      </c>
      <c r="O371" s="20" t="s">
        <v>3142</v>
      </c>
      <c r="P371" s="20" t="s">
        <v>2286</v>
      </c>
      <c r="Q371" s="20" t="s">
        <v>59</v>
      </c>
      <c r="R371" s="20" t="s">
        <v>333</v>
      </c>
      <c r="S371" s="20" t="s">
        <v>333</v>
      </c>
      <c r="T371" s="20"/>
      <c r="U371" s="20"/>
      <c r="V371" s="20" t="s">
        <v>344</v>
      </c>
      <c r="W371" s="20" t="s">
        <v>333</v>
      </c>
      <c r="X371" s="20" t="s">
        <v>333</v>
      </c>
      <c r="Y371" s="20" t="s">
        <v>333</v>
      </c>
      <c r="Z371" s="20" t="s">
        <v>333</v>
      </c>
      <c r="AA371" s="20" t="s">
        <v>333</v>
      </c>
      <c r="AB371" s="20" t="s">
        <v>333</v>
      </c>
      <c r="AC371" s="20"/>
      <c r="AD371" s="20" t="s">
        <v>333</v>
      </c>
      <c r="AE371" s="20" t="s">
        <v>333</v>
      </c>
      <c r="AF371" s="20" t="s">
        <v>333</v>
      </c>
      <c r="AG371" s="20" t="s">
        <v>344</v>
      </c>
      <c r="AH371" s="20" t="s">
        <v>344</v>
      </c>
      <c r="AI371" s="20" t="s">
        <v>333</v>
      </c>
      <c r="AJ371" s="20"/>
      <c r="AK371" s="20" t="s">
        <v>1274</v>
      </c>
      <c r="AL371" s="20" t="s">
        <v>1556</v>
      </c>
      <c r="AM371" s="20" t="s">
        <v>1274</v>
      </c>
      <c r="AN371" s="20" t="s">
        <v>349</v>
      </c>
      <c r="AO371" s="20"/>
      <c r="AP371" s="20" t="s">
        <v>3142</v>
      </c>
      <c r="AQ371" s="20" t="s">
        <v>2286</v>
      </c>
      <c r="AR371" s="20"/>
      <c r="AS371" s="20"/>
    </row>
    <row r="372">
      <c r="A372" s="20" t="s">
        <v>4043</v>
      </c>
      <c r="B372" s="20" t="s">
        <v>1826</v>
      </c>
      <c r="C372" s="20" t="s">
        <v>1827</v>
      </c>
      <c r="D372" s="20"/>
      <c r="E372" s="20" t="s">
        <v>49</v>
      </c>
      <c r="F372" s="80" t="s">
        <v>4046</v>
      </c>
      <c r="G372" s="75" t="s">
        <v>4048</v>
      </c>
      <c r="H372" s="20" t="s">
        <v>123</v>
      </c>
      <c r="I372" s="20" t="s">
        <v>124</v>
      </c>
      <c r="J372" s="20" t="s">
        <v>74</v>
      </c>
      <c r="K372" s="20" t="s">
        <v>55</v>
      </c>
      <c r="L372" s="20" t="s">
        <v>56</v>
      </c>
      <c r="M372" s="20" t="s">
        <v>57</v>
      </c>
      <c r="N372" s="20" t="s">
        <v>333</v>
      </c>
      <c r="O372" s="20" t="s">
        <v>1256</v>
      </c>
      <c r="P372" s="20" t="s">
        <v>2262</v>
      </c>
      <c r="Q372" s="20" t="s">
        <v>59</v>
      </c>
      <c r="R372" s="20" t="s">
        <v>333</v>
      </c>
      <c r="S372" s="20" t="s">
        <v>333</v>
      </c>
      <c r="T372" s="20"/>
      <c r="U372" s="20"/>
      <c r="V372" s="20" t="s">
        <v>344</v>
      </c>
      <c r="W372" s="20" t="s">
        <v>333</v>
      </c>
      <c r="X372" s="20" t="s">
        <v>333</v>
      </c>
      <c r="Y372" s="20" t="s">
        <v>333</v>
      </c>
      <c r="Z372" s="20" t="s">
        <v>333</v>
      </c>
      <c r="AA372" s="20" t="s">
        <v>333</v>
      </c>
      <c r="AB372" s="20" t="s">
        <v>333</v>
      </c>
      <c r="AC372" s="20"/>
      <c r="AD372" s="20" t="s">
        <v>333</v>
      </c>
      <c r="AE372" s="20" t="s">
        <v>333</v>
      </c>
      <c r="AF372" s="20" t="s">
        <v>333</v>
      </c>
      <c r="AG372" s="20" t="s">
        <v>344</v>
      </c>
      <c r="AH372" s="20" t="s">
        <v>344</v>
      </c>
      <c r="AI372" s="20" t="s">
        <v>333</v>
      </c>
      <c r="AJ372" s="20"/>
      <c r="AK372" s="20" t="s">
        <v>1260</v>
      </c>
      <c r="AL372" s="20" t="s">
        <v>348</v>
      </c>
      <c r="AM372" s="20" t="s">
        <v>1260</v>
      </c>
      <c r="AN372" s="20" t="s">
        <v>349</v>
      </c>
      <c r="AO372" s="20"/>
      <c r="AP372" s="20" t="s">
        <v>1256</v>
      </c>
      <c r="AQ372" s="20" t="s">
        <v>2262</v>
      </c>
      <c r="AR372" s="20"/>
      <c r="AS372" s="20"/>
    </row>
    <row r="373">
      <c r="A373" s="20" t="s">
        <v>4049</v>
      </c>
      <c r="B373" s="20" t="s">
        <v>4050</v>
      </c>
      <c r="C373" s="20" t="s">
        <v>4051</v>
      </c>
      <c r="D373" s="20"/>
      <c r="E373" s="20" t="s">
        <v>49</v>
      </c>
      <c r="F373" s="20"/>
      <c r="G373" s="20"/>
      <c r="H373" s="20" t="s">
        <v>513</v>
      </c>
      <c r="I373" s="20" t="s">
        <v>514</v>
      </c>
      <c r="J373" s="20" t="s">
        <v>74</v>
      </c>
      <c r="K373" s="20" t="s">
        <v>55</v>
      </c>
      <c r="L373" s="20" t="s">
        <v>56</v>
      </c>
      <c r="M373" s="20" t="s">
        <v>57</v>
      </c>
      <c r="N373" s="20" t="s">
        <v>333</v>
      </c>
      <c r="O373" s="20" t="s">
        <v>1695</v>
      </c>
      <c r="P373" s="20" t="s">
        <v>1682</v>
      </c>
      <c r="Q373" s="20" t="s">
        <v>59</v>
      </c>
      <c r="R373" s="20" t="s">
        <v>333</v>
      </c>
      <c r="S373" s="20" t="s">
        <v>333</v>
      </c>
      <c r="T373" s="20"/>
      <c r="U373" s="20"/>
      <c r="V373" s="20" t="s">
        <v>344</v>
      </c>
      <c r="W373" s="20" t="s">
        <v>333</v>
      </c>
      <c r="X373" s="20" t="s">
        <v>333</v>
      </c>
      <c r="Y373" s="20" t="s">
        <v>333</v>
      </c>
      <c r="Z373" s="20" t="s">
        <v>333</v>
      </c>
      <c r="AA373" s="20" t="s">
        <v>333</v>
      </c>
      <c r="AB373" s="20" t="s">
        <v>333</v>
      </c>
      <c r="AC373" s="20"/>
      <c r="AD373" s="20" t="s">
        <v>333</v>
      </c>
      <c r="AE373" s="20" t="s">
        <v>333</v>
      </c>
      <c r="AF373" s="20" t="s">
        <v>333</v>
      </c>
      <c r="AG373" s="20" t="s">
        <v>344</v>
      </c>
      <c r="AH373" s="20" t="s">
        <v>344</v>
      </c>
      <c r="AI373" s="20" t="s">
        <v>333</v>
      </c>
      <c r="AJ373" s="20"/>
      <c r="AK373" s="20" t="s">
        <v>347</v>
      </c>
      <c r="AL373" s="20" t="s">
        <v>1556</v>
      </c>
      <c r="AM373" s="20" t="s">
        <v>347</v>
      </c>
      <c r="AN373" s="20" t="s">
        <v>349</v>
      </c>
      <c r="AO373" s="20"/>
      <c r="AP373" s="20" t="s">
        <v>1695</v>
      </c>
      <c r="AQ373" s="20" t="s">
        <v>1682</v>
      </c>
      <c r="AR373" s="20"/>
      <c r="AS373" s="20"/>
    </row>
    <row r="374">
      <c r="A374" s="20" t="s">
        <v>4052</v>
      </c>
      <c r="B374" s="20" t="s">
        <v>1215</v>
      </c>
      <c r="C374" s="20" t="s">
        <v>1216</v>
      </c>
      <c r="D374" s="20"/>
      <c r="E374" s="20" t="s">
        <v>49</v>
      </c>
      <c r="F374" s="20"/>
      <c r="G374" s="20"/>
      <c r="H374" s="20" t="s">
        <v>142</v>
      </c>
      <c r="I374" s="20" t="s">
        <v>144</v>
      </c>
      <c r="J374" s="20" t="s">
        <v>74</v>
      </c>
      <c r="K374" s="20" t="s">
        <v>55</v>
      </c>
      <c r="L374" s="20" t="s">
        <v>56</v>
      </c>
      <c r="M374" s="20" t="s">
        <v>57</v>
      </c>
      <c r="N374" s="20" t="s">
        <v>333</v>
      </c>
      <c r="O374" s="20" t="s">
        <v>1695</v>
      </c>
      <c r="P374" s="20" t="s">
        <v>1559</v>
      </c>
      <c r="Q374" s="20" t="s">
        <v>59</v>
      </c>
      <c r="R374" s="20" t="s">
        <v>333</v>
      </c>
      <c r="S374" s="20" t="s">
        <v>333</v>
      </c>
      <c r="T374" s="20"/>
      <c r="U374" s="20"/>
      <c r="V374" s="20" t="s">
        <v>344</v>
      </c>
      <c r="W374" s="20" t="s">
        <v>333</v>
      </c>
      <c r="X374" s="20" t="s">
        <v>333</v>
      </c>
      <c r="Y374" s="20" t="s">
        <v>333</v>
      </c>
      <c r="Z374" s="20" t="s">
        <v>333</v>
      </c>
      <c r="AA374" s="20" t="s">
        <v>333</v>
      </c>
      <c r="AB374" s="20" t="s">
        <v>333</v>
      </c>
      <c r="AC374" s="20"/>
      <c r="AD374" s="20" t="s">
        <v>333</v>
      </c>
      <c r="AE374" s="20" t="s">
        <v>333</v>
      </c>
      <c r="AF374" s="20" t="s">
        <v>333</v>
      </c>
      <c r="AG374" s="20" t="s">
        <v>344</v>
      </c>
      <c r="AH374" s="20" t="s">
        <v>344</v>
      </c>
      <c r="AI374" s="20" t="s">
        <v>333</v>
      </c>
      <c r="AJ374" s="20"/>
      <c r="AK374" s="20" t="s">
        <v>1260</v>
      </c>
      <c r="AL374" s="20" t="s">
        <v>1586</v>
      </c>
      <c r="AM374" s="20" t="s">
        <v>1260</v>
      </c>
      <c r="AN374" s="20" t="s">
        <v>349</v>
      </c>
      <c r="AO374" s="20"/>
      <c r="AP374" s="20" t="s">
        <v>1695</v>
      </c>
      <c r="AQ374" s="20" t="s">
        <v>1559</v>
      </c>
      <c r="AR374" s="20"/>
      <c r="AS374" s="20"/>
    </row>
    <row r="375">
      <c r="A375" s="20" t="s">
        <v>4054</v>
      </c>
      <c r="B375" s="20" t="s">
        <v>1868</v>
      </c>
      <c r="C375" s="20" t="s">
        <v>1869</v>
      </c>
      <c r="D375" s="20" t="s">
        <v>1870</v>
      </c>
      <c r="E375" s="20" t="s">
        <v>49</v>
      </c>
      <c r="F375" s="20"/>
      <c r="G375" s="20"/>
      <c r="H375" s="20" t="s">
        <v>303</v>
      </c>
      <c r="I375" s="20" t="s">
        <v>303</v>
      </c>
      <c r="J375" s="20" t="s">
        <v>74</v>
      </c>
      <c r="K375" s="20" t="s">
        <v>55</v>
      </c>
      <c r="L375" s="20" t="s">
        <v>56</v>
      </c>
      <c r="M375" s="20" t="s">
        <v>57</v>
      </c>
      <c r="N375" s="20" t="s">
        <v>333</v>
      </c>
      <c r="O375" s="20" t="s">
        <v>1559</v>
      </c>
      <c r="P375" s="20"/>
      <c r="Q375" s="20" t="s">
        <v>59</v>
      </c>
      <c r="R375" s="20" t="s">
        <v>333</v>
      </c>
      <c r="S375" s="20" t="s">
        <v>333</v>
      </c>
      <c r="T375" s="20" t="s">
        <v>948</v>
      </c>
      <c r="U375" s="20"/>
      <c r="V375" s="20" t="s">
        <v>344</v>
      </c>
      <c r="W375" s="20" t="s">
        <v>333</v>
      </c>
      <c r="X375" s="20" t="s">
        <v>333</v>
      </c>
      <c r="Y375" s="20" t="s">
        <v>333</v>
      </c>
      <c r="Z375" s="20" t="s">
        <v>333</v>
      </c>
      <c r="AA375" s="20" t="s">
        <v>333</v>
      </c>
      <c r="AB375" s="20" t="s">
        <v>333</v>
      </c>
      <c r="AC375" s="20"/>
      <c r="AD375" s="20" t="s">
        <v>333</v>
      </c>
      <c r="AE375" s="20" t="s">
        <v>333</v>
      </c>
      <c r="AF375" s="20" t="s">
        <v>333</v>
      </c>
      <c r="AG375" s="20" t="s">
        <v>344</v>
      </c>
      <c r="AH375" s="20" t="s">
        <v>344</v>
      </c>
      <c r="AI375" s="20" t="s">
        <v>333</v>
      </c>
      <c r="AJ375" s="20"/>
      <c r="AK375" s="20" t="s">
        <v>1244</v>
      </c>
      <c r="AL375" s="20" t="s">
        <v>1261</v>
      </c>
      <c r="AM375" s="20" t="s">
        <v>1244</v>
      </c>
      <c r="AN375" s="20" t="s">
        <v>349</v>
      </c>
      <c r="AO375" s="20"/>
      <c r="AP375" s="20" t="s">
        <v>1559</v>
      </c>
      <c r="AQ375" s="20" t="s">
        <v>349</v>
      </c>
      <c r="AR375" s="20"/>
      <c r="AS375" s="20"/>
    </row>
    <row r="376">
      <c r="A376" s="20" t="s">
        <v>4059</v>
      </c>
      <c r="B376" s="20" t="s">
        <v>1162</v>
      </c>
      <c r="C376" s="20" t="s">
        <v>1163</v>
      </c>
      <c r="D376" s="20" t="s">
        <v>1164</v>
      </c>
      <c r="E376" s="20" t="s">
        <v>49</v>
      </c>
      <c r="F376" s="20"/>
      <c r="G376" s="20"/>
      <c r="H376" s="20" t="s">
        <v>376</v>
      </c>
      <c r="I376" s="20" t="s">
        <v>377</v>
      </c>
      <c r="J376" s="20" t="s">
        <v>377</v>
      </c>
      <c r="K376" s="20" t="s">
        <v>55</v>
      </c>
      <c r="L376" s="20" t="s">
        <v>56</v>
      </c>
      <c r="M376" s="20" t="s">
        <v>57</v>
      </c>
      <c r="N376" s="20" t="s">
        <v>333</v>
      </c>
      <c r="O376" s="20" t="s">
        <v>348</v>
      </c>
      <c r="P376" s="20" t="s">
        <v>348</v>
      </c>
      <c r="Q376" s="20" t="s">
        <v>59</v>
      </c>
      <c r="R376" s="20" t="s">
        <v>333</v>
      </c>
      <c r="S376" s="20" t="s">
        <v>333</v>
      </c>
      <c r="T376" s="20"/>
      <c r="U376" s="20"/>
      <c r="V376" s="20" t="s">
        <v>344</v>
      </c>
      <c r="W376" s="20" t="s">
        <v>333</v>
      </c>
      <c r="X376" s="20" t="s">
        <v>333</v>
      </c>
      <c r="Y376" s="20" t="s">
        <v>333</v>
      </c>
      <c r="Z376" s="20" t="s">
        <v>333</v>
      </c>
      <c r="AA376" s="20" t="s">
        <v>333</v>
      </c>
      <c r="AB376" s="20" t="s">
        <v>333</v>
      </c>
      <c r="AC376" s="20"/>
      <c r="AD376" s="20" t="s">
        <v>333</v>
      </c>
      <c r="AE376" s="20" t="s">
        <v>333</v>
      </c>
      <c r="AF376" s="20" t="s">
        <v>333</v>
      </c>
      <c r="AG376" s="20" t="s">
        <v>344</v>
      </c>
      <c r="AH376" s="20" t="s">
        <v>344</v>
      </c>
      <c r="AI376" s="20" t="s">
        <v>333</v>
      </c>
      <c r="AJ376" s="20"/>
      <c r="AK376" s="20" t="s">
        <v>1595</v>
      </c>
      <c r="AL376" s="20" t="s">
        <v>1596</v>
      </c>
      <c r="AM376" s="20" t="s">
        <v>1595</v>
      </c>
      <c r="AN376" s="20" t="s">
        <v>349</v>
      </c>
      <c r="AO376" s="20"/>
      <c r="AP376" s="20" t="s">
        <v>348</v>
      </c>
      <c r="AQ376" s="20" t="s">
        <v>348</v>
      </c>
      <c r="AR376" s="20"/>
      <c r="AS376" s="20"/>
    </row>
    <row r="377">
      <c r="A377" s="20" t="s">
        <v>4060</v>
      </c>
      <c r="B377" s="20" t="s">
        <v>4061</v>
      </c>
      <c r="C377" s="20" t="s">
        <v>4062</v>
      </c>
      <c r="D377" s="20"/>
      <c r="E377" s="20" t="s">
        <v>49</v>
      </c>
      <c r="F377" s="20"/>
      <c r="G377" s="20"/>
      <c r="H377" s="20" t="s">
        <v>285</v>
      </c>
      <c r="I377" s="20" t="s">
        <v>286</v>
      </c>
      <c r="J377" s="20" t="s">
        <v>74</v>
      </c>
      <c r="K377" s="20" t="s">
        <v>55</v>
      </c>
      <c r="L377" s="20" t="s">
        <v>56</v>
      </c>
      <c r="M377" s="20" t="s">
        <v>57</v>
      </c>
      <c r="N377" s="20" t="s">
        <v>333</v>
      </c>
      <c r="O377" s="20" t="s">
        <v>4063</v>
      </c>
      <c r="P377" s="20"/>
      <c r="Q377" s="20" t="s">
        <v>59</v>
      </c>
      <c r="R377" s="20" t="s">
        <v>333</v>
      </c>
      <c r="S377" s="20" t="s">
        <v>333</v>
      </c>
      <c r="T377" s="20"/>
      <c r="U377" s="20"/>
      <c r="V377" s="20" t="s">
        <v>344</v>
      </c>
      <c r="W377" s="20" t="s">
        <v>333</v>
      </c>
      <c r="X377" s="20" t="s">
        <v>333</v>
      </c>
      <c r="Y377" s="20" t="s">
        <v>333</v>
      </c>
      <c r="Z377" s="20" t="s">
        <v>333</v>
      </c>
      <c r="AA377" s="20" t="s">
        <v>333</v>
      </c>
      <c r="AB377" s="20" t="s">
        <v>333</v>
      </c>
      <c r="AC377" s="20"/>
      <c r="AD377" s="20" t="s">
        <v>333</v>
      </c>
      <c r="AE377" s="20" t="s">
        <v>333</v>
      </c>
      <c r="AF377" s="20" t="s">
        <v>333</v>
      </c>
      <c r="AG377" s="20" t="s">
        <v>344</v>
      </c>
      <c r="AH377" s="20" t="s">
        <v>344</v>
      </c>
      <c r="AI377" s="20" t="s">
        <v>333</v>
      </c>
      <c r="AJ377" s="20"/>
      <c r="AK377" s="20" t="s">
        <v>1244</v>
      </c>
      <c r="AL377" s="20" t="s">
        <v>2019</v>
      </c>
      <c r="AM377" s="20" t="s">
        <v>1244</v>
      </c>
      <c r="AN377" s="20" t="s">
        <v>349</v>
      </c>
      <c r="AO377" s="20"/>
      <c r="AP377" s="20" t="s">
        <v>4063</v>
      </c>
      <c r="AQ377" s="20" t="s">
        <v>349</v>
      </c>
      <c r="AR377" s="20"/>
      <c r="AS377" s="20"/>
    </row>
    <row r="378">
      <c r="A378" s="20" t="s">
        <v>4065</v>
      </c>
      <c r="B378" s="20" t="s">
        <v>3928</v>
      </c>
      <c r="C378" s="20" t="s">
        <v>3929</v>
      </c>
      <c r="D378" s="20"/>
      <c r="E378" s="20" t="s">
        <v>49</v>
      </c>
      <c r="F378" s="20"/>
      <c r="G378" s="20"/>
      <c r="H378" s="20" t="s">
        <v>123</v>
      </c>
      <c r="I378" s="20" t="s">
        <v>124</v>
      </c>
      <c r="J378" s="20" t="s">
        <v>74</v>
      </c>
      <c r="K378" s="20" t="s">
        <v>55</v>
      </c>
      <c r="L378" s="20" t="s">
        <v>56</v>
      </c>
      <c r="M378" s="20" t="s">
        <v>57</v>
      </c>
      <c r="N378" s="20" t="s">
        <v>333</v>
      </c>
      <c r="O378" s="20" t="s">
        <v>1571</v>
      </c>
      <c r="P378" s="20" t="s">
        <v>1695</v>
      </c>
      <c r="Q378" s="20" t="s">
        <v>59</v>
      </c>
      <c r="R378" s="20" t="s">
        <v>333</v>
      </c>
      <c r="S378" s="20" t="s">
        <v>333</v>
      </c>
      <c r="T378" s="20"/>
      <c r="U378" s="20"/>
      <c r="V378" s="20" t="s">
        <v>344</v>
      </c>
      <c r="W378" s="20" t="s">
        <v>333</v>
      </c>
      <c r="X378" s="20" t="s">
        <v>333</v>
      </c>
      <c r="Y378" s="20" t="s">
        <v>333</v>
      </c>
      <c r="Z378" s="20" t="s">
        <v>333</v>
      </c>
      <c r="AA378" s="20" t="s">
        <v>333</v>
      </c>
      <c r="AB378" s="20" t="s">
        <v>333</v>
      </c>
      <c r="AC378" s="20"/>
      <c r="AD378" s="20" t="s">
        <v>333</v>
      </c>
      <c r="AE378" s="20" t="s">
        <v>333</v>
      </c>
      <c r="AF378" s="20" t="s">
        <v>333</v>
      </c>
      <c r="AG378" s="20" t="s">
        <v>344</v>
      </c>
      <c r="AH378" s="20" t="s">
        <v>344</v>
      </c>
      <c r="AI378" s="20" t="s">
        <v>333</v>
      </c>
      <c r="AJ378" s="20"/>
      <c r="AK378" s="20" t="s">
        <v>1595</v>
      </c>
      <c r="AL378" s="20" t="s">
        <v>1245</v>
      </c>
      <c r="AM378" s="20" t="s">
        <v>1595</v>
      </c>
      <c r="AN378" s="20" t="s">
        <v>349</v>
      </c>
      <c r="AO378" s="20"/>
      <c r="AP378" s="20" t="s">
        <v>1571</v>
      </c>
      <c r="AQ378" s="20" t="s">
        <v>1695</v>
      </c>
      <c r="AR378" s="20"/>
      <c r="AS378" s="20"/>
    </row>
    <row r="379">
      <c r="A379" s="20" t="s">
        <v>4070</v>
      </c>
      <c r="B379" s="20" t="s">
        <v>3488</v>
      </c>
      <c r="C379" s="20" t="s">
        <v>3489</v>
      </c>
      <c r="D379" s="20" t="s">
        <v>3490</v>
      </c>
      <c r="E379" s="20" t="s">
        <v>49</v>
      </c>
      <c r="F379" s="20"/>
      <c r="G379" s="20"/>
      <c r="H379" s="20" t="s">
        <v>303</v>
      </c>
      <c r="I379" s="20" t="s">
        <v>303</v>
      </c>
      <c r="J379" s="20" t="s">
        <v>74</v>
      </c>
      <c r="K379" s="20" t="s">
        <v>55</v>
      </c>
      <c r="L379" s="20" t="s">
        <v>56</v>
      </c>
      <c r="M379" s="20" t="s">
        <v>57</v>
      </c>
      <c r="N379" s="20" t="s">
        <v>333</v>
      </c>
      <c r="O379" s="20" t="s">
        <v>1239</v>
      </c>
      <c r="P379" s="20" t="s">
        <v>1720</v>
      </c>
      <c r="Q379" s="20" t="s">
        <v>59</v>
      </c>
      <c r="R379" s="20" t="s">
        <v>333</v>
      </c>
      <c r="S379" s="20" t="s">
        <v>333</v>
      </c>
      <c r="T379" s="20" t="s">
        <v>948</v>
      </c>
      <c r="U379" s="20"/>
      <c r="V379" s="20" t="s">
        <v>344</v>
      </c>
      <c r="W379" s="20" t="s">
        <v>333</v>
      </c>
      <c r="X379" s="20" t="s">
        <v>333</v>
      </c>
      <c r="Y379" s="20" t="s">
        <v>333</v>
      </c>
      <c r="Z379" s="20" t="s">
        <v>333</v>
      </c>
      <c r="AA379" s="20" t="s">
        <v>333</v>
      </c>
      <c r="AB379" s="20" t="s">
        <v>333</v>
      </c>
      <c r="AC379" s="20"/>
      <c r="AD379" s="20" t="s">
        <v>333</v>
      </c>
      <c r="AE379" s="20" t="s">
        <v>333</v>
      </c>
      <c r="AF379" s="20" t="s">
        <v>333</v>
      </c>
      <c r="AG379" s="20" t="s">
        <v>344</v>
      </c>
      <c r="AH379" s="20" t="s">
        <v>344</v>
      </c>
      <c r="AI379" s="20" t="s">
        <v>333</v>
      </c>
      <c r="AJ379" s="20"/>
      <c r="AK379" s="20" t="s">
        <v>349</v>
      </c>
      <c r="AL379" s="20" t="s">
        <v>349</v>
      </c>
      <c r="AM379" s="20" t="s">
        <v>349</v>
      </c>
      <c r="AN379" s="20" t="s">
        <v>349</v>
      </c>
      <c r="AO379" s="20"/>
      <c r="AP379" s="20" t="s">
        <v>1239</v>
      </c>
      <c r="AQ379" s="20" t="s">
        <v>1720</v>
      </c>
      <c r="AR379" s="20"/>
      <c r="AS379" s="20"/>
    </row>
    <row r="380">
      <c r="A380" s="20" t="s">
        <v>4071</v>
      </c>
      <c r="B380" s="20" t="s">
        <v>4072</v>
      </c>
      <c r="C380" s="20" t="s">
        <v>4073</v>
      </c>
      <c r="D380" s="20"/>
      <c r="E380" s="20" t="s">
        <v>49</v>
      </c>
      <c r="F380" s="20"/>
      <c r="G380" s="20"/>
      <c r="H380" s="20" t="s">
        <v>303</v>
      </c>
      <c r="I380" s="20" t="s">
        <v>303</v>
      </c>
      <c r="J380" s="20" t="s">
        <v>74</v>
      </c>
      <c r="K380" s="20" t="s">
        <v>55</v>
      </c>
      <c r="L380" s="20" t="s">
        <v>56</v>
      </c>
      <c r="M380" s="20" t="s">
        <v>57</v>
      </c>
      <c r="N380" s="20" t="s">
        <v>333</v>
      </c>
      <c r="O380" s="20" t="s">
        <v>1576</v>
      </c>
      <c r="P380" s="20"/>
      <c r="Q380" s="20" t="s">
        <v>59</v>
      </c>
      <c r="R380" s="20" t="s">
        <v>333</v>
      </c>
      <c r="S380" s="20" t="s">
        <v>333</v>
      </c>
      <c r="T380" s="20"/>
      <c r="U380" s="20"/>
      <c r="V380" s="20" t="s">
        <v>344</v>
      </c>
      <c r="W380" s="20" t="s">
        <v>333</v>
      </c>
      <c r="X380" s="20" t="s">
        <v>333</v>
      </c>
      <c r="Y380" s="20" t="s">
        <v>333</v>
      </c>
      <c r="Z380" s="20" t="s">
        <v>333</v>
      </c>
      <c r="AA380" s="20" t="s">
        <v>333</v>
      </c>
      <c r="AB380" s="20" t="s">
        <v>333</v>
      </c>
      <c r="AC380" s="20"/>
      <c r="AD380" s="20" t="s">
        <v>333</v>
      </c>
      <c r="AE380" s="20" t="s">
        <v>333</v>
      </c>
      <c r="AF380" s="20" t="s">
        <v>333</v>
      </c>
      <c r="AG380" s="20" t="s">
        <v>344</v>
      </c>
      <c r="AH380" s="20" t="s">
        <v>344</v>
      </c>
      <c r="AI380" s="20" t="s">
        <v>333</v>
      </c>
      <c r="AJ380" s="20"/>
      <c r="AK380" s="20" t="s">
        <v>1717</v>
      </c>
      <c r="AL380" s="20" t="s">
        <v>1556</v>
      </c>
      <c r="AM380" s="20" t="s">
        <v>1717</v>
      </c>
      <c r="AN380" s="20" t="s">
        <v>349</v>
      </c>
      <c r="AO380" s="20"/>
      <c r="AP380" s="20" t="s">
        <v>1576</v>
      </c>
      <c r="AQ380" s="20" t="s">
        <v>349</v>
      </c>
      <c r="AR380" s="20"/>
      <c r="AS380" s="20"/>
    </row>
    <row r="381">
      <c r="A381" s="20" t="s">
        <v>4075</v>
      </c>
      <c r="B381" s="20" t="s">
        <v>4076</v>
      </c>
      <c r="C381" s="20" t="s">
        <v>4077</v>
      </c>
      <c r="D381" s="20"/>
      <c r="E381" s="20" t="s">
        <v>49</v>
      </c>
      <c r="F381" s="20"/>
      <c r="G381" s="20"/>
      <c r="H381" s="20" t="s">
        <v>1599</v>
      </c>
      <c r="I381" s="20" t="s">
        <v>1601</v>
      </c>
      <c r="J381" s="20" t="s">
        <v>74</v>
      </c>
      <c r="K381" s="20" t="s">
        <v>55</v>
      </c>
      <c r="L381" s="20" t="s">
        <v>56</v>
      </c>
      <c r="M381" s="20" t="s">
        <v>57</v>
      </c>
      <c r="N381" s="20" t="s">
        <v>333</v>
      </c>
      <c r="O381" s="20" t="s">
        <v>1717</v>
      </c>
      <c r="P381" s="20"/>
      <c r="Q381" s="20" t="s">
        <v>59</v>
      </c>
      <c r="R381" s="20" t="s">
        <v>333</v>
      </c>
      <c r="S381" s="20" t="s">
        <v>333</v>
      </c>
      <c r="T381" s="20"/>
      <c r="U381" s="20"/>
      <c r="V381" s="20" t="s">
        <v>344</v>
      </c>
      <c r="W381" s="20" t="s">
        <v>333</v>
      </c>
      <c r="X381" s="20" t="s">
        <v>333</v>
      </c>
      <c r="Y381" s="20" t="s">
        <v>333</v>
      </c>
      <c r="Z381" s="20" t="s">
        <v>333</v>
      </c>
      <c r="AA381" s="20" t="s">
        <v>333</v>
      </c>
      <c r="AB381" s="20" t="s">
        <v>333</v>
      </c>
      <c r="AC381" s="20"/>
      <c r="AD381" s="20" t="s">
        <v>333</v>
      </c>
      <c r="AE381" s="20" t="s">
        <v>333</v>
      </c>
      <c r="AF381" s="20" t="s">
        <v>333</v>
      </c>
      <c r="AG381" s="20" t="s">
        <v>344</v>
      </c>
      <c r="AH381" s="20" t="s">
        <v>344</v>
      </c>
      <c r="AI381" s="20" t="s">
        <v>333</v>
      </c>
      <c r="AJ381" s="20"/>
      <c r="AK381" s="20" t="s">
        <v>2811</v>
      </c>
      <c r="AL381" s="20" t="s">
        <v>4078</v>
      </c>
      <c r="AM381" s="20" t="s">
        <v>2811</v>
      </c>
      <c r="AN381" s="20" t="s">
        <v>349</v>
      </c>
      <c r="AO381" s="20"/>
      <c r="AP381" s="20" t="s">
        <v>1717</v>
      </c>
      <c r="AQ381" s="20" t="s">
        <v>349</v>
      </c>
      <c r="AR381" s="20"/>
      <c r="AS381" s="20"/>
    </row>
    <row r="382">
      <c r="A382" s="20" t="s">
        <v>4079</v>
      </c>
      <c r="B382" s="20" t="s">
        <v>4080</v>
      </c>
      <c r="C382" s="20" t="s">
        <v>4081</v>
      </c>
      <c r="D382" s="20" t="s">
        <v>4082</v>
      </c>
      <c r="E382" s="20" t="s">
        <v>49</v>
      </c>
      <c r="F382" s="20"/>
      <c r="G382" s="20"/>
      <c r="H382" s="20" t="s">
        <v>303</v>
      </c>
      <c r="I382" s="20" t="s">
        <v>303</v>
      </c>
      <c r="J382" s="20" t="s">
        <v>74</v>
      </c>
      <c r="K382" s="20" t="s">
        <v>55</v>
      </c>
      <c r="L382" s="20" t="s">
        <v>56</v>
      </c>
      <c r="M382" s="20" t="s">
        <v>57</v>
      </c>
      <c r="N382" s="20" t="s">
        <v>333</v>
      </c>
      <c r="O382" s="20" t="s">
        <v>1717</v>
      </c>
      <c r="P382" s="20"/>
      <c r="Q382" s="20" t="s">
        <v>59</v>
      </c>
      <c r="R382" s="20" t="s">
        <v>333</v>
      </c>
      <c r="S382" s="20" t="s">
        <v>333</v>
      </c>
      <c r="T382" s="20"/>
      <c r="U382" s="20"/>
      <c r="V382" s="20" t="s">
        <v>344</v>
      </c>
      <c r="W382" s="20" t="s">
        <v>333</v>
      </c>
      <c r="X382" s="20" t="s">
        <v>333</v>
      </c>
      <c r="Y382" s="20" t="s">
        <v>333</v>
      </c>
      <c r="Z382" s="20" t="s">
        <v>333</v>
      </c>
      <c r="AA382" s="20" t="s">
        <v>333</v>
      </c>
      <c r="AB382" s="20" t="s">
        <v>333</v>
      </c>
      <c r="AC382" s="20"/>
      <c r="AD382" s="20" t="s">
        <v>333</v>
      </c>
      <c r="AE382" s="20" t="s">
        <v>333</v>
      </c>
      <c r="AF382" s="20" t="s">
        <v>333</v>
      </c>
      <c r="AG382" s="20" t="s">
        <v>344</v>
      </c>
      <c r="AH382" s="20" t="s">
        <v>344</v>
      </c>
      <c r="AI382" s="20" t="s">
        <v>333</v>
      </c>
      <c r="AJ382" s="20"/>
      <c r="AK382" s="20" t="s">
        <v>347</v>
      </c>
      <c r="AL382" s="20" t="s">
        <v>1682</v>
      </c>
      <c r="AM382" s="20" t="s">
        <v>347</v>
      </c>
      <c r="AN382" s="20" t="s">
        <v>349</v>
      </c>
      <c r="AO382" s="20"/>
      <c r="AP382" s="20" t="s">
        <v>1717</v>
      </c>
      <c r="AQ382" s="20" t="s">
        <v>349</v>
      </c>
      <c r="AR382" s="20"/>
      <c r="AS382" s="20"/>
    </row>
    <row r="383">
      <c r="A383" s="32" t="s">
        <v>4084</v>
      </c>
      <c r="B383" s="32" t="s">
        <v>4085</v>
      </c>
      <c r="C383" s="32" t="s">
        <v>4086</v>
      </c>
      <c r="D383" s="48" t="s">
        <v>4087</v>
      </c>
      <c r="E383" s="32" t="s">
        <v>49</v>
      </c>
      <c r="F383" s="32" t="s">
        <v>4088</v>
      </c>
      <c r="G383" s="32" t="s">
        <v>4089</v>
      </c>
      <c r="H383" s="32" t="s">
        <v>1091</v>
      </c>
      <c r="I383" s="32" t="s">
        <v>1092</v>
      </c>
      <c r="J383" s="32" t="s">
        <v>74</v>
      </c>
      <c r="K383" s="32" t="s">
        <v>55</v>
      </c>
      <c r="L383" s="32" t="s">
        <v>56</v>
      </c>
      <c r="M383" s="32" t="s">
        <v>57</v>
      </c>
      <c r="N383" s="32" t="s">
        <v>333</v>
      </c>
      <c r="O383" s="32"/>
      <c r="P383" s="32"/>
      <c r="Q383" s="32" t="s">
        <v>59</v>
      </c>
      <c r="R383" s="32" t="s">
        <v>333</v>
      </c>
      <c r="S383" s="32" t="s">
        <v>333</v>
      </c>
      <c r="T383" s="32"/>
      <c r="U383" s="32"/>
      <c r="V383" s="32" t="s">
        <v>344</v>
      </c>
      <c r="W383" s="32" t="s">
        <v>333</v>
      </c>
      <c r="X383" s="32" t="s">
        <v>333</v>
      </c>
      <c r="Y383" s="32" t="s">
        <v>333</v>
      </c>
      <c r="Z383" s="32" t="s">
        <v>333</v>
      </c>
      <c r="AA383" s="32" t="s">
        <v>333</v>
      </c>
      <c r="AB383" s="32" t="s">
        <v>333</v>
      </c>
      <c r="AC383" s="32"/>
      <c r="AD383" s="32" t="s">
        <v>333</v>
      </c>
      <c r="AE383" s="32" t="s">
        <v>333</v>
      </c>
      <c r="AF383" s="32" t="s">
        <v>333</v>
      </c>
      <c r="AG383" s="32" t="s">
        <v>344</v>
      </c>
      <c r="AH383" s="32" t="s">
        <v>344</v>
      </c>
      <c r="AI383" s="32" t="s">
        <v>333</v>
      </c>
      <c r="AJ383" s="32"/>
      <c r="AK383" s="32" t="s">
        <v>349</v>
      </c>
      <c r="AL383" s="32" t="s">
        <v>349</v>
      </c>
      <c r="AM383" s="32" t="s">
        <v>349</v>
      </c>
      <c r="AN383" s="32" t="s">
        <v>349</v>
      </c>
      <c r="AO383" s="32"/>
      <c r="AP383" s="32" t="s">
        <v>349</v>
      </c>
      <c r="AQ383" s="32" t="s">
        <v>349</v>
      </c>
      <c r="AR383" s="21" t="s">
        <v>1931</v>
      </c>
      <c r="AS383" s="21">
        <v>2.0</v>
      </c>
    </row>
    <row r="384">
      <c r="A384" s="32" t="s">
        <v>4090</v>
      </c>
      <c r="B384" s="32" t="s">
        <v>986</v>
      </c>
      <c r="C384" s="32" t="s">
        <v>987</v>
      </c>
      <c r="D384" s="48" t="s">
        <v>988</v>
      </c>
      <c r="E384" s="32" t="s">
        <v>49</v>
      </c>
      <c r="F384" s="32" t="s">
        <v>4091</v>
      </c>
      <c r="G384" s="32" t="s">
        <v>4092</v>
      </c>
      <c r="H384" s="32" t="s">
        <v>989</v>
      </c>
      <c r="I384" s="32" t="s">
        <v>362</v>
      </c>
      <c r="J384" s="32" t="s">
        <v>362</v>
      </c>
      <c r="K384" s="32" t="s">
        <v>55</v>
      </c>
      <c r="L384" s="32" t="s">
        <v>56</v>
      </c>
      <c r="M384" s="32" t="s">
        <v>57</v>
      </c>
      <c r="N384" s="32" t="s">
        <v>333</v>
      </c>
      <c r="O384" s="32" t="s">
        <v>1596</v>
      </c>
      <c r="P384" s="32" t="s">
        <v>1256</v>
      </c>
      <c r="Q384" s="32" t="s">
        <v>59</v>
      </c>
      <c r="R384" s="32" t="s">
        <v>333</v>
      </c>
      <c r="S384" s="32" t="s">
        <v>333</v>
      </c>
      <c r="T384" s="32"/>
      <c r="U384" s="32"/>
      <c r="V384" s="32" t="s">
        <v>344</v>
      </c>
      <c r="W384" s="32" t="s">
        <v>333</v>
      </c>
      <c r="X384" s="32" t="s">
        <v>333</v>
      </c>
      <c r="Y384" s="32" t="s">
        <v>333</v>
      </c>
      <c r="Z384" s="32" t="s">
        <v>333</v>
      </c>
      <c r="AA384" s="32" t="s">
        <v>333</v>
      </c>
      <c r="AB384" s="32" t="s">
        <v>333</v>
      </c>
      <c r="AC384" s="32"/>
      <c r="AD384" s="32" t="s">
        <v>333</v>
      </c>
      <c r="AE384" s="32" t="s">
        <v>333</v>
      </c>
      <c r="AF384" s="32" t="s">
        <v>333</v>
      </c>
      <c r="AG384" s="32" t="s">
        <v>344</v>
      </c>
      <c r="AH384" s="32" t="s">
        <v>344</v>
      </c>
      <c r="AI384" s="32" t="s">
        <v>333</v>
      </c>
      <c r="AJ384" s="32"/>
      <c r="AK384" s="32" t="s">
        <v>1595</v>
      </c>
      <c r="AL384" s="32" t="s">
        <v>1673</v>
      </c>
      <c r="AM384" s="32" t="s">
        <v>1595</v>
      </c>
      <c r="AN384" s="32" t="s">
        <v>349</v>
      </c>
      <c r="AO384" s="32"/>
      <c r="AP384" s="32" t="s">
        <v>1596</v>
      </c>
      <c r="AQ384" s="32" t="s">
        <v>1256</v>
      </c>
      <c r="AR384" s="21" t="s">
        <v>1931</v>
      </c>
      <c r="AS384" s="21">
        <v>2.0</v>
      </c>
    </row>
    <row r="385">
      <c r="A385" s="20" t="s">
        <v>4094</v>
      </c>
      <c r="B385" s="20" t="s">
        <v>2456</v>
      </c>
      <c r="C385" s="20" t="s">
        <v>2457</v>
      </c>
      <c r="D385" s="20" t="s">
        <v>2458</v>
      </c>
      <c r="E385" s="20" t="s">
        <v>49</v>
      </c>
      <c r="F385" s="20"/>
      <c r="G385" s="20"/>
      <c r="H385" s="20" t="s">
        <v>2136</v>
      </c>
      <c r="I385" s="20" t="s">
        <v>2137</v>
      </c>
      <c r="J385" s="20" t="s">
        <v>74</v>
      </c>
      <c r="K385" s="20" t="s">
        <v>55</v>
      </c>
      <c r="L385" s="20" t="s">
        <v>56</v>
      </c>
      <c r="M385" s="20" t="s">
        <v>57</v>
      </c>
      <c r="N385" s="20" t="s">
        <v>333</v>
      </c>
      <c r="O385" s="20" t="s">
        <v>1556</v>
      </c>
      <c r="P385" s="20" t="s">
        <v>1586</v>
      </c>
      <c r="Q385" s="20" t="s">
        <v>59</v>
      </c>
      <c r="R385" s="20" t="s">
        <v>333</v>
      </c>
      <c r="S385" s="20" t="s">
        <v>333</v>
      </c>
      <c r="T385" s="20" t="s">
        <v>2460</v>
      </c>
      <c r="U385" s="20"/>
      <c r="V385" s="20" t="s">
        <v>344</v>
      </c>
      <c r="W385" s="20" t="s">
        <v>333</v>
      </c>
      <c r="X385" s="20" t="s">
        <v>333</v>
      </c>
      <c r="Y385" s="20" t="s">
        <v>333</v>
      </c>
      <c r="Z385" s="20" t="s">
        <v>333</v>
      </c>
      <c r="AA385" s="20" t="s">
        <v>333</v>
      </c>
      <c r="AB385" s="20" t="s">
        <v>333</v>
      </c>
      <c r="AC385" s="20"/>
      <c r="AD385" s="20" t="s">
        <v>333</v>
      </c>
      <c r="AE385" s="20" t="s">
        <v>333</v>
      </c>
      <c r="AF385" s="20" t="s">
        <v>333</v>
      </c>
      <c r="AG385" s="20" t="s">
        <v>344</v>
      </c>
      <c r="AH385" s="20" t="s">
        <v>344</v>
      </c>
      <c r="AI385" s="20" t="s">
        <v>333</v>
      </c>
      <c r="AJ385" s="20"/>
      <c r="AK385" s="20" t="s">
        <v>1244</v>
      </c>
      <c r="AL385" s="20" t="s">
        <v>1556</v>
      </c>
      <c r="AM385" s="20" t="s">
        <v>1244</v>
      </c>
      <c r="AN385" s="20" t="s">
        <v>349</v>
      </c>
      <c r="AO385" s="20"/>
      <c r="AP385" s="20" t="s">
        <v>1556</v>
      </c>
      <c r="AQ385" s="20" t="s">
        <v>1586</v>
      </c>
      <c r="AR385" s="20"/>
      <c r="AS385" s="20"/>
    </row>
    <row r="386">
      <c r="A386" s="20" t="s">
        <v>4097</v>
      </c>
      <c r="B386" s="20" t="s">
        <v>750</v>
      </c>
      <c r="C386" s="20" t="s">
        <v>752</v>
      </c>
      <c r="D386" s="20"/>
      <c r="E386" s="20" t="s">
        <v>49</v>
      </c>
      <c r="F386" s="20"/>
      <c r="G386" s="20"/>
      <c r="H386" s="20" t="s">
        <v>147</v>
      </c>
      <c r="I386" s="20" t="s">
        <v>148</v>
      </c>
      <c r="J386" s="20" t="s">
        <v>148</v>
      </c>
      <c r="K386" s="20" t="s">
        <v>55</v>
      </c>
      <c r="L386" s="20" t="s">
        <v>56</v>
      </c>
      <c r="M386" s="20" t="s">
        <v>57</v>
      </c>
      <c r="N386" s="20" t="s">
        <v>333</v>
      </c>
      <c r="O386" s="20" t="s">
        <v>1556</v>
      </c>
      <c r="P386" s="20"/>
      <c r="Q386" s="20" t="s">
        <v>59</v>
      </c>
      <c r="R386" s="20" t="s">
        <v>333</v>
      </c>
      <c r="S386" s="20" t="s">
        <v>333</v>
      </c>
      <c r="T386" s="20"/>
      <c r="U386" s="20"/>
      <c r="V386" s="20" t="s">
        <v>344</v>
      </c>
      <c r="W386" s="20" t="s">
        <v>333</v>
      </c>
      <c r="X386" s="20" t="s">
        <v>333</v>
      </c>
      <c r="Y386" s="20" t="s">
        <v>333</v>
      </c>
      <c r="Z386" s="20" t="s">
        <v>333</v>
      </c>
      <c r="AA386" s="20" t="s">
        <v>333</v>
      </c>
      <c r="AB386" s="20" t="s">
        <v>333</v>
      </c>
      <c r="AC386" s="20"/>
      <c r="AD386" s="20" t="s">
        <v>333</v>
      </c>
      <c r="AE386" s="20" t="s">
        <v>333</v>
      </c>
      <c r="AF386" s="20" t="s">
        <v>333</v>
      </c>
      <c r="AG386" s="20" t="s">
        <v>344</v>
      </c>
      <c r="AH386" s="20" t="s">
        <v>344</v>
      </c>
      <c r="AI386" s="20" t="s">
        <v>333</v>
      </c>
      <c r="AJ386" s="20"/>
      <c r="AK386" s="20" t="s">
        <v>1274</v>
      </c>
      <c r="AL386" s="20" t="s">
        <v>1596</v>
      </c>
      <c r="AM386" s="20" t="s">
        <v>1274</v>
      </c>
      <c r="AN386" s="20" t="s">
        <v>349</v>
      </c>
      <c r="AO386" s="20"/>
      <c r="AP386" s="20" t="s">
        <v>1556</v>
      </c>
      <c r="AQ386" s="20" t="s">
        <v>349</v>
      </c>
      <c r="AR386" s="20"/>
      <c r="AS386" s="20"/>
    </row>
    <row r="387">
      <c r="A387" s="20" t="s">
        <v>4102</v>
      </c>
      <c r="B387" s="20" t="s">
        <v>3990</v>
      </c>
      <c r="C387" s="20" t="s">
        <v>3991</v>
      </c>
      <c r="D387" s="20"/>
      <c r="E387" s="20" t="s">
        <v>49</v>
      </c>
      <c r="F387" s="20"/>
      <c r="G387" s="20"/>
      <c r="H387" s="20" t="s">
        <v>72</v>
      </c>
      <c r="I387" s="20" t="s">
        <v>73</v>
      </c>
      <c r="J387" s="20" t="s">
        <v>74</v>
      </c>
      <c r="K387" s="20" t="s">
        <v>55</v>
      </c>
      <c r="L387" s="20" t="s">
        <v>56</v>
      </c>
      <c r="M387" s="20" t="s">
        <v>57</v>
      </c>
      <c r="N387" s="20" t="s">
        <v>333</v>
      </c>
      <c r="O387" s="20" t="s">
        <v>335</v>
      </c>
      <c r="P387" s="20" t="s">
        <v>2287</v>
      </c>
      <c r="Q387" s="20" t="s">
        <v>59</v>
      </c>
      <c r="R387" s="20" t="s">
        <v>333</v>
      </c>
      <c r="S387" s="20" t="s">
        <v>333</v>
      </c>
      <c r="T387" s="20"/>
      <c r="U387" s="20"/>
      <c r="V387" s="20" t="s">
        <v>344</v>
      </c>
      <c r="W387" s="20" t="s">
        <v>333</v>
      </c>
      <c r="X387" s="20" t="s">
        <v>333</v>
      </c>
      <c r="Y387" s="20" t="s">
        <v>333</v>
      </c>
      <c r="Z387" s="20" t="s">
        <v>333</v>
      </c>
      <c r="AA387" s="20" t="s">
        <v>333</v>
      </c>
      <c r="AB387" s="20" t="s">
        <v>333</v>
      </c>
      <c r="AC387" s="20"/>
      <c r="AD387" s="20" t="s">
        <v>333</v>
      </c>
      <c r="AE387" s="20" t="s">
        <v>333</v>
      </c>
      <c r="AF387" s="20" t="s">
        <v>333</v>
      </c>
      <c r="AG387" s="20" t="s">
        <v>344</v>
      </c>
      <c r="AH387" s="20" t="s">
        <v>344</v>
      </c>
      <c r="AI387" s="20" t="s">
        <v>333</v>
      </c>
      <c r="AJ387" s="20"/>
      <c r="AK387" s="20" t="s">
        <v>1587</v>
      </c>
      <c r="AL387" s="20" t="s">
        <v>1556</v>
      </c>
      <c r="AM387" s="20" t="s">
        <v>1587</v>
      </c>
      <c r="AN387" s="20" t="s">
        <v>349</v>
      </c>
      <c r="AO387" s="20"/>
      <c r="AP387" s="20" t="s">
        <v>335</v>
      </c>
      <c r="AQ387" s="20" t="s">
        <v>2287</v>
      </c>
      <c r="AR387" s="20"/>
      <c r="AS387" s="20"/>
    </row>
    <row r="388">
      <c r="A388" s="20" t="s">
        <v>4104</v>
      </c>
      <c r="B388" s="20" t="s">
        <v>1300</v>
      </c>
      <c r="C388" s="20" t="s">
        <v>1302</v>
      </c>
      <c r="D388" s="20"/>
      <c r="E388" s="20" t="s">
        <v>49</v>
      </c>
      <c r="F388" s="20"/>
      <c r="G388" s="20"/>
      <c r="H388" s="20" t="s">
        <v>664</v>
      </c>
      <c r="I388" s="20" t="s">
        <v>665</v>
      </c>
      <c r="J388" s="20" t="s">
        <v>665</v>
      </c>
      <c r="K388" s="20" t="s">
        <v>55</v>
      </c>
      <c r="L388" s="20" t="s">
        <v>56</v>
      </c>
      <c r="M388" s="20" t="s">
        <v>57</v>
      </c>
      <c r="N388" s="20" t="s">
        <v>333</v>
      </c>
      <c r="O388" s="20" t="s">
        <v>1556</v>
      </c>
      <c r="P388" s="20"/>
      <c r="Q388" s="20" t="s">
        <v>59</v>
      </c>
      <c r="R388" s="20" t="s">
        <v>333</v>
      </c>
      <c r="S388" s="20" t="s">
        <v>333</v>
      </c>
      <c r="T388" s="20"/>
      <c r="U388" s="20"/>
      <c r="V388" s="20" t="s">
        <v>344</v>
      </c>
      <c r="W388" s="20" t="s">
        <v>333</v>
      </c>
      <c r="X388" s="20" t="s">
        <v>333</v>
      </c>
      <c r="Y388" s="20" t="s">
        <v>333</v>
      </c>
      <c r="Z388" s="20" t="s">
        <v>333</v>
      </c>
      <c r="AA388" s="20" t="s">
        <v>333</v>
      </c>
      <c r="AB388" s="20" t="s">
        <v>333</v>
      </c>
      <c r="AC388" s="20"/>
      <c r="AD388" s="20" t="s">
        <v>333</v>
      </c>
      <c r="AE388" s="20" t="s">
        <v>333</v>
      </c>
      <c r="AF388" s="20" t="s">
        <v>333</v>
      </c>
      <c r="AG388" s="20" t="s">
        <v>344</v>
      </c>
      <c r="AH388" s="20" t="s">
        <v>344</v>
      </c>
      <c r="AI388" s="20" t="s">
        <v>333</v>
      </c>
      <c r="AJ388" s="20"/>
      <c r="AK388" s="20" t="s">
        <v>1717</v>
      </c>
      <c r="AL388" s="20" t="s">
        <v>1245</v>
      </c>
      <c r="AM388" s="20" t="s">
        <v>1717</v>
      </c>
      <c r="AN388" s="20" t="s">
        <v>349</v>
      </c>
      <c r="AO388" s="20"/>
      <c r="AP388" s="20" t="s">
        <v>1556</v>
      </c>
      <c r="AQ388" s="20" t="s">
        <v>349</v>
      </c>
      <c r="AR388" s="20"/>
      <c r="AS388" s="20"/>
    </row>
    <row r="389">
      <c r="A389" s="20" t="s">
        <v>4107</v>
      </c>
      <c r="B389" s="20" t="s">
        <v>3709</v>
      </c>
      <c r="C389" s="20" t="s">
        <v>3710</v>
      </c>
      <c r="D389" s="53" t="s">
        <v>4108</v>
      </c>
      <c r="E389" s="20" t="s">
        <v>49</v>
      </c>
      <c r="F389" s="20" t="s">
        <v>4109</v>
      </c>
      <c r="G389" s="20"/>
      <c r="H389" s="20" t="s">
        <v>361</v>
      </c>
      <c r="I389" s="20" t="s">
        <v>362</v>
      </c>
      <c r="J389" s="20" t="s">
        <v>74</v>
      </c>
      <c r="K389" s="20" t="s">
        <v>55</v>
      </c>
      <c r="L389" s="20" t="s">
        <v>56</v>
      </c>
      <c r="M389" s="20" t="s">
        <v>57</v>
      </c>
      <c r="N389" s="20" t="s">
        <v>333</v>
      </c>
      <c r="O389" s="20" t="s">
        <v>1581</v>
      </c>
      <c r="P389" s="20" t="s">
        <v>1581</v>
      </c>
      <c r="Q389" s="20" t="s">
        <v>59</v>
      </c>
      <c r="R389" s="20" t="s">
        <v>333</v>
      </c>
      <c r="S389" s="20" t="s">
        <v>333</v>
      </c>
      <c r="T389" s="20"/>
      <c r="U389" s="20"/>
      <c r="V389" s="20" t="s">
        <v>344</v>
      </c>
      <c r="W389" s="20" t="s">
        <v>333</v>
      </c>
      <c r="X389" s="20" t="s">
        <v>333</v>
      </c>
      <c r="Y389" s="20" t="s">
        <v>333</v>
      </c>
      <c r="Z389" s="20" t="s">
        <v>333</v>
      </c>
      <c r="AA389" s="20" t="s">
        <v>333</v>
      </c>
      <c r="AB389" s="20" t="s">
        <v>333</v>
      </c>
      <c r="AC389" s="20"/>
      <c r="AD389" s="20" t="s">
        <v>333</v>
      </c>
      <c r="AE389" s="20" t="s">
        <v>333</v>
      </c>
      <c r="AF389" s="20" t="s">
        <v>333</v>
      </c>
      <c r="AG389" s="20" t="s">
        <v>344</v>
      </c>
      <c r="AH389" s="20" t="s">
        <v>344</v>
      </c>
      <c r="AI389" s="20" t="s">
        <v>333</v>
      </c>
      <c r="AJ389" s="20"/>
      <c r="AK389" s="20" t="s">
        <v>1581</v>
      </c>
      <c r="AL389" s="20" t="s">
        <v>1245</v>
      </c>
      <c r="AM389" s="20" t="s">
        <v>1581</v>
      </c>
      <c r="AN389" s="20" t="s">
        <v>349</v>
      </c>
      <c r="AO389" s="20"/>
      <c r="AP389" s="20" t="s">
        <v>1581</v>
      </c>
      <c r="AQ389" s="20" t="s">
        <v>1581</v>
      </c>
      <c r="AR389" s="29" t="s">
        <v>3937</v>
      </c>
      <c r="AS389" s="20"/>
    </row>
    <row r="390">
      <c r="A390" s="20" t="s">
        <v>4113</v>
      </c>
      <c r="B390" s="20" t="s">
        <v>3584</v>
      </c>
      <c r="C390" s="20" t="s">
        <v>3585</v>
      </c>
      <c r="D390" s="20"/>
      <c r="E390" s="20" t="s">
        <v>49</v>
      </c>
      <c r="F390" s="20"/>
      <c r="G390" s="20"/>
      <c r="H390" s="20" t="s">
        <v>586</v>
      </c>
      <c r="I390" s="20" t="s">
        <v>587</v>
      </c>
      <c r="J390" s="20" t="s">
        <v>74</v>
      </c>
      <c r="K390" s="20" t="s">
        <v>55</v>
      </c>
      <c r="L390" s="20" t="s">
        <v>56</v>
      </c>
      <c r="M390" s="20" t="s">
        <v>57</v>
      </c>
      <c r="N390" s="20" t="s">
        <v>333</v>
      </c>
      <c r="O390" s="20" t="s">
        <v>2006</v>
      </c>
      <c r="P390" s="20" t="s">
        <v>348</v>
      </c>
      <c r="Q390" s="20" t="s">
        <v>59</v>
      </c>
      <c r="R390" s="20" t="s">
        <v>333</v>
      </c>
      <c r="S390" s="20" t="s">
        <v>333</v>
      </c>
      <c r="T390" s="20"/>
      <c r="U390" s="20"/>
      <c r="V390" s="20" t="s">
        <v>344</v>
      </c>
      <c r="W390" s="20" t="s">
        <v>333</v>
      </c>
      <c r="X390" s="20" t="s">
        <v>333</v>
      </c>
      <c r="Y390" s="20" t="s">
        <v>333</v>
      </c>
      <c r="Z390" s="20" t="s">
        <v>333</v>
      </c>
      <c r="AA390" s="20" t="s">
        <v>333</v>
      </c>
      <c r="AB390" s="20" t="s">
        <v>333</v>
      </c>
      <c r="AC390" s="20"/>
      <c r="AD390" s="20" t="s">
        <v>333</v>
      </c>
      <c r="AE390" s="20" t="s">
        <v>333</v>
      </c>
      <c r="AF390" s="20" t="s">
        <v>333</v>
      </c>
      <c r="AG390" s="20" t="s">
        <v>344</v>
      </c>
      <c r="AH390" s="20" t="s">
        <v>344</v>
      </c>
      <c r="AI390" s="20" t="s">
        <v>333</v>
      </c>
      <c r="AJ390" s="20"/>
      <c r="AK390" s="20" t="s">
        <v>1581</v>
      </c>
      <c r="AL390" s="20" t="s">
        <v>1673</v>
      </c>
      <c r="AM390" s="20" t="s">
        <v>1581</v>
      </c>
      <c r="AN390" s="20" t="s">
        <v>349</v>
      </c>
      <c r="AO390" s="20"/>
      <c r="AP390" s="20" t="s">
        <v>2006</v>
      </c>
      <c r="AQ390" s="20" t="s">
        <v>348</v>
      </c>
      <c r="AR390" s="20"/>
      <c r="AS390" s="20"/>
    </row>
    <row r="391">
      <c r="A391" s="20" t="s">
        <v>4119</v>
      </c>
      <c r="B391" s="20" t="s">
        <v>607</v>
      </c>
      <c r="C391" s="20" t="s">
        <v>608</v>
      </c>
      <c r="D391" s="20"/>
      <c r="E391" s="20" t="s">
        <v>49</v>
      </c>
      <c r="F391" s="20"/>
      <c r="G391" s="20"/>
      <c r="H391" s="20" t="s">
        <v>147</v>
      </c>
      <c r="I391" s="20" t="s">
        <v>148</v>
      </c>
      <c r="J391" s="20" t="s">
        <v>148</v>
      </c>
      <c r="K391" s="20" t="s">
        <v>55</v>
      </c>
      <c r="L391" s="20" t="s">
        <v>56</v>
      </c>
      <c r="M391" s="20" t="s">
        <v>57</v>
      </c>
      <c r="N391" s="20" t="s">
        <v>333</v>
      </c>
      <c r="O391" s="20" t="s">
        <v>1591</v>
      </c>
      <c r="P391" s="20" t="s">
        <v>1556</v>
      </c>
      <c r="Q391" s="20" t="s">
        <v>59</v>
      </c>
      <c r="R391" s="20" t="s">
        <v>333</v>
      </c>
      <c r="S391" s="20" t="s">
        <v>333</v>
      </c>
      <c r="T391" s="20"/>
      <c r="U391" s="20"/>
      <c r="V391" s="20" t="s">
        <v>344</v>
      </c>
      <c r="W391" s="20" t="s">
        <v>333</v>
      </c>
      <c r="X391" s="20" t="s">
        <v>333</v>
      </c>
      <c r="Y391" s="20" t="s">
        <v>333</v>
      </c>
      <c r="Z391" s="20" t="s">
        <v>333</v>
      </c>
      <c r="AA391" s="20" t="s">
        <v>333</v>
      </c>
      <c r="AB391" s="20" t="s">
        <v>333</v>
      </c>
      <c r="AC391" s="20"/>
      <c r="AD391" s="20" t="s">
        <v>333</v>
      </c>
      <c r="AE391" s="20" t="s">
        <v>333</v>
      </c>
      <c r="AF391" s="20" t="s">
        <v>333</v>
      </c>
      <c r="AG391" s="20" t="s">
        <v>344</v>
      </c>
      <c r="AH391" s="20" t="s">
        <v>344</v>
      </c>
      <c r="AI391" s="20" t="s">
        <v>333</v>
      </c>
      <c r="AJ391" s="20"/>
      <c r="AK391" s="20" t="s">
        <v>347</v>
      </c>
      <c r="AL391" s="20" t="s">
        <v>1736</v>
      </c>
      <c r="AM391" s="20" t="s">
        <v>347</v>
      </c>
      <c r="AN391" s="20" t="s">
        <v>349</v>
      </c>
      <c r="AO391" s="20"/>
      <c r="AP391" s="20" t="s">
        <v>1591</v>
      </c>
      <c r="AQ391" s="20" t="s">
        <v>1556</v>
      </c>
      <c r="AR391" s="20"/>
      <c r="AS391" s="20"/>
    </row>
    <row r="392">
      <c r="A392" s="20" t="s">
        <v>4121</v>
      </c>
      <c r="B392" s="20" t="s">
        <v>4122</v>
      </c>
      <c r="C392" s="20" t="s">
        <v>4123</v>
      </c>
      <c r="D392" s="20"/>
      <c r="E392" s="20" t="s">
        <v>49</v>
      </c>
      <c r="F392" s="20"/>
      <c r="G392" s="20"/>
      <c r="H392" s="20" t="s">
        <v>2906</v>
      </c>
      <c r="I392" s="20" t="s">
        <v>2907</v>
      </c>
      <c r="J392" s="20" t="s">
        <v>2907</v>
      </c>
      <c r="K392" s="20" t="s">
        <v>55</v>
      </c>
      <c r="L392" s="20" t="s">
        <v>56</v>
      </c>
      <c r="M392" s="20" t="s">
        <v>57</v>
      </c>
      <c r="N392" s="20" t="s">
        <v>333</v>
      </c>
      <c r="O392" s="20" t="s">
        <v>1269</v>
      </c>
      <c r="P392" s="20" t="s">
        <v>1661</v>
      </c>
      <c r="Q392" s="20" t="s">
        <v>59</v>
      </c>
      <c r="R392" s="20" t="s">
        <v>333</v>
      </c>
      <c r="S392" s="20" t="s">
        <v>333</v>
      </c>
      <c r="T392" s="20"/>
      <c r="U392" s="20"/>
      <c r="V392" s="20" t="s">
        <v>344</v>
      </c>
      <c r="W392" s="20" t="s">
        <v>333</v>
      </c>
      <c r="X392" s="20" t="s">
        <v>333</v>
      </c>
      <c r="Y392" s="20" t="s">
        <v>333</v>
      </c>
      <c r="Z392" s="20" t="s">
        <v>333</v>
      </c>
      <c r="AA392" s="20" t="s">
        <v>333</v>
      </c>
      <c r="AB392" s="20" t="s">
        <v>333</v>
      </c>
      <c r="AC392" s="20"/>
      <c r="AD392" s="20" t="s">
        <v>333</v>
      </c>
      <c r="AE392" s="20" t="s">
        <v>333</v>
      </c>
      <c r="AF392" s="20" t="s">
        <v>333</v>
      </c>
      <c r="AG392" s="20" t="s">
        <v>344</v>
      </c>
      <c r="AH392" s="20" t="s">
        <v>344</v>
      </c>
      <c r="AI392" s="20" t="s">
        <v>333</v>
      </c>
      <c r="AJ392" s="20"/>
      <c r="AK392" s="20" t="s">
        <v>1244</v>
      </c>
      <c r="AL392" s="20" t="s">
        <v>2584</v>
      </c>
      <c r="AM392" s="20" t="s">
        <v>1244</v>
      </c>
      <c r="AN392" s="20" t="s">
        <v>349</v>
      </c>
      <c r="AO392" s="20"/>
      <c r="AP392" s="20" t="s">
        <v>1269</v>
      </c>
      <c r="AQ392" s="20" t="s">
        <v>1661</v>
      </c>
      <c r="AR392" s="20"/>
      <c r="AS392" s="20"/>
    </row>
    <row r="393">
      <c r="A393" s="20" t="s">
        <v>4125</v>
      </c>
      <c r="B393" s="20" t="s">
        <v>2229</v>
      </c>
      <c r="C393" s="20" t="s">
        <v>2230</v>
      </c>
      <c r="D393" s="20" t="s">
        <v>2231</v>
      </c>
      <c r="E393" s="20" t="s">
        <v>49</v>
      </c>
      <c r="F393" s="20"/>
      <c r="G393" s="20"/>
      <c r="H393" s="20" t="s">
        <v>860</v>
      </c>
      <c r="I393" s="20" t="s">
        <v>861</v>
      </c>
      <c r="J393" s="20" t="s">
        <v>74</v>
      </c>
      <c r="K393" s="20" t="s">
        <v>55</v>
      </c>
      <c r="L393" s="20" t="s">
        <v>56</v>
      </c>
      <c r="M393" s="20" t="s">
        <v>57</v>
      </c>
      <c r="N393" s="20" t="s">
        <v>333</v>
      </c>
      <c r="O393" s="20" t="s">
        <v>1720</v>
      </c>
      <c r="P393" s="20" t="s">
        <v>1564</v>
      </c>
      <c r="Q393" s="20" t="s">
        <v>59</v>
      </c>
      <c r="R393" s="20" t="s">
        <v>333</v>
      </c>
      <c r="S393" s="20" t="s">
        <v>333</v>
      </c>
      <c r="T393" s="8" t="s">
        <v>4126</v>
      </c>
      <c r="U393" s="20" t="s">
        <v>2234</v>
      </c>
      <c r="V393" s="20" t="s">
        <v>344</v>
      </c>
      <c r="W393" s="20" t="s">
        <v>333</v>
      </c>
      <c r="X393" s="20" t="s">
        <v>333</v>
      </c>
      <c r="Y393" s="20" t="s">
        <v>333</v>
      </c>
      <c r="Z393" s="20" t="s">
        <v>333</v>
      </c>
      <c r="AA393" s="20" t="s">
        <v>333</v>
      </c>
      <c r="AB393" s="20" t="s">
        <v>333</v>
      </c>
      <c r="AC393" s="20"/>
      <c r="AD393" s="20" t="s">
        <v>344</v>
      </c>
      <c r="AE393" s="20" t="s">
        <v>333</v>
      </c>
      <c r="AF393" s="20" t="s">
        <v>333</v>
      </c>
      <c r="AG393" s="20" t="s">
        <v>344</v>
      </c>
      <c r="AH393" s="20" t="s">
        <v>344</v>
      </c>
      <c r="AI393" s="20" t="s">
        <v>333</v>
      </c>
      <c r="AJ393" s="20"/>
      <c r="AK393" s="20" t="s">
        <v>1244</v>
      </c>
      <c r="AL393" s="20" t="s">
        <v>2889</v>
      </c>
      <c r="AM393" s="20" t="s">
        <v>1244</v>
      </c>
      <c r="AN393" s="20" t="s">
        <v>349</v>
      </c>
      <c r="AO393" s="20"/>
      <c r="AP393" s="20" t="s">
        <v>1720</v>
      </c>
      <c r="AQ393" s="20" t="s">
        <v>1564</v>
      </c>
      <c r="AR393" s="20"/>
      <c r="AS393" s="20"/>
    </row>
    <row r="394">
      <c r="A394" s="20" t="s">
        <v>4128</v>
      </c>
      <c r="B394" s="20" t="s">
        <v>2656</v>
      </c>
      <c r="C394" s="20" t="s">
        <v>2657</v>
      </c>
      <c r="D394" s="20"/>
      <c r="E394" s="20" t="s">
        <v>49</v>
      </c>
      <c r="F394" s="20"/>
      <c r="G394" s="20"/>
      <c r="H394" s="20" t="s">
        <v>2659</v>
      </c>
      <c r="I394" s="20" t="s">
        <v>2660</v>
      </c>
      <c r="J394" s="20" t="s">
        <v>74</v>
      </c>
      <c r="K394" s="20" t="s">
        <v>55</v>
      </c>
      <c r="L394" s="20" t="s">
        <v>56</v>
      </c>
      <c r="M394" s="20" t="s">
        <v>57</v>
      </c>
      <c r="N394" s="20" t="s">
        <v>333</v>
      </c>
      <c r="O394" s="20"/>
      <c r="P394" s="20"/>
      <c r="Q394" s="20" t="s">
        <v>59</v>
      </c>
      <c r="R394" s="20" t="s">
        <v>333</v>
      </c>
      <c r="S394" s="20" t="s">
        <v>333</v>
      </c>
      <c r="T394" s="20"/>
      <c r="U394" s="20"/>
      <c r="V394" s="20" t="s">
        <v>344</v>
      </c>
      <c r="W394" s="20" t="s">
        <v>333</v>
      </c>
      <c r="X394" s="20" t="s">
        <v>333</v>
      </c>
      <c r="Y394" s="20" t="s">
        <v>333</v>
      </c>
      <c r="Z394" s="20" t="s">
        <v>333</v>
      </c>
      <c r="AA394" s="20" t="s">
        <v>333</v>
      </c>
      <c r="AB394" s="20" t="s">
        <v>333</v>
      </c>
      <c r="AC394" s="20"/>
      <c r="AD394" s="20" t="s">
        <v>333</v>
      </c>
      <c r="AE394" s="20" t="s">
        <v>333</v>
      </c>
      <c r="AF394" s="20" t="s">
        <v>333</v>
      </c>
      <c r="AG394" s="20" t="s">
        <v>344</v>
      </c>
      <c r="AH394" s="20" t="s">
        <v>344</v>
      </c>
      <c r="AI394" s="20" t="s">
        <v>333</v>
      </c>
      <c r="AJ394" s="20"/>
      <c r="AK394" s="20" t="s">
        <v>349</v>
      </c>
      <c r="AL394" s="20" t="s">
        <v>349</v>
      </c>
      <c r="AM394" s="20" t="s">
        <v>349</v>
      </c>
      <c r="AN394" s="20" t="s">
        <v>349</v>
      </c>
      <c r="AO394" s="20"/>
      <c r="AP394" s="20" t="s">
        <v>349</v>
      </c>
      <c r="AQ394" s="20" t="s">
        <v>349</v>
      </c>
      <c r="AR394" s="20"/>
      <c r="AS394" s="20"/>
    </row>
    <row r="395">
      <c r="A395" s="20" t="s">
        <v>4129</v>
      </c>
      <c r="B395" s="20" t="s">
        <v>838</v>
      </c>
      <c r="C395" s="20" t="s">
        <v>839</v>
      </c>
      <c r="D395" s="20"/>
      <c r="E395" s="20" t="s">
        <v>49</v>
      </c>
      <c r="F395" s="20"/>
      <c r="G395" s="20"/>
      <c r="H395" s="20" t="s">
        <v>75</v>
      </c>
      <c r="I395" s="20" t="s">
        <v>76</v>
      </c>
      <c r="J395" s="20" t="s">
        <v>76</v>
      </c>
      <c r="K395" s="20" t="s">
        <v>55</v>
      </c>
      <c r="L395" s="20" t="s">
        <v>56</v>
      </c>
      <c r="M395" s="20" t="s">
        <v>57</v>
      </c>
      <c r="N395" s="20" t="s">
        <v>333</v>
      </c>
      <c r="O395" s="20" t="s">
        <v>1556</v>
      </c>
      <c r="P395" s="20" t="s">
        <v>1586</v>
      </c>
      <c r="Q395" s="20" t="s">
        <v>59</v>
      </c>
      <c r="R395" s="20" t="s">
        <v>333</v>
      </c>
      <c r="S395" s="20" t="s">
        <v>333</v>
      </c>
      <c r="T395" s="20"/>
      <c r="U395" s="20"/>
      <c r="V395" s="20" t="s">
        <v>344</v>
      </c>
      <c r="W395" s="20" t="s">
        <v>333</v>
      </c>
      <c r="X395" s="20" t="s">
        <v>333</v>
      </c>
      <c r="Y395" s="20" t="s">
        <v>333</v>
      </c>
      <c r="Z395" s="20" t="s">
        <v>333</v>
      </c>
      <c r="AA395" s="20" t="s">
        <v>333</v>
      </c>
      <c r="AB395" s="20" t="s">
        <v>333</v>
      </c>
      <c r="AC395" s="20"/>
      <c r="AD395" s="20" t="s">
        <v>333</v>
      </c>
      <c r="AE395" s="20" t="s">
        <v>333</v>
      </c>
      <c r="AF395" s="20" t="s">
        <v>333</v>
      </c>
      <c r="AG395" s="20" t="s">
        <v>344</v>
      </c>
      <c r="AH395" s="20" t="s">
        <v>344</v>
      </c>
      <c r="AI395" s="20" t="s">
        <v>333</v>
      </c>
      <c r="AJ395" s="20"/>
      <c r="AK395" s="20" t="s">
        <v>1673</v>
      </c>
      <c r="AL395" s="20" t="s">
        <v>347</v>
      </c>
      <c r="AM395" s="20" t="s">
        <v>1673</v>
      </c>
      <c r="AN395" s="20" t="s">
        <v>349</v>
      </c>
      <c r="AO395" s="20"/>
      <c r="AP395" s="20" t="s">
        <v>1556</v>
      </c>
      <c r="AQ395" s="20" t="s">
        <v>1586</v>
      </c>
      <c r="AR395" s="20"/>
      <c r="AS395" s="20"/>
    </row>
    <row r="396">
      <c r="A396" s="20" t="s">
        <v>4131</v>
      </c>
      <c r="B396" s="20" t="s">
        <v>3251</v>
      </c>
      <c r="C396" s="20" t="s">
        <v>3252</v>
      </c>
      <c r="D396" s="20"/>
      <c r="E396" s="20" t="s">
        <v>49</v>
      </c>
      <c r="F396" s="20"/>
      <c r="G396" s="20"/>
      <c r="H396" s="20" t="s">
        <v>3256</v>
      </c>
      <c r="I396" s="20" t="s">
        <v>3257</v>
      </c>
      <c r="J396" s="20" t="s">
        <v>74</v>
      </c>
      <c r="K396" s="20" t="s">
        <v>55</v>
      </c>
      <c r="L396" s="20" t="s">
        <v>56</v>
      </c>
      <c r="M396" s="20" t="s">
        <v>57</v>
      </c>
      <c r="N396" s="20" t="s">
        <v>333</v>
      </c>
      <c r="O396" s="20" t="s">
        <v>334</v>
      </c>
      <c r="P396" s="20" t="s">
        <v>2287</v>
      </c>
      <c r="Q396" s="20" t="s">
        <v>59</v>
      </c>
      <c r="R396" s="20" t="s">
        <v>333</v>
      </c>
      <c r="S396" s="20" t="s">
        <v>333</v>
      </c>
      <c r="T396" s="20"/>
      <c r="U396" s="20"/>
      <c r="V396" s="20" t="s">
        <v>344</v>
      </c>
      <c r="W396" s="20" t="s">
        <v>333</v>
      </c>
      <c r="X396" s="20" t="s">
        <v>333</v>
      </c>
      <c r="Y396" s="20" t="s">
        <v>333</v>
      </c>
      <c r="Z396" s="20" t="s">
        <v>333</v>
      </c>
      <c r="AA396" s="20" t="s">
        <v>333</v>
      </c>
      <c r="AB396" s="20" t="s">
        <v>333</v>
      </c>
      <c r="AC396" s="20"/>
      <c r="AD396" s="20" t="s">
        <v>333</v>
      </c>
      <c r="AE396" s="20" t="s">
        <v>333</v>
      </c>
      <c r="AF396" s="20" t="s">
        <v>333</v>
      </c>
      <c r="AG396" s="20" t="s">
        <v>344</v>
      </c>
      <c r="AH396" s="20" t="s">
        <v>344</v>
      </c>
      <c r="AI396" s="20" t="s">
        <v>333</v>
      </c>
      <c r="AJ396" s="20"/>
      <c r="AK396" s="20" t="s">
        <v>1274</v>
      </c>
      <c r="AL396" s="20" t="s">
        <v>1261</v>
      </c>
      <c r="AM396" s="20" t="s">
        <v>1274</v>
      </c>
      <c r="AN396" s="20" t="s">
        <v>349</v>
      </c>
      <c r="AO396" s="20"/>
      <c r="AP396" s="20" t="s">
        <v>334</v>
      </c>
      <c r="AQ396" s="20" t="s">
        <v>2287</v>
      </c>
      <c r="AR396" s="20"/>
      <c r="AS396" s="20"/>
    </row>
    <row r="397">
      <c r="A397" s="32" t="s">
        <v>4135</v>
      </c>
      <c r="B397" s="32" t="s">
        <v>3462</v>
      </c>
      <c r="C397" s="32" t="s">
        <v>3463</v>
      </c>
      <c r="D397" s="103" t="s">
        <v>4136</v>
      </c>
      <c r="E397" s="32" t="s">
        <v>49</v>
      </c>
      <c r="F397" s="32" t="s">
        <v>4137</v>
      </c>
      <c r="G397" s="32" t="s">
        <v>4138</v>
      </c>
      <c r="H397" s="32" t="s">
        <v>1091</v>
      </c>
      <c r="I397" s="32" t="s">
        <v>1092</v>
      </c>
      <c r="J397" s="32" t="s">
        <v>74</v>
      </c>
      <c r="K397" s="32" t="s">
        <v>55</v>
      </c>
      <c r="L397" s="32" t="s">
        <v>56</v>
      </c>
      <c r="M397" s="32" t="s">
        <v>57</v>
      </c>
      <c r="N397" s="32" t="s">
        <v>333</v>
      </c>
      <c r="O397" s="32" t="s">
        <v>1596</v>
      </c>
      <c r="P397" s="32"/>
      <c r="Q397" s="32" t="s">
        <v>59</v>
      </c>
      <c r="R397" s="32" t="s">
        <v>333</v>
      </c>
      <c r="S397" s="32" t="s">
        <v>333</v>
      </c>
      <c r="T397" s="32"/>
      <c r="U397" s="32"/>
      <c r="V397" s="32" t="s">
        <v>344</v>
      </c>
      <c r="W397" s="32" t="s">
        <v>333</v>
      </c>
      <c r="X397" s="32" t="s">
        <v>333</v>
      </c>
      <c r="Y397" s="32" t="s">
        <v>333</v>
      </c>
      <c r="Z397" s="32" t="s">
        <v>333</v>
      </c>
      <c r="AA397" s="32" t="s">
        <v>333</v>
      </c>
      <c r="AB397" s="32" t="s">
        <v>333</v>
      </c>
      <c r="AC397" s="32"/>
      <c r="AD397" s="32" t="s">
        <v>333</v>
      </c>
      <c r="AE397" s="32" t="s">
        <v>333</v>
      </c>
      <c r="AF397" s="32" t="s">
        <v>333</v>
      </c>
      <c r="AG397" s="32" t="s">
        <v>344</v>
      </c>
      <c r="AH397" s="32" t="s">
        <v>344</v>
      </c>
      <c r="AI397" s="32" t="s">
        <v>333</v>
      </c>
      <c r="AJ397" s="32"/>
      <c r="AK397" s="32" t="s">
        <v>347</v>
      </c>
      <c r="AL397" s="32" t="s">
        <v>1556</v>
      </c>
      <c r="AM397" s="32" t="s">
        <v>347</v>
      </c>
      <c r="AN397" s="32" t="s">
        <v>349</v>
      </c>
      <c r="AO397" s="32"/>
      <c r="AP397" s="32" t="s">
        <v>1596</v>
      </c>
      <c r="AQ397" s="32" t="s">
        <v>349</v>
      </c>
      <c r="AR397" s="21" t="s">
        <v>1931</v>
      </c>
      <c r="AS397" s="21">
        <v>2.0</v>
      </c>
    </row>
    <row r="398">
      <c r="A398" s="20" t="s">
        <v>4139</v>
      </c>
      <c r="B398" s="20" t="s">
        <v>1741</v>
      </c>
      <c r="C398" s="20" t="s">
        <v>1742</v>
      </c>
      <c r="D398" s="20"/>
      <c r="E398" s="20" t="s">
        <v>49</v>
      </c>
      <c r="F398" s="20"/>
      <c r="G398" s="20"/>
      <c r="H398" s="20" t="s">
        <v>513</v>
      </c>
      <c r="I398" s="20" t="s">
        <v>514</v>
      </c>
      <c r="J398" s="20" t="s">
        <v>74</v>
      </c>
      <c r="K398" s="20" t="s">
        <v>55</v>
      </c>
      <c r="L398" s="20" t="s">
        <v>56</v>
      </c>
      <c r="M398" s="20" t="s">
        <v>57</v>
      </c>
      <c r="N398" s="20" t="s">
        <v>333</v>
      </c>
      <c r="O398" s="20" t="s">
        <v>1559</v>
      </c>
      <c r="P398" s="20" t="s">
        <v>1941</v>
      </c>
      <c r="Q398" s="20" t="s">
        <v>59</v>
      </c>
      <c r="R398" s="20" t="s">
        <v>333</v>
      </c>
      <c r="S398" s="20" t="s">
        <v>333</v>
      </c>
      <c r="T398" s="20"/>
      <c r="U398" s="20"/>
      <c r="V398" s="20" t="s">
        <v>344</v>
      </c>
      <c r="W398" s="20" t="s">
        <v>333</v>
      </c>
      <c r="X398" s="20" t="s">
        <v>333</v>
      </c>
      <c r="Y398" s="20" t="s">
        <v>333</v>
      </c>
      <c r="Z398" s="20" t="s">
        <v>333</v>
      </c>
      <c r="AA398" s="20" t="s">
        <v>333</v>
      </c>
      <c r="AB398" s="20" t="s">
        <v>333</v>
      </c>
      <c r="AC398" s="20"/>
      <c r="AD398" s="20" t="s">
        <v>333</v>
      </c>
      <c r="AE398" s="20" t="s">
        <v>333</v>
      </c>
      <c r="AF398" s="20" t="s">
        <v>333</v>
      </c>
      <c r="AG398" s="20" t="s">
        <v>344</v>
      </c>
      <c r="AH398" s="20" t="s">
        <v>344</v>
      </c>
      <c r="AI398" s="20" t="s">
        <v>333</v>
      </c>
      <c r="AJ398" s="20"/>
      <c r="AK398" s="20" t="s">
        <v>1717</v>
      </c>
      <c r="AL398" s="20" t="s">
        <v>1261</v>
      </c>
      <c r="AM398" s="20" t="s">
        <v>1717</v>
      </c>
      <c r="AN398" s="20" t="s">
        <v>349</v>
      </c>
      <c r="AO398" s="20"/>
      <c r="AP398" s="20" t="s">
        <v>1559</v>
      </c>
      <c r="AQ398" s="20" t="s">
        <v>1941</v>
      </c>
      <c r="AR398" s="20"/>
      <c r="AS398" s="20"/>
    </row>
    <row r="399">
      <c r="A399" s="20" t="s">
        <v>1571</v>
      </c>
      <c r="B399" s="20" t="s">
        <v>804</v>
      </c>
      <c r="C399" s="20" t="s">
        <v>806</v>
      </c>
      <c r="D399" s="20"/>
      <c r="E399" s="20" t="s">
        <v>49</v>
      </c>
      <c r="F399" s="20"/>
      <c r="G399" s="20"/>
      <c r="H399" s="20" t="s">
        <v>818</v>
      </c>
      <c r="I399" s="20" t="s">
        <v>819</v>
      </c>
      <c r="J399" s="20" t="s">
        <v>819</v>
      </c>
      <c r="K399" s="20" t="s">
        <v>55</v>
      </c>
      <c r="L399" s="20" t="s">
        <v>56</v>
      </c>
      <c r="M399" s="20" t="s">
        <v>57</v>
      </c>
      <c r="N399" s="20" t="s">
        <v>333</v>
      </c>
      <c r="O399" s="20" t="s">
        <v>1745</v>
      </c>
      <c r="P399" s="20" t="s">
        <v>1591</v>
      </c>
      <c r="Q399" s="20" t="s">
        <v>59</v>
      </c>
      <c r="R399" s="20" t="s">
        <v>333</v>
      </c>
      <c r="S399" s="20" t="s">
        <v>333</v>
      </c>
      <c r="T399" s="20"/>
      <c r="U399" s="20"/>
      <c r="V399" s="20" t="s">
        <v>344</v>
      </c>
      <c r="W399" s="20" t="s">
        <v>333</v>
      </c>
      <c r="X399" s="20" t="s">
        <v>333</v>
      </c>
      <c r="Y399" s="20" t="s">
        <v>333</v>
      </c>
      <c r="Z399" s="20" t="s">
        <v>333</v>
      </c>
      <c r="AA399" s="20" t="s">
        <v>333</v>
      </c>
      <c r="AB399" s="20" t="s">
        <v>333</v>
      </c>
      <c r="AC399" s="20"/>
      <c r="AD399" s="20" t="s">
        <v>333</v>
      </c>
      <c r="AE399" s="20" t="s">
        <v>333</v>
      </c>
      <c r="AF399" s="20" t="s">
        <v>333</v>
      </c>
      <c r="AG399" s="20" t="s">
        <v>344</v>
      </c>
      <c r="AH399" s="20" t="s">
        <v>344</v>
      </c>
      <c r="AI399" s="20" t="s">
        <v>333</v>
      </c>
      <c r="AJ399" s="20"/>
      <c r="AK399" s="20" t="s">
        <v>1274</v>
      </c>
      <c r="AL399" s="20" t="s">
        <v>1556</v>
      </c>
      <c r="AM399" s="20" t="s">
        <v>1274</v>
      </c>
      <c r="AN399" s="20" t="s">
        <v>349</v>
      </c>
      <c r="AO399" s="20"/>
      <c r="AP399" s="20" t="s">
        <v>1745</v>
      </c>
      <c r="AQ399" s="20" t="s">
        <v>1591</v>
      </c>
      <c r="AR399" s="20"/>
      <c r="AS399" s="20"/>
    </row>
    <row r="400">
      <c r="A400" s="20" t="s">
        <v>4146</v>
      </c>
      <c r="B400" s="20" t="s">
        <v>2808</v>
      </c>
      <c r="C400" s="20" t="s">
        <v>2809</v>
      </c>
      <c r="D400" s="20" t="s">
        <v>2810</v>
      </c>
      <c r="E400" s="20" t="s">
        <v>49</v>
      </c>
      <c r="F400" s="20"/>
      <c r="G400" s="20"/>
      <c r="H400" s="20" t="s">
        <v>303</v>
      </c>
      <c r="I400" s="20" t="s">
        <v>303</v>
      </c>
      <c r="J400" s="20" t="s">
        <v>74</v>
      </c>
      <c r="K400" s="20" t="s">
        <v>55</v>
      </c>
      <c r="L400" s="20" t="s">
        <v>56</v>
      </c>
      <c r="M400" s="20" t="s">
        <v>57</v>
      </c>
      <c r="N400" s="20" t="s">
        <v>333</v>
      </c>
      <c r="O400" s="20" t="s">
        <v>1576</v>
      </c>
      <c r="P400" s="20" t="s">
        <v>1256</v>
      </c>
      <c r="Q400" s="20" t="s">
        <v>59</v>
      </c>
      <c r="R400" s="20" t="s">
        <v>333</v>
      </c>
      <c r="S400" s="20" t="s">
        <v>333</v>
      </c>
      <c r="T400" s="20" t="s">
        <v>2813</v>
      </c>
      <c r="U400" s="20"/>
      <c r="V400" s="20" t="s">
        <v>344</v>
      </c>
      <c r="W400" s="20" t="s">
        <v>333</v>
      </c>
      <c r="X400" s="20" t="s">
        <v>333</v>
      </c>
      <c r="Y400" s="20" t="s">
        <v>333</v>
      </c>
      <c r="Z400" s="20" t="s">
        <v>333</v>
      </c>
      <c r="AA400" s="20" t="s">
        <v>333</v>
      </c>
      <c r="AB400" s="20" t="s">
        <v>333</v>
      </c>
      <c r="AC400" s="20"/>
      <c r="AD400" s="20" t="s">
        <v>333</v>
      </c>
      <c r="AE400" s="20" t="s">
        <v>333</v>
      </c>
      <c r="AF400" s="20" t="s">
        <v>333</v>
      </c>
      <c r="AG400" s="20" t="s">
        <v>344</v>
      </c>
      <c r="AH400" s="20" t="s">
        <v>344</v>
      </c>
      <c r="AI400" s="20" t="s">
        <v>333</v>
      </c>
      <c r="AJ400" s="20"/>
      <c r="AK400" s="20" t="s">
        <v>349</v>
      </c>
      <c r="AL400" s="20" t="s">
        <v>349</v>
      </c>
      <c r="AM400" s="20" t="s">
        <v>349</v>
      </c>
      <c r="AN400" s="20" t="s">
        <v>349</v>
      </c>
      <c r="AO400" s="20"/>
      <c r="AP400" s="20" t="s">
        <v>1576</v>
      </c>
      <c r="AQ400" s="20" t="s">
        <v>1256</v>
      </c>
      <c r="AR400" s="20"/>
      <c r="AS400" s="20"/>
    </row>
    <row r="401">
      <c r="A401" s="20" t="s">
        <v>4148</v>
      </c>
      <c r="B401" s="20" t="s">
        <v>4110</v>
      </c>
      <c r="C401" s="20" t="s">
        <v>4111</v>
      </c>
      <c r="D401" s="20"/>
      <c r="E401" s="20" t="s">
        <v>49</v>
      </c>
      <c r="F401" s="20"/>
      <c r="G401" s="20"/>
      <c r="H401" s="20" t="s">
        <v>142</v>
      </c>
      <c r="I401" s="20" t="s">
        <v>144</v>
      </c>
      <c r="J401" s="20" t="s">
        <v>74</v>
      </c>
      <c r="K401" s="20" t="s">
        <v>55</v>
      </c>
      <c r="L401" s="20" t="s">
        <v>56</v>
      </c>
      <c r="M401" s="20" t="s">
        <v>57</v>
      </c>
      <c r="N401" s="20" t="s">
        <v>333</v>
      </c>
      <c r="O401" s="20" t="s">
        <v>1238</v>
      </c>
      <c r="P401" s="20" t="s">
        <v>1559</v>
      </c>
      <c r="Q401" s="20" t="s">
        <v>59</v>
      </c>
      <c r="R401" s="20" t="s">
        <v>333</v>
      </c>
      <c r="S401" s="20" t="s">
        <v>333</v>
      </c>
      <c r="T401" s="20"/>
      <c r="U401" s="20"/>
      <c r="V401" s="20" t="s">
        <v>344</v>
      </c>
      <c r="W401" s="20" t="s">
        <v>333</v>
      </c>
      <c r="X401" s="20" t="s">
        <v>333</v>
      </c>
      <c r="Y401" s="20" t="s">
        <v>333</v>
      </c>
      <c r="Z401" s="20" t="s">
        <v>333</v>
      </c>
      <c r="AA401" s="20" t="s">
        <v>333</v>
      </c>
      <c r="AB401" s="20" t="s">
        <v>333</v>
      </c>
      <c r="AC401" s="20"/>
      <c r="AD401" s="20" t="s">
        <v>333</v>
      </c>
      <c r="AE401" s="20" t="s">
        <v>333</v>
      </c>
      <c r="AF401" s="20" t="s">
        <v>333</v>
      </c>
      <c r="AG401" s="20" t="s">
        <v>344</v>
      </c>
      <c r="AH401" s="20" t="s">
        <v>344</v>
      </c>
      <c r="AI401" s="20" t="s">
        <v>333</v>
      </c>
      <c r="AJ401" s="20"/>
      <c r="AK401" s="20" t="s">
        <v>1736</v>
      </c>
      <c r="AL401" s="20" t="s">
        <v>2034</v>
      </c>
      <c r="AM401" s="20" t="s">
        <v>1736</v>
      </c>
      <c r="AN401" s="20" t="s">
        <v>349</v>
      </c>
      <c r="AO401" s="20"/>
      <c r="AP401" s="20" t="s">
        <v>1238</v>
      </c>
      <c r="AQ401" s="20" t="s">
        <v>1559</v>
      </c>
      <c r="AR401" s="20"/>
      <c r="AS401" s="20"/>
    </row>
    <row r="402">
      <c r="A402" s="20" t="s">
        <v>4150</v>
      </c>
      <c r="B402" s="20" t="s">
        <v>1320</v>
      </c>
      <c r="C402" s="20" t="s">
        <v>1321</v>
      </c>
      <c r="D402" s="20" t="s">
        <v>1322</v>
      </c>
      <c r="E402" s="20" t="s">
        <v>49</v>
      </c>
      <c r="F402" s="20"/>
      <c r="G402" s="20"/>
      <c r="H402" s="20" t="s">
        <v>599</v>
      </c>
      <c r="I402" s="20" t="s">
        <v>601</v>
      </c>
      <c r="J402" s="20" t="s">
        <v>601</v>
      </c>
      <c r="K402" s="20" t="s">
        <v>55</v>
      </c>
      <c r="L402" s="20" t="s">
        <v>56</v>
      </c>
      <c r="M402" s="20" t="s">
        <v>57</v>
      </c>
      <c r="N402" s="20" t="s">
        <v>333</v>
      </c>
      <c r="O402" s="20" t="s">
        <v>1586</v>
      </c>
      <c r="P402" s="20" t="s">
        <v>1941</v>
      </c>
      <c r="Q402" s="20" t="s">
        <v>59</v>
      </c>
      <c r="R402" s="20" t="s">
        <v>333</v>
      </c>
      <c r="S402" s="20" t="s">
        <v>333</v>
      </c>
      <c r="T402" s="20" t="s">
        <v>275</v>
      </c>
      <c r="U402" s="20"/>
      <c r="V402" s="20" t="s">
        <v>344</v>
      </c>
      <c r="W402" s="20" t="s">
        <v>333</v>
      </c>
      <c r="X402" s="20" t="s">
        <v>333</v>
      </c>
      <c r="Y402" s="20" t="s">
        <v>333</v>
      </c>
      <c r="Z402" s="20" t="s">
        <v>333</v>
      </c>
      <c r="AA402" s="20" t="s">
        <v>333</v>
      </c>
      <c r="AB402" s="20" t="s">
        <v>333</v>
      </c>
      <c r="AC402" s="20"/>
      <c r="AD402" s="20" t="s">
        <v>333</v>
      </c>
      <c r="AE402" s="20" t="s">
        <v>333</v>
      </c>
      <c r="AF402" s="20" t="s">
        <v>333</v>
      </c>
      <c r="AG402" s="20" t="s">
        <v>344</v>
      </c>
      <c r="AH402" s="20" t="s">
        <v>344</v>
      </c>
      <c r="AI402" s="20" t="s">
        <v>333</v>
      </c>
      <c r="AJ402" s="20"/>
      <c r="AK402" s="20" t="s">
        <v>1760</v>
      </c>
      <c r="AL402" s="20" t="s">
        <v>1556</v>
      </c>
      <c r="AM402" s="20" t="s">
        <v>1760</v>
      </c>
      <c r="AN402" s="20" t="s">
        <v>349</v>
      </c>
      <c r="AO402" s="20"/>
      <c r="AP402" s="20" t="s">
        <v>1586</v>
      </c>
      <c r="AQ402" s="20" t="s">
        <v>1941</v>
      </c>
      <c r="AR402" s="20"/>
      <c r="AS402" s="20"/>
    </row>
    <row r="403">
      <c r="A403" s="20" t="s">
        <v>4152</v>
      </c>
      <c r="B403" s="20" t="s">
        <v>4153</v>
      </c>
      <c r="C403" s="20" t="s">
        <v>4154</v>
      </c>
      <c r="D403" s="20"/>
      <c r="E403" s="20" t="s">
        <v>49</v>
      </c>
      <c r="F403" s="20"/>
      <c r="G403" s="20"/>
      <c r="H403" s="20" t="s">
        <v>123</v>
      </c>
      <c r="I403" s="20" t="s">
        <v>124</v>
      </c>
      <c r="J403" s="20" t="s">
        <v>74</v>
      </c>
      <c r="K403" s="20" t="s">
        <v>55</v>
      </c>
      <c r="L403" s="20" t="s">
        <v>56</v>
      </c>
      <c r="M403" s="20" t="s">
        <v>57</v>
      </c>
      <c r="N403" s="20" t="s">
        <v>333</v>
      </c>
      <c r="O403" s="20" t="s">
        <v>1238</v>
      </c>
      <c r="P403" s="20" t="s">
        <v>1239</v>
      </c>
      <c r="Q403" s="20" t="s">
        <v>59</v>
      </c>
      <c r="R403" s="20" t="s">
        <v>333</v>
      </c>
      <c r="S403" s="20" t="s">
        <v>333</v>
      </c>
      <c r="T403" s="20"/>
      <c r="U403" s="20"/>
      <c r="V403" s="20" t="s">
        <v>344</v>
      </c>
      <c r="W403" s="20" t="s">
        <v>333</v>
      </c>
      <c r="X403" s="20" t="s">
        <v>333</v>
      </c>
      <c r="Y403" s="20" t="s">
        <v>333</v>
      </c>
      <c r="Z403" s="20" t="s">
        <v>333</v>
      </c>
      <c r="AA403" s="20" t="s">
        <v>333</v>
      </c>
      <c r="AB403" s="20" t="s">
        <v>333</v>
      </c>
      <c r="AC403" s="20"/>
      <c r="AD403" s="20" t="s">
        <v>333</v>
      </c>
      <c r="AE403" s="20" t="s">
        <v>333</v>
      </c>
      <c r="AF403" s="20" t="s">
        <v>333</v>
      </c>
      <c r="AG403" s="20" t="s">
        <v>344</v>
      </c>
      <c r="AH403" s="20" t="s">
        <v>344</v>
      </c>
      <c r="AI403" s="20" t="s">
        <v>333</v>
      </c>
      <c r="AJ403" s="20"/>
      <c r="AK403" s="20" t="s">
        <v>1244</v>
      </c>
      <c r="AL403" s="20" t="s">
        <v>1556</v>
      </c>
      <c r="AM403" s="20" t="s">
        <v>1244</v>
      </c>
      <c r="AN403" s="20" t="s">
        <v>349</v>
      </c>
      <c r="AO403" s="20"/>
      <c r="AP403" s="20" t="s">
        <v>1238</v>
      </c>
      <c r="AQ403" s="20" t="s">
        <v>1239</v>
      </c>
      <c r="AR403" s="20"/>
      <c r="AS403" s="20"/>
    </row>
    <row r="404">
      <c r="A404" s="20" t="s">
        <v>4156</v>
      </c>
      <c r="B404" s="20" t="s">
        <v>1104</v>
      </c>
      <c r="C404" s="20" t="s">
        <v>1105</v>
      </c>
      <c r="D404" s="20"/>
      <c r="E404" s="20" t="s">
        <v>49</v>
      </c>
      <c r="F404" s="20"/>
      <c r="G404" s="20" t="s">
        <v>4157</v>
      </c>
      <c r="H404" s="20" t="s">
        <v>397</v>
      </c>
      <c r="I404" s="20" t="s">
        <v>398</v>
      </c>
      <c r="J404" s="20" t="s">
        <v>398</v>
      </c>
      <c r="K404" s="20" t="s">
        <v>55</v>
      </c>
      <c r="L404" s="20" t="s">
        <v>56</v>
      </c>
      <c r="M404" s="20" t="s">
        <v>57</v>
      </c>
      <c r="N404" s="20" t="s">
        <v>333</v>
      </c>
      <c r="O404" s="20"/>
      <c r="P404" s="20"/>
      <c r="Q404" s="20" t="s">
        <v>59</v>
      </c>
      <c r="R404" s="20" t="s">
        <v>333</v>
      </c>
      <c r="S404" s="20" t="s">
        <v>333</v>
      </c>
      <c r="T404" s="20"/>
      <c r="U404" s="20"/>
      <c r="V404" s="20" t="s">
        <v>344</v>
      </c>
      <c r="W404" s="20" t="s">
        <v>333</v>
      </c>
      <c r="X404" s="20" t="s">
        <v>333</v>
      </c>
      <c r="Y404" s="20" t="s">
        <v>333</v>
      </c>
      <c r="Z404" s="20" t="s">
        <v>333</v>
      </c>
      <c r="AA404" s="20" t="s">
        <v>333</v>
      </c>
      <c r="AB404" s="20" t="s">
        <v>333</v>
      </c>
      <c r="AC404" s="20"/>
      <c r="AD404" s="20" t="s">
        <v>333</v>
      </c>
      <c r="AE404" s="20" t="s">
        <v>333</v>
      </c>
      <c r="AF404" s="20" t="s">
        <v>333</v>
      </c>
      <c r="AG404" s="20" t="s">
        <v>344</v>
      </c>
      <c r="AH404" s="20" t="s">
        <v>344</v>
      </c>
      <c r="AI404" s="20" t="s">
        <v>333</v>
      </c>
      <c r="AJ404" s="20"/>
      <c r="AK404" s="20" t="s">
        <v>349</v>
      </c>
      <c r="AL404" s="20" t="s">
        <v>349</v>
      </c>
      <c r="AM404" s="20" t="s">
        <v>349</v>
      </c>
      <c r="AN404" s="20" t="s">
        <v>349</v>
      </c>
      <c r="AO404" s="20"/>
      <c r="AP404" s="20" t="s">
        <v>349</v>
      </c>
      <c r="AQ404" s="20" t="s">
        <v>349</v>
      </c>
      <c r="AR404" s="20"/>
      <c r="AS404" s="20"/>
    </row>
    <row r="405">
      <c r="A405" s="20" t="s">
        <v>4162</v>
      </c>
      <c r="B405" s="20" t="s">
        <v>4163</v>
      </c>
      <c r="C405" s="20" t="s">
        <v>4164</v>
      </c>
      <c r="D405" s="20"/>
      <c r="E405" s="20" t="s">
        <v>49</v>
      </c>
      <c r="F405" s="20"/>
      <c r="G405" s="20"/>
      <c r="H405" s="20" t="s">
        <v>303</v>
      </c>
      <c r="I405" s="20" t="s">
        <v>303</v>
      </c>
      <c r="J405" s="20" t="s">
        <v>74</v>
      </c>
      <c r="K405" s="20" t="s">
        <v>55</v>
      </c>
      <c r="L405" s="20" t="s">
        <v>56</v>
      </c>
      <c r="M405" s="20" t="s">
        <v>57</v>
      </c>
      <c r="N405" s="20" t="s">
        <v>333</v>
      </c>
      <c r="O405" s="20" t="s">
        <v>1571</v>
      </c>
      <c r="P405" s="20" t="s">
        <v>1253</v>
      </c>
      <c r="Q405" s="20" t="s">
        <v>59</v>
      </c>
      <c r="R405" s="20" t="s">
        <v>333</v>
      </c>
      <c r="S405" s="20" t="s">
        <v>333</v>
      </c>
      <c r="T405" s="20"/>
      <c r="U405" s="20"/>
      <c r="V405" s="20" t="s">
        <v>344</v>
      </c>
      <c r="W405" s="20" t="s">
        <v>333</v>
      </c>
      <c r="X405" s="20" t="s">
        <v>333</v>
      </c>
      <c r="Y405" s="20" t="s">
        <v>333</v>
      </c>
      <c r="Z405" s="20" t="s">
        <v>333</v>
      </c>
      <c r="AA405" s="20" t="s">
        <v>333</v>
      </c>
      <c r="AB405" s="20" t="s">
        <v>333</v>
      </c>
      <c r="AC405" s="20"/>
      <c r="AD405" s="20" t="s">
        <v>333</v>
      </c>
      <c r="AE405" s="20" t="s">
        <v>333</v>
      </c>
      <c r="AF405" s="20" t="s">
        <v>333</v>
      </c>
      <c r="AG405" s="20" t="s">
        <v>344</v>
      </c>
      <c r="AH405" s="20" t="s">
        <v>344</v>
      </c>
      <c r="AI405" s="20" t="s">
        <v>333</v>
      </c>
      <c r="AJ405" s="20"/>
      <c r="AK405" s="20" t="s">
        <v>1595</v>
      </c>
      <c r="AL405" s="20" t="s">
        <v>1581</v>
      </c>
      <c r="AM405" s="20" t="s">
        <v>1595</v>
      </c>
      <c r="AN405" s="20" t="s">
        <v>349</v>
      </c>
      <c r="AO405" s="20"/>
      <c r="AP405" s="20" t="s">
        <v>1571</v>
      </c>
      <c r="AQ405" s="20" t="s">
        <v>1253</v>
      </c>
      <c r="AR405" s="20"/>
      <c r="AS405" s="20"/>
    </row>
    <row r="406">
      <c r="A406" s="20" t="s">
        <v>4170</v>
      </c>
      <c r="B406" s="20" t="s">
        <v>1250</v>
      </c>
      <c r="C406" s="20" t="s">
        <v>1252</v>
      </c>
      <c r="D406" s="53" t="s">
        <v>1254</v>
      </c>
      <c r="E406" s="20" t="s">
        <v>49</v>
      </c>
      <c r="F406" s="20"/>
      <c r="G406" s="55">
        <f>+919311276771</f>
        <v>919311276771</v>
      </c>
      <c r="H406" s="20" t="s">
        <v>1258</v>
      </c>
      <c r="I406" s="20" t="s">
        <v>1259</v>
      </c>
      <c r="J406" s="20" t="s">
        <v>1259</v>
      </c>
      <c r="K406" s="20" t="s">
        <v>55</v>
      </c>
      <c r="L406" s="20" t="s">
        <v>56</v>
      </c>
      <c r="M406" s="20" t="s">
        <v>57</v>
      </c>
      <c r="N406" s="20" t="s">
        <v>333</v>
      </c>
      <c r="O406" s="20" t="s">
        <v>1556</v>
      </c>
      <c r="P406" s="20" t="s">
        <v>1269</v>
      </c>
      <c r="Q406" s="20" t="s">
        <v>59</v>
      </c>
      <c r="R406" s="20" t="s">
        <v>333</v>
      </c>
      <c r="S406" s="20" t="s">
        <v>333</v>
      </c>
      <c r="T406" s="20"/>
      <c r="U406" s="20"/>
      <c r="V406" s="20" t="s">
        <v>344</v>
      </c>
      <c r="W406" s="20" t="s">
        <v>333</v>
      </c>
      <c r="X406" s="20" t="s">
        <v>333</v>
      </c>
      <c r="Y406" s="20" t="s">
        <v>333</v>
      </c>
      <c r="Z406" s="20" t="s">
        <v>333</v>
      </c>
      <c r="AA406" s="20" t="s">
        <v>333</v>
      </c>
      <c r="AB406" s="20" t="s">
        <v>333</v>
      </c>
      <c r="AC406" s="20"/>
      <c r="AD406" s="20" t="s">
        <v>333</v>
      </c>
      <c r="AE406" s="20" t="s">
        <v>333</v>
      </c>
      <c r="AF406" s="20" t="s">
        <v>333</v>
      </c>
      <c r="AG406" s="20" t="s">
        <v>344</v>
      </c>
      <c r="AH406" s="20" t="s">
        <v>344</v>
      </c>
      <c r="AI406" s="20" t="s">
        <v>333</v>
      </c>
      <c r="AJ406" s="20"/>
      <c r="AK406" s="20" t="s">
        <v>1244</v>
      </c>
      <c r="AL406" s="20" t="s">
        <v>1245</v>
      </c>
      <c r="AM406" s="20" t="s">
        <v>1244</v>
      </c>
      <c r="AN406" s="20" t="s">
        <v>349</v>
      </c>
      <c r="AO406" s="20"/>
      <c r="AP406" s="20" t="s">
        <v>1556</v>
      </c>
      <c r="AQ406" s="20" t="s">
        <v>1269</v>
      </c>
      <c r="AR406" s="24" t="s">
        <v>757</v>
      </c>
      <c r="AS406" s="20"/>
    </row>
    <row r="407">
      <c r="A407" s="20" t="s">
        <v>4176</v>
      </c>
      <c r="B407" s="20" t="s">
        <v>2605</v>
      </c>
      <c r="C407" s="20" t="s">
        <v>2606</v>
      </c>
      <c r="D407" s="20" t="s">
        <v>2607</v>
      </c>
      <c r="E407" s="20" t="s">
        <v>49</v>
      </c>
      <c r="F407" s="20"/>
      <c r="G407" s="20"/>
      <c r="H407" s="20" t="s">
        <v>303</v>
      </c>
      <c r="I407" s="20" t="s">
        <v>303</v>
      </c>
      <c r="J407" s="20" t="s">
        <v>74</v>
      </c>
      <c r="K407" s="20" t="s">
        <v>55</v>
      </c>
      <c r="L407" s="20" t="s">
        <v>56</v>
      </c>
      <c r="M407" s="20" t="s">
        <v>57</v>
      </c>
      <c r="N407" s="20" t="s">
        <v>333</v>
      </c>
      <c r="O407" s="20" t="s">
        <v>1586</v>
      </c>
      <c r="P407" s="20" t="s">
        <v>1941</v>
      </c>
      <c r="Q407" s="20" t="s">
        <v>59</v>
      </c>
      <c r="R407" s="20" t="s">
        <v>333</v>
      </c>
      <c r="S407" s="20" t="s">
        <v>333</v>
      </c>
      <c r="T407" s="20" t="s">
        <v>2610</v>
      </c>
      <c r="U407" s="20"/>
      <c r="V407" s="20" t="s">
        <v>344</v>
      </c>
      <c r="W407" s="20" t="s">
        <v>333</v>
      </c>
      <c r="X407" s="20" t="s">
        <v>333</v>
      </c>
      <c r="Y407" s="20" t="s">
        <v>333</v>
      </c>
      <c r="Z407" s="20" t="s">
        <v>333</v>
      </c>
      <c r="AA407" s="20" t="s">
        <v>333</v>
      </c>
      <c r="AB407" s="20" t="s">
        <v>333</v>
      </c>
      <c r="AC407" s="20"/>
      <c r="AD407" s="20" t="s">
        <v>333</v>
      </c>
      <c r="AE407" s="20" t="s">
        <v>333</v>
      </c>
      <c r="AF407" s="20" t="s">
        <v>333</v>
      </c>
      <c r="AG407" s="20" t="s">
        <v>344</v>
      </c>
      <c r="AH407" s="20" t="s">
        <v>344</v>
      </c>
      <c r="AI407" s="20" t="s">
        <v>333</v>
      </c>
      <c r="AJ407" s="20"/>
      <c r="AK407" s="20" t="s">
        <v>1595</v>
      </c>
      <c r="AL407" s="20" t="s">
        <v>348</v>
      </c>
      <c r="AM407" s="20" t="s">
        <v>1595</v>
      </c>
      <c r="AN407" s="20" t="s">
        <v>349</v>
      </c>
      <c r="AO407" s="20"/>
      <c r="AP407" s="20" t="s">
        <v>1586</v>
      </c>
      <c r="AQ407" s="20" t="s">
        <v>1941</v>
      </c>
      <c r="AR407" s="20"/>
      <c r="AS407" s="20"/>
    </row>
    <row r="408">
      <c r="A408" s="32" t="s">
        <v>4178</v>
      </c>
      <c r="B408" s="32" t="s">
        <v>3662</v>
      </c>
      <c r="C408" s="32" t="s">
        <v>3663</v>
      </c>
      <c r="D408" s="48" t="s">
        <v>1480</v>
      </c>
      <c r="E408" s="32" t="s">
        <v>49</v>
      </c>
      <c r="F408" s="32" t="s">
        <v>4179</v>
      </c>
      <c r="G408" s="32" t="s">
        <v>4180</v>
      </c>
      <c r="H408" s="32" t="s">
        <v>3666</v>
      </c>
      <c r="I408" s="32" t="s">
        <v>3667</v>
      </c>
      <c r="J408" s="32" t="s">
        <v>74</v>
      </c>
      <c r="K408" s="32" t="s">
        <v>55</v>
      </c>
      <c r="L408" s="32" t="s">
        <v>56</v>
      </c>
      <c r="M408" s="32" t="s">
        <v>57</v>
      </c>
      <c r="N408" s="32" t="s">
        <v>333</v>
      </c>
      <c r="O408" s="32" t="s">
        <v>1795</v>
      </c>
      <c r="P408" s="32" t="s">
        <v>1795</v>
      </c>
      <c r="Q408" s="32" t="s">
        <v>59</v>
      </c>
      <c r="R408" s="32" t="s">
        <v>333</v>
      </c>
      <c r="S408" s="32" t="s">
        <v>333</v>
      </c>
      <c r="T408" s="32"/>
      <c r="U408" s="32"/>
      <c r="V408" s="32" t="s">
        <v>344</v>
      </c>
      <c r="W408" s="32" t="s">
        <v>333</v>
      </c>
      <c r="X408" s="32" t="s">
        <v>333</v>
      </c>
      <c r="Y408" s="32" t="s">
        <v>333</v>
      </c>
      <c r="Z408" s="32" t="s">
        <v>333</v>
      </c>
      <c r="AA408" s="32" t="s">
        <v>333</v>
      </c>
      <c r="AB408" s="32" t="s">
        <v>333</v>
      </c>
      <c r="AC408" s="32"/>
      <c r="AD408" s="32" t="s">
        <v>333</v>
      </c>
      <c r="AE408" s="32" t="s">
        <v>333</v>
      </c>
      <c r="AF408" s="32" t="s">
        <v>333</v>
      </c>
      <c r="AG408" s="32" t="s">
        <v>344</v>
      </c>
      <c r="AH408" s="32" t="s">
        <v>344</v>
      </c>
      <c r="AI408" s="32" t="s">
        <v>333</v>
      </c>
      <c r="AJ408" s="32"/>
      <c r="AK408" s="32" t="s">
        <v>1244</v>
      </c>
      <c r="AL408" s="32" t="s">
        <v>1269</v>
      </c>
      <c r="AM408" s="32" t="s">
        <v>1244</v>
      </c>
      <c r="AN408" s="32" t="s">
        <v>349</v>
      </c>
      <c r="AO408" s="32"/>
      <c r="AP408" s="32" t="s">
        <v>1795</v>
      </c>
      <c r="AQ408" s="32" t="s">
        <v>1795</v>
      </c>
      <c r="AR408" s="21" t="s">
        <v>1931</v>
      </c>
      <c r="AS408" s="21">
        <v>2.0</v>
      </c>
    </row>
    <row r="409">
      <c r="A409" s="32" t="s">
        <v>4181</v>
      </c>
      <c r="B409" s="32" t="s">
        <v>1232</v>
      </c>
      <c r="C409" s="32" t="s">
        <v>1233</v>
      </c>
      <c r="D409" s="48" t="s">
        <v>1234</v>
      </c>
      <c r="E409" s="32" t="s">
        <v>49</v>
      </c>
      <c r="F409" s="32" t="s">
        <v>4184</v>
      </c>
      <c r="G409" s="32" t="s">
        <v>4185</v>
      </c>
      <c r="H409" s="32" t="s">
        <v>75</v>
      </c>
      <c r="I409" s="32" t="s">
        <v>76</v>
      </c>
      <c r="J409" s="32" t="s">
        <v>76</v>
      </c>
      <c r="K409" s="32" t="s">
        <v>55</v>
      </c>
      <c r="L409" s="32" t="s">
        <v>56</v>
      </c>
      <c r="M409" s="32" t="s">
        <v>57</v>
      </c>
      <c r="N409" s="32" t="s">
        <v>333</v>
      </c>
      <c r="O409" s="32" t="s">
        <v>1559</v>
      </c>
      <c r="P409" s="32" t="s">
        <v>1586</v>
      </c>
      <c r="Q409" s="32" t="s">
        <v>59</v>
      </c>
      <c r="R409" s="32" t="s">
        <v>333</v>
      </c>
      <c r="S409" s="32" t="s">
        <v>333</v>
      </c>
      <c r="T409" s="32"/>
      <c r="U409" s="32"/>
      <c r="V409" s="32" t="s">
        <v>344</v>
      </c>
      <c r="W409" s="32" t="s">
        <v>333</v>
      </c>
      <c r="X409" s="32" t="s">
        <v>333</v>
      </c>
      <c r="Y409" s="32" t="s">
        <v>333</v>
      </c>
      <c r="Z409" s="32" t="s">
        <v>333</v>
      </c>
      <c r="AA409" s="32" t="s">
        <v>333</v>
      </c>
      <c r="AB409" s="32" t="s">
        <v>333</v>
      </c>
      <c r="AC409" s="32"/>
      <c r="AD409" s="32" t="s">
        <v>333</v>
      </c>
      <c r="AE409" s="32" t="s">
        <v>333</v>
      </c>
      <c r="AF409" s="32" t="s">
        <v>333</v>
      </c>
      <c r="AG409" s="32" t="s">
        <v>344</v>
      </c>
      <c r="AH409" s="32" t="s">
        <v>344</v>
      </c>
      <c r="AI409" s="32" t="s">
        <v>333</v>
      </c>
      <c r="AJ409" s="32"/>
      <c r="AK409" s="32" t="s">
        <v>1595</v>
      </c>
      <c r="AL409" s="32" t="s">
        <v>1581</v>
      </c>
      <c r="AM409" s="32" t="s">
        <v>1595</v>
      </c>
      <c r="AN409" s="32" t="s">
        <v>349</v>
      </c>
      <c r="AO409" s="32"/>
      <c r="AP409" s="32" t="s">
        <v>1559</v>
      </c>
      <c r="AQ409" s="32" t="s">
        <v>1586</v>
      </c>
      <c r="AR409" s="21" t="s">
        <v>1931</v>
      </c>
      <c r="AS409" s="21">
        <v>2.0</v>
      </c>
    </row>
    <row r="410">
      <c r="A410" s="20" t="s">
        <v>4188</v>
      </c>
      <c r="B410" s="20" t="s">
        <v>3179</v>
      </c>
      <c r="C410" s="20" t="s">
        <v>3180</v>
      </c>
      <c r="D410" s="20"/>
      <c r="E410" s="20" t="s">
        <v>49</v>
      </c>
      <c r="F410" s="20"/>
      <c r="G410" s="20"/>
      <c r="H410" s="20" t="s">
        <v>1091</v>
      </c>
      <c r="I410" s="20" t="s">
        <v>1092</v>
      </c>
      <c r="J410" s="20" t="s">
        <v>74</v>
      </c>
      <c r="K410" s="20" t="s">
        <v>55</v>
      </c>
      <c r="L410" s="20" t="s">
        <v>56</v>
      </c>
      <c r="M410" s="20" t="s">
        <v>57</v>
      </c>
      <c r="N410" s="20" t="s">
        <v>333</v>
      </c>
      <c r="O410" s="20" t="s">
        <v>1556</v>
      </c>
      <c r="P410" s="20"/>
      <c r="Q410" s="20" t="s">
        <v>59</v>
      </c>
      <c r="R410" s="20" t="s">
        <v>333</v>
      </c>
      <c r="S410" s="20" t="s">
        <v>333</v>
      </c>
      <c r="T410" s="20"/>
      <c r="U410" s="20"/>
      <c r="V410" s="20" t="s">
        <v>344</v>
      </c>
      <c r="W410" s="20" t="s">
        <v>333</v>
      </c>
      <c r="X410" s="20" t="s">
        <v>333</v>
      </c>
      <c r="Y410" s="20" t="s">
        <v>333</v>
      </c>
      <c r="Z410" s="20" t="s">
        <v>333</v>
      </c>
      <c r="AA410" s="20" t="s">
        <v>333</v>
      </c>
      <c r="AB410" s="20" t="s">
        <v>333</v>
      </c>
      <c r="AC410" s="20"/>
      <c r="AD410" s="20" t="s">
        <v>333</v>
      </c>
      <c r="AE410" s="20" t="s">
        <v>333</v>
      </c>
      <c r="AF410" s="20" t="s">
        <v>333</v>
      </c>
      <c r="AG410" s="20" t="s">
        <v>344</v>
      </c>
      <c r="AH410" s="20" t="s">
        <v>344</v>
      </c>
      <c r="AI410" s="20" t="s">
        <v>333</v>
      </c>
      <c r="AJ410" s="20"/>
      <c r="AK410" s="20" t="s">
        <v>1692</v>
      </c>
      <c r="AL410" s="20" t="s">
        <v>1596</v>
      </c>
      <c r="AM410" s="20" t="s">
        <v>1692</v>
      </c>
      <c r="AN410" s="20" t="s">
        <v>349</v>
      </c>
      <c r="AO410" s="20"/>
      <c r="AP410" s="20" t="s">
        <v>1556</v>
      </c>
      <c r="AQ410" s="20" t="s">
        <v>349</v>
      </c>
      <c r="AR410" s="20"/>
      <c r="AS410" s="20"/>
    </row>
    <row r="411">
      <c r="A411" s="20" t="s">
        <v>4189</v>
      </c>
      <c r="B411" s="20" t="s">
        <v>3367</v>
      </c>
      <c r="C411" s="20" t="s">
        <v>3368</v>
      </c>
      <c r="D411" s="20"/>
      <c r="E411" s="20" t="s">
        <v>49</v>
      </c>
      <c r="F411" s="20"/>
      <c r="G411" s="20"/>
      <c r="H411" s="20" t="s">
        <v>303</v>
      </c>
      <c r="I411" s="20" t="s">
        <v>303</v>
      </c>
      <c r="J411" s="20" t="s">
        <v>74</v>
      </c>
      <c r="K411" s="20" t="s">
        <v>55</v>
      </c>
      <c r="L411" s="20" t="s">
        <v>56</v>
      </c>
      <c r="M411" s="20" t="s">
        <v>57</v>
      </c>
      <c r="N411" s="20" t="s">
        <v>333</v>
      </c>
      <c r="O411" s="20" t="s">
        <v>1596</v>
      </c>
      <c r="P411" s="20" t="s">
        <v>1576</v>
      </c>
      <c r="Q411" s="20" t="s">
        <v>59</v>
      </c>
      <c r="R411" s="20" t="s">
        <v>333</v>
      </c>
      <c r="S411" s="20" t="s">
        <v>333</v>
      </c>
      <c r="T411" s="20"/>
      <c r="U411" s="20"/>
      <c r="V411" s="20" t="s">
        <v>344</v>
      </c>
      <c r="W411" s="20" t="s">
        <v>333</v>
      </c>
      <c r="X411" s="20" t="s">
        <v>333</v>
      </c>
      <c r="Y411" s="20" t="s">
        <v>333</v>
      </c>
      <c r="Z411" s="20" t="s">
        <v>333</v>
      </c>
      <c r="AA411" s="20" t="s">
        <v>333</v>
      </c>
      <c r="AB411" s="20" t="s">
        <v>333</v>
      </c>
      <c r="AC411" s="20"/>
      <c r="AD411" s="20" t="s">
        <v>333</v>
      </c>
      <c r="AE411" s="20" t="s">
        <v>333</v>
      </c>
      <c r="AF411" s="20" t="s">
        <v>333</v>
      </c>
      <c r="AG411" s="20" t="s">
        <v>344</v>
      </c>
      <c r="AH411" s="20" t="s">
        <v>344</v>
      </c>
      <c r="AI411" s="20" t="s">
        <v>333</v>
      </c>
      <c r="AJ411" s="20"/>
      <c r="AK411" s="20" t="s">
        <v>1244</v>
      </c>
      <c r="AL411" s="20" t="s">
        <v>1244</v>
      </c>
      <c r="AM411" s="20" t="s">
        <v>1244</v>
      </c>
      <c r="AN411" s="20" t="s">
        <v>349</v>
      </c>
      <c r="AO411" s="20"/>
      <c r="AP411" s="20" t="s">
        <v>1596</v>
      </c>
      <c r="AQ411" s="20" t="s">
        <v>1576</v>
      </c>
      <c r="AR411" s="20"/>
      <c r="AS411" s="20"/>
    </row>
    <row r="412">
      <c r="A412" s="20" t="s">
        <v>4190</v>
      </c>
      <c r="B412" s="20" t="s">
        <v>3544</v>
      </c>
      <c r="C412" s="20" t="s">
        <v>3545</v>
      </c>
      <c r="D412" s="20"/>
      <c r="E412" s="20" t="s">
        <v>49</v>
      </c>
      <c r="F412" s="20"/>
      <c r="G412" s="20" t="s">
        <v>4191</v>
      </c>
      <c r="H412" s="20" t="s">
        <v>285</v>
      </c>
      <c r="I412" s="20" t="s">
        <v>286</v>
      </c>
      <c r="J412" s="20" t="s">
        <v>74</v>
      </c>
      <c r="K412" s="20" t="s">
        <v>55</v>
      </c>
      <c r="L412" s="20" t="s">
        <v>56</v>
      </c>
      <c r="M412" s="20" t="s">
        <v>57</v>
      </c>
      <c r="N412" s="20" t="s">
        <v>333</v>
      </c>
      <c r="O412" s="20" t="s">
        <v>1695</v>
      </c>
      <c r="P412" s="20" t="s">
        <v>1695</v>
      </c>
      <c r="Q412" s="20" t="s">
        <v>59</v>
      </c>
      <c r="R412" s="20" t="s">
        <v>333</v>
      </c>
      <c r="S412" s="20" t="s">
        <v>333</v>
      </c>
      <c r="T412" s="20"/>
      <c r="U412" s="20"/>
      <c r="V412" s="20" t="s">
        <v>344</v>
      </c>
      <c r="W412" s="20" t="s">
        <v>333</v>
      </c>
      <c r="X412" s="20" t="s">
        <v>333</v>
      </c>
      <c r="Y412" s="20" t="s">
        <v>333</v>
      </c>
      <c r="Z412" s="20" t="s">
        <v>333</v>
      </c>
      <c r="AA412" s="20" t="s">
        <v>333</v>
      </c>
      <c r="AB412" s="20" t="s">
        <v>333</v>
      </c>
      <c r="AC412" s="20"/>
      <c r="AD412" s="20" t="s">
        <v>333</v>
      </c>
      <c r="AE412" s="20" t="s">
        <v>333</v>
      </c>
      <c r="AF412" s="20" t="s">
        <v>333</v>
      </c>
      <c r="AG412" s="20" t="s">
        <v>344</v>
      </c>
      <c r="AH412" s="20" t="s">
        <v>344</v>
      </c>
      <c r="AI412" s="20" t="s">
        <v>333</v>
      </c>
      <c r="AJ412" s="20"/>
      <c r="AK412" s="20" t="s">
        <v>347</v>
      </c>
      <c r="AL412" s="20" t="s">
        <v>348</v>
      </c>
      <c r="AM412" s="20" t="s">
        <v>347</v>
      </c>
      <c r="AN412" s="20" t="s">
        <v>349</v>
      </c>
      <c r="AO412" s="20"/>
      <c r="AP412" s="20" t="s">
        <v>1695</v>
      </c>
      <c r="AQ412" s="20" t="s">
        <v>1695</v>
      </c>
      <c r="AR412" s="20"/>
      <c r="AS412" s="20"/>
    </row>
    <row r="413">
      <c r="A413" s="20" t="s">
        <v>4193</v>
      </c>
      <c r="B413" s="20" t="s">
        <v>228</v>
      </c>
      <c r="C413" s="20" t="s">
        <v>1159</v>
      </c>
      <c r="D413" s="20"/>
      <c r="E413" s="20" t="s">
        <v>49</v>
      </c>
      <c r="F413" s="20"/>
      <c r="G413" s="20"/>
      <c r="H413" s="20" t="s">
        <v>91</v>
      </c>
      <c r="I413" s="20" t="s">
        <v>92</v>
      </c>
      <c r="J413" s="20" t="s">
        <v>92</v>
      </c>
      <c r="K413" s="20" t="s">
        <v>55</v>
      </c>
      <c r="L413" s="20" t="s">
        <v>56</v>
      </c>
      <c r="M413" s="20" t="s">
        <v>57</v>
      </c>
      <c r="N413" s="20" t="s">
        <v>333</v>
      </c>
      <c r="O413" s="20" t="s">
        <v>1720</v>
      </c>
      <c r="P413" s="20" t="s">
        <v>2100</v>
      </c>
      <c r="Q413" s="20" t="s">
        <v>59</v>
      </c>
      <c r="R413" s="20" t="s">
        <v>333</v>
      </c>
      <c r="S413" s="20" t="s">
        <v>333</v>
      </c>
      <c r="T413" s="20"/>
      <c r="U413" s="20"/>
      <c r="V413" s="20" t="s">
        <v>344</v>
      </c>
      <c r="W413" s="20" t="s">
        <v>333</v>
      </c>
      <c r="X413" s="20" t="s">
        <v>333</v>
      </c>
      <c r="Y413" s="20" t="s">
        <v>333</v>
      </c>
      <c r="Z413" s="20" t="s">
        <v>333</v>
      </c>
      <c r="AA413" s="20" t="s">
        <v>333</v>
      </c>
      <c r="AB413" s="20" t="s">
        <v>333</v>
      </c>
      <c r="AC413" s="20"/>
      <c r="AD413" s="20" t="s">
        <v>333</v>
      </c>
      <c r="AE413" s="20" t="s">
        <v>333</v>
      </c>
      <c r="AF413" s="20" t="s">
        <v>333</v>
      </c>
      <c r="AG413" s="20" t="s">
        <v>344</v>
      </c>
      <c r="AH413" s="20" t="s">
        <v>344</v>
      </c>
      <c r="AI413" s="20" t="s">
        <v>333</v>
      </c>
      <c r="AJ413" s="20"/>
      <c r="AK413" s="20" t="s">
        <v>347</v>
      </c>
      <c r="AL413" s="20" t="s">
        <v>1559</v>
      </c>
      <c r="AM413" s="20" t="s">
        <v>347</v>
      </c>
      <c r="AN413" s="20" t="s">
        <v>349</v>
      </c>
      <c r="AO413" s="20"/>
      <c r="AP413" s="20" t="s">
        <v>1720</v>
      </c>
      <c r="AQ413" s="20" t="s">
        <v>2100</v>
      </c>
      <c r="AR413" s="20"/>
      <c r="AS413" s="20"/>
    </row>
    <row r="414">
      <c r="A414" s="20" t="s">
        <v>4194</v>
      </c>
      <c r="B414" s="20" t="s">
        <v>2921</v>
      </c>
      <c r="C414" s="20" t="s">
        <v>2922</v>
      </c>
      <c r="D414" s="20"/>
      <c r="E414" s="20" t="s">
        <v>49</v>
      </c>
      <c r="F414" s="20"/>
      <c r="G414" s="20"/>
      <c r="H414" s="20" t="s">
        <v>123</v>
      </c>
      <c r="I414" s="20" t="s">
        <v>124</v>
      </c>
      <c r="J414" s="20" t="s">
        <v>74</v>
      </c>
      <c r="K414" s="20" t="s">
        <v>55</v>
      </c>
      <c r="L414" s="20" t="s">
        <v>56</v>
      </c>
      <c r="M414" s="20" t="s">
        <v>57</v>
      </c>
      <c r="N414" s="20" t="s">
        <v>333</v>
      </c>
      <c r="O414" s="20" t="s">
        <v>1695</v>
      </c>
      <c r="P414" s="20" t="s">
        <v>1682</v>
      </c>
      <c r="Q414" s="20" t="s">
        <v>59</v>
      </c>
      <c r="R414" s="20" t="s">
        <v>333</v>
      </c>
      <c r="S414" s="20" t="s">
        <v>333</v>
      </c>
      <c r="T414" s="20"/>
      <c r="U414" s="20"/>
      <c r="V414" s="20" t="s">
        <v>344</v>
      </c>
      <c r="W414" s="20" t="s">
        <v>333</v>
      </c>
      <c r="X414" s="20" t="s">
        <v>333</v>
      </c>
      <c r="Y414" s="20" t="s">
        <v>333</v>
      </c>
      <c r="Z414" s="20" t="s">
        <v>333</v>
      </c>
      <c r="AA414" s="20" t="s">
        <v>333</v>
      </c>
      <c r="AB414" s="20" t="s">
        <v>333</v>
      </c>
      <c r="AC414" s="20"/>
      <c r="AD414" s="20" t="s">
        <v>333</v>
      </c>
      <c r="AE414" s="20" t="s">
        <v>333</v>
      </c>
      <c r="AF414" s="20" t="s">
        <v>333</v>
      </c>
      <c r="AG414" s="20" t="s">
        <v>344</v>
      </c>
      <c r="AH414" s="20" t="s">
        <v>344</v>
      </c>
      <c r="AI414" s="20" t="s">
        <v>333</v>
      </c>
      <c r="AJ414" s="20"/>
      <c r="AK414" s="20" t="s">
        <v>1717</v>
      </c>
      <c r="AL414" s="20" t="s">
        <v>1596</v>
      </c>
      <c r="AM414" s="20" t="s">
        <v>1717</v>
      </c>
      <c r="AN414" s="20" t="s">
        <v>349</v>
      </c>
      <c r="AO414" s="20"/>
      <c r="AP414" s="20" t="s">
        <v>1695</v>
      </c>
      <c r="AQ414" s="20" t="s">
        <v>1682</v>
      </c>
      <c r="AR414" s="20"/>
      <c r="AS414" s="20"/>
    </row>
    <row r="415">
      <c r="A415" s="20" t="s">
        <v>4196</v>
      </c>
      <c r="B415" s="20" t="s">
        <v>2694</v>
      </c>
      <c r="C415" s="20" t="s">
        <v>2695</v>
      </c>
      <c r="D415" s="20" t="s">
        <v>2697</v>
      </c>
      <c r="E415" s="20" t="s">
        <v>49</v>
      </c>
      <c r="F415" s="20"/>
      <c r="G415" s="20"/>
      <c r="H415" s="20" t="s">
        <v>303</v>
      </c>
      <c r="I415" s="20" t="s">
        <v>303</v>
      </c>
      <c r="J415" s="20" t="s">
        <v>74</v>
      </c>
      <c r="K415" s="20" t="s">
        <v>55</v>
      </c>
      <c r="L415" s="20" t="s">
        <v>56</v>
      </c>
      <c r="M415" s="20" t="s">
        <v>57</v>
      </c>
      <c r="N415" s="20" t="s">
        <v>333</v>
      </c>
      <c r="O415" s="20" t="s">
        <v>4197</v>
      </c>
      <c r="P415" s="20" t="s">
        <v>4198</v>
      </c>
      <c r="Q415" s="20" t="s">
        <v>59</v>
      </c>
      <c r="R415" s="20" t="s">
        <v>333</v>
      </c>
      <c r="S415" s="20" t="s">
        <v>333</v>
      </c>
      <c r="T415" s="20" t="s">
        <v>2704</v>
      </c>
      <c r="U415" s="20"/>
      <c r="V415" s="20" t="s">
        <v>344</v>
      </c>
      <c r="W415" s="20" t="s">
        <v>333</v>
      </c>
      <c r="X415" s="20" t="s">
        <v>333</v>
      </c>
      <c r="Y415" s="20" t="s">
        <v>333</v>
      </c>
      <c r="Z415" s="20" t="s">
        <v>333</v>
      </c>
      <c r="AA415" s="20" t="s">
        <v>333</v>
      </c>
      <c r="AB415" s="20" t="s">
        <v>333</v>
      </c>
      <c r="AC415" s="20"/>
      <c r="AD415" s="20" t="s">
        <v>333</v>
      </c>
      <c r="AE415" s="20" t="s">
        <v>333</v>
      </c>
      <c r="AF415" s="20" t="s">
        <v>333</v>
      </c>
      <c r="AG415" s="20" t="s">
        <v>344</v>
      </c>
      <c r="AH415" s="20" t="s">
        <v>344</v>
      </c>
      <c r="AI415" s="20" t="s">
        <v>333</v>
      </c>
      <c r="AJ415" s="20"/>
      <c r="AK415" s="20" t="s">
        <v>1736</v>
      </c>
      <c r="AL415" s="20" t="s">
        <v>1736</v>
      </c>
      <c r="AM415" s="20" t="s">
        <v>1736</v>
      </c>
      <c r="AN415" s="20" t="s">
        <v>349</v>
      </c>
      <c r="AO415" s="20"/>
      <c r="AP415" s="20" t="s">
        <v>4197</v>
      </c>
      <c r="AQ415" s="20" t="s">
        <v>4198</v>
      </c>
      <c r="AR415" s="20"/>
      <c r="AS415" s="20"/>
    </row>
    <row r="416">
      <c r="A416" s="20" t="s">
        <v>4200</v>
      </c>
      <c r="B416" s="20" t="s">
        <v>2859</v>
      </c>
      <c r="C416" s="20" t="s">
        <v>2860</v>
      </c>
      <c r="D416" s="20"/>
      <c r="E416" s="20" t="s">
        <v>49</v>
      </c>
      <c r="F416" s="20"/>
      <c r="G416" s="20"/>
      <c r="H416" s="20" t="s">
        <v>123</v>
      </c>
      <c r="I416" s="20" t="s">
        <v>124</v>
      </c>
      <c r="J416" s="20" t="s">
        <v>74</v>
      </c>
      <c r="K416" s="20" t="s">
        <v>55</v>
      </c>
      <c r="L416" s="20" t="s">
        <v>56</v>
      </c>
      <c r="M416" s="20" t="s">
        <v>57</v>
      </c>
      <c r="N416" s="20" t="s">
        <v>333</v>
      </c>
      <c r="O416" s="20" t="s">
        <v>1556</v>
      </c>
      <c r="P416" s="20"/>
      <c r="Q416" s="20" t="s">
        <v>59</v>
      </c>
      <c r="R416" s="20" t="s">
        <v>333</v>
      </c>
      <c r="S416" s="20" t="s">
        <v>333</v>
      </c>
      <c r="T416" s="20"/>
      <c r="U416" s="20"/>
      <c r="V416" s="20" t="s">
        <v>344</v>
      </c>
      <c r="W416" s="20" t="s">
        <v>333</v>
      </c>
      <c r="X416" s="20" t="s">
        <v>333</v>
      </c>
      <c r="Y416" s="20" t="s">
        <v>333</v>
      </c>
      <c r="Z416" s="20" t="s">
        <v>333</v>
      </c>
      <c r="AA416" s="20" t="s">
        <v>333</v>
      </c>
      <c r="AB416" s="20" t="s">
        <v>333</v>
      </c>
      <c r="AC416" s="20"/>
      <c r="AD416" s="20" t="s">
        <v>333</v>
      </c>
      <c r="AE416" s="20" t="s">
        <v>333</v>
      </c>
      <c r="AF416" s="20" t="s">
        <v>333</v>
      </c>
      <c r="AG416" s="20" t="s">
        <v>344</v>
      </c>
      <c r="AH416" s="20" t="s">
        <v>344</v>
      </c>
      <c r="AI416" s="20" t="s">
        <v>333</v>
      </c>
      <c r="AJ416" s="20"/>
      <c r="AK416" s="20" t="s">
        <v>1581</v>
      </c>
      <c r="AL416" s="20" t="s">
        <v>1245</v>
      </c>
      <c r="AM416" s="20" t="s">
        <v>1581</v>
      </c>
      <c r="AN416" s="20" t="s">
        <v>349</v>
      </c>
      <c r="AO416" s="20"/>
      <c r="AP416" s="20" t="s">
        <v>1556</v>
      </c>
      <c r="AQ416" s="20" t="s">
        <v>349</v>
      </c>
      <c r="AR416" s="20"/>
      <c r="AS416" s="20"/>
    </row>
    <row r="417">
      <c r="A417" s="32" t="s">
        <v>4202</v>
      </c>
      <c r="B417" s="32" t="s">
        <v>4203</v>
      </c>
      <c r="C417" s="32" t="s">
        <v>4204</v>
      </c>
      <c r="D417" s="48" t="s">
        <v>4205</v>
      </c>
      <c r="E417" s="32" t="s">
        <v>49</v>
      </c>
      <c r="F417" s="32" t="s">
        <v>4206</v>
      </c>
      <c r="G417" s="32" t="s">
        <v>4207</v>
      </c>
      <c r="H417" s="32" t="s">
        <v>142</v>
      </c>
      <c r="I417" s="32" t="s">
        <v>144</v>
      </c>
      <c r="J417" s="32" t="s">
        <v>74</v>
      </c>
      <c r="K417" s="32" t="s">
        <v>55</v>
      </c>
      <c r="L417" s="32" t="s">
        <v>56</v>
      </c>
      <c r="M417" s="32" t="s">
        <v>57</v>
      </c>
      <c r="N417" s="32" t="s">
        <v>333</v>
      </c>
      <c r="O417" s="32" t="s">
        <v>1253</v>
      </c>
      <c r="P417" s="32" t="s">
        <v>1256</v>
      </c>
      <c r="Q417" s="32" t="s">
        <v>59</v>
      </c>
      <c r="R417" s="32" t="s">
        <v>333</v>
      </c>
      <c r="S417" s="32" t="s">
        <v>333</v>
      </c>
      <c r="T417" s="32"/>
      <c r="U417" s="32"/>
      <c r="V417" s="32" t="s">
        <v>344</v>
      </c>
      <c r="W417" s="32" t="s">
        <v>333</v>
      </c>
      <c r="X417" s="32" t="s">
        <v>333</v>
      </c>
      <c r="Y417" s="32" t="s">
        <v>333</v>
      </c>
      <c r="Z417" s="32" t="s">
        <v>333</v>
      </c>
      <c r="AA417" s="32" t="s">
        <v>333</v>
      </c>
      <c r="AB417" s="32" t="s">
        <v>333</v>
      </c>
      <c r="AC417" s="32"/>
      <c r="AD417" s="32" t="s">
        <v>333</v>
      </c>
      <c r="AE417" s="32" t="s">
        <v>333</v>
      </c>
      <c r="AF417" s="32" t="s">
        <v>333</v>
      </c>
      <c r="AG417" s="32" t="s">
        <v>344</v>
      </c>
      <c r="AH417" s="32" t="s">
        <v>344</v>
      </c>
      <c r="AI417" s="32" t="s">
        <v>333</v>
      </c>
      <c r="AJ417" s="32"/>
      <c r="AK417" s="32" t="s">
        <v>1663</v>
      </c>
      <c r="AL417" s="32" t="s">
        <v>1261</v>
      </c>
      <c r="AM417" s="32" t="s">
        <v>1663</v>
      </c>
      <c r="AN417" s="32" t="s">
        <v>349</v>
      </c>
      <c r="AO417" s="32"/>
      <c r="AP417" s="32" t="s">
        <v>1253</v>
      </c>
      <c r="AQ417" s="32" t="s">
        <v>1256</v>
      </c>
      <c r="AR417" s="21" t="s">
        <v>1931</v>
      </c>
      <c r="AS417" s="21">
        <v>2.0</v>
      </c>
    </row>
    <row r="418">
      <c r="A418" s="20" t="s">
        <v>4212</v>
      </c>
      <c r="B418" s="20" t="s">
        <v>2651</v>
      </c>
      <c r="C418" s="20" t="s">
        <v>2652</v>
      </c>
      <c r="D418" s="20"/>
      <c r="E418" s="20" t="s">
        <v>49</v>
      </c>
      <c r="F418" s="20"/>
      <c r="G418" s="20"/>
      <c r="H418" s="20" t="s">
        <v>738</v>
      </c>
      <c r="I418" s="20" t="s">
        <v>739</v>
      </c>
      <c r="J418" s="20" t="s">
        <v>74</v>
      </c>
      <c r="K418" s="20" t="s">
        <v>55</v>
      </c>
      <c r="L418" s="20" t="s">
        <v>56</v>
      </c>
      <c r="M418" s="20" t="s">
        <v>57</v>
      </c>
      <c r="N418" s="20" t="s">
        <v>333</v>
      </c>
      <c r="O418" s="20" t="s">
        <v>1559</v>
      </c>
      <c r="P418" s="20" t="s">
        <v>1941</v>
      </c>
      <c r="Q418" s="20" t="s">
        <v>59</v>
      </c>
      <c r="R418" s="20" t="s">
        <v>333</v>
      </c>
      <c r="S418" s="20" t="s">
        <v>333</v>
      </c>
      <c r="T418" s="20"/>
      <c r="U418" s="20"/>
      <c r="V418" s="20" t="s">
        <v>344</v>
      </c>
      <c r="W418" s="20" t="s">
        <v>333</v>
      </c>
      <c r="X418" s="20" t="s">
        <v>333</v>
      </c>
      <c r="Y418" s="20" t="s">
        <v>333</v>
      </c>
      <c r="Z418" s="20" t="s">
        <v>333</v>
      </c>
      <c r="AA418" s="20" t="s">
        <v>333</v>
      </c>
      <c r="AB418" s="20" t="s">
        <v>333</v>
      </c>
      <c r="AC418" s="20"/>
      <c r="AD418" s="20" t="s">
        <v>333</v>
      </c>
      <c r="AE418" s="20" t="s">
        <v>333</v>
      </c>
      <c r="AF418" s="20" t="s">
        <v>333</v>
      </c>
      <c r="AG418" s="20" t="s">
        <v>344</v>
      </c>
      <c r="AH418" s="20" t="s">
        <v>344</v>
      </c>
      <c r="AI418" s="20" t="s">
        <v>333</v>
      </c>
      <c r="AJ418" s="20"/>
      <c r="AK418" s="20" t="s">
        <v>1244</v>
      </c>
      <c r="AL418" s="20" t="s">
        <v>1596</v>
      </c>
      <c r="AM418" s="20" t="s">
        <v>1244</v>
      </c>
      <c r="AN418" s="20" t="s">
        <v>349</v>
      </c>
      <c r="AO418" s="20"/>
      <c r="AP418" s="20" t="s">
        <v>1559</v>
      </c>
      <c r="AQ418" s="20" t="s">
        <v>1941</v>
      </c>
      <c r="AR418" s="20"/>
      <c r="AS418" s="20"/>
    </row>
    <row r="419">
      <c r="A419" s="20" t="s">
        <v>4213</v>
      </c>
      <c r="B419" s="20" t="s">
        <v>2909</v>
      </c>
      <c r="C419" s="20" t="s">
        <v>2910</v>
      </c>
      <c r="D419" s="20"/>
      <c r="E419" s="20" t="s">
        <v>49</v>
      </c>
      <c r="F419" s="20"/>
      <c r="G419" s="20" t="s">
        <v>4215</v>
      </c>
      <c r="H419" s="20" t="s">
        <v>142</v>
      </c>
      <c r="I419" s="20" t="s">
        <v>144</v>
      </c>
      <c r="J419" s="20" t="s">
        <v>74</v>
      </c>
      <c r="K419" s="20" t="s">
        <v>55</v>
      </c>
      <c r="L419" s="20" t="s">
        <v>56</v>
      </c>
      <c r="M419" s="20" t="s">
        <v>57</v>
      </c>
      <c r="N419" s="20" t="s">
        <v>333</v>
      </c>
      <c r="O419" s="20" t="s">
        <v>2262</v>
      </c>
      <c r="P419" s="20" t="s">
        <v>1669</v>
      </c>
      <c r="Q419" s="20" t="s">
        <v>59</v>
      </c>
      <c r="R419" s="20" t="s">
        <v>333</v>
      </c>
      <c r="S419" s="20" t="s">
        <v>333</v>
      </c>
      <c r="T419" s="20"/>
      <c r="U419" s="20"/>
      <c r="V419" s="20" t="s">
        <v>344</v>
      </c>
      <c r="W419" s="20" t="s">
        <v>333</v>
      </c>
      <c r="X419" s="20" t="s">
        <v>333</v>
      </c>
      <c r="Y419" s="20" t="s">
        <v>333</v>
      </c>
      <c r="Z419" s="20" t="s">
        <v>333</v>
      </c>
      <c r="AA419" s="20" t="s">
        <v>333</v>
      </c>
      <c r="AB419" s="20" t="s">
        <v>333</v>
      </c>
      <c r="AC419" s="20"/>
      <c r="AD419" s="20" t="s">
        <v>333</v>
      </c>
      <c r="AE419" s="20" t="s">
        <v>333</v>
      </c>
      <c r="AF419" s="20" t="s">
        <v>333</v>
      </c>
      <c r="AG419" s="20" t="s">
        <v>344</v>
      </c>
      <c r="AH419" s="20" t="s">
        <v>344</v>
      </c>
      <c r="AI419" s="20" t="s">
        <v>333</v>
      </c>
      <c r="AJ419" s="20"/>
      <c r="AK419" s="20" t="s">
        <v>1663</v>
      </c>
      <c r="AL419" s="20" t="s">
        <v>1586</v>
      </c>
      <c r="AM419" s="20" t="s">
        <v>1663</v>
      </c>
      <c r="AN419" s="20" t="s">
        <v>349</v>
      </c>
      <c r="AO419" s="20"/>
      <c r="AP419" s="20" t="s">
        <v>2262</v>
      </c>
      <c r="AQ419" s="20" t="s">
        <v>1669</v>
      </c>
      <c r="AR419" s="20"/>
      <c r="AS419" s="20"/>
    </row>
    <row r="420">
      <c r="A420" s="20" t="s">
        <v>4221</v>
      </c>
      <c r="B420" s="20" t="s">
        <v>2162</v>
      </c>
      <c r="C420" s="20" t="s">
        <v>2163</v>
      </c>
      <c r="D420" s="20"/>
      <c r="E420" s="20" t="s">
        <v>49</v>
      </c>
      <c r="F420" s="20"/>
      <c r="G420" s="20"/>
      <c r="H420" s="20" t="s">
        <v>285</v>
      </c>
      <c r="I420" s="20" t="s">
        <v>286</v>
      </c>
      <c r="J420" s="20" t="s">
        <v>74</v>
      </c>
      <c r="K420" s="20" t="s">
        <v>55</v>
      </c>
      <c r="L420" s="20" t="s">
        <v>56</v>
      </c>
      <c r="M420" s="20" t="s">
        <v>57</v>
      </c>
      <c r="N420" s="20" t="s">
        <v>333</v>
      </c>
      <c r="O420" s="20" t="s">
        <v>1239</v>
      </c>
      <c r="P420" s="20" t="s">
        <v>1556</v>
      </c>
      <c r="Q420" s="20" t="s">
        <v>59</v>
      </c>
      <c r="R420" s="20" t="s">
        <v>333</v>
      </c>
      <c r="S420" s="20" t="s">
        <v>333</v>
      </c>
      <c r="T420" s="20"/>
      <c r="U420" s="20"/>
      <c r="V420" s="20" t="s">
        <v>344</v>
      </c>
      <c r="W420" s="20" t="s">
        <v>333</v>
      </c>
      <c r="X420" s="20" t="s">
        <v>333</v>
      </c>
      <c r="Y420" s="20" t="s">
        <v>333</v>
      </c>
      <c r="Z420" s="20" t="s">
        <v>333</v>
      </c>
      <c r="AA420" s="20" t="s">
        <v>333</v>
      </c>
      <c r="AB420" s="20" t="s">
        <v>333</v>
      </c>
      <c r="AC420" s="20"/>
      <c r="AD420" s="20" t="s">
        <v>333</v>
      </c>
      <c r="AE420" s="20" t="s">
        <v>333</v>
      </c>
      <c r="AF420" s="20" t="s">
        <v>333</v>
      </c>
      <c r="AG420" s="20" t="s">
        <v>344</v>
      </c>
      <c r="AH420" s="20" t="s">
        <v>344</v>
      </c>
      <c r="AI420" s="20" t="s">
        <v>333</v>
      </c>
      <c r="AJ420" s="20"/>
      <c r="AK420" s="20" t="s">
        <v>1587</v>
      </c>
      <c r="AL420" s="20" t="s">
        <v>1245</v>
      </c>
      <c r="AM420" s="20" t="s">
        <v>1587</v>
      </c>
      <c r="AN420" s="20" t="s">
        <v>349</v>
      </c>
      <c r="AO420" s="20"/>
      <c r="AP420" s="20" t="s">
        <v>1239</v>
      </c>
      <c r="AQ420" s="20" t="s">
        <v>1556</v>
      </c>
      <c r="AR420" s="20"/>
      <c r="AS420" s="20"/>
    </row>
    <row r="421">
      <c r="A421" s="20" t="s">
        <v>4222</v>
      </c>
      <c r="B421" s="20" t="s">
        <v>424</v>
      </c>
      <c r="C421" s="20" t="s">
        <v>425</v>
      </c>
      <c r="D421" s="20"/>
      <c r="E421" s="20" t="s">
        <v>49</v>
      </c>
      <c r="F421" s="20"/>
      <c r="G421" s="20"/>
      <c r="H421" s="20" t="s">
        <v>147</v>
      </c>
      <c r="I421" s="20" t="s">
        <v>148</v>
      </c>
      <c r="J421" s="20" t="s">
        <v>148</v>
      </c>
      <c r="K421" s="20" t="s">
        <v>55</v>
      </c>
      <c r="L421" s="20" t="s">
        <v>56</v>
      </c>
      <c r="M421" s="20" t="s">
        <v>57</v>
      </c>
      <c r="N421" s="20" t="s">
        <v>333</v>
      </c>
      <c r="O421" s="20" t="s">
        <v>2262</v>
      </c>
      <c r="P421" s="20" t="s">
        <v>1669</v>
      </c>
      <c r="Q421" s="20" t="s">
        <v>59</v>
      </c>
      <c r="R421" s="20" t="s">
        <v>333</v>
      </c>
      <c r="S421" s="20" t="s">
        <v>333</v>
      </c>
      <c r="T421" s="20"/>
      <c r="U421" s="20"/>
      <c r="V421" s="20" t="s">
        <v>344</v>
      </c>
      <c r="W421" s="20" t="s">
        <v>333</v>
      </c>
      <c r="X421" s="20" t="s">
        <v>333</v>
      </c>
      <c r="Y421" s="20" t="s">
        <v>333</v>
      </c>
      <c r="Z421" s="20" t="s">
        <v>333</v>
      </c>
      <c r="AA421" s="20" t="s">
        <v>333</v>
      </c>
      <c r="AB421" s="20" t="s">
        <v>333</v>
      </c>
      <c r="AC421" s="20"/>
      <c r="AD421" s="20" t="s">
        <v>333</v>
      </c>
      <c r="AE421" s="20" t="s">
        <v>333</v>
      </c>
      <c r="AF421" s="20" t="s">
        <v>333</v>
      </c>
      <c r="AG421" s="20" t="s">
        <v>344</v>
      </c>
      <c r="AH421" s="20" t="s">
        <v>344</v>
      </c>
      <c r="AI421" s="20" t="s">
        <v>333</v>
      </c>
      <c r="AJ421" s="20"/>
      <c r="AK421" s="20" t="s">
        <v>1663</v>
      </c>
      <c r="AL421" s="20" t="s">
        <v>1269</v>
      </c>
      <c r="AM421" s="20" t="s">
        <v>1663</v>
      </c>
      <c r="AN421" s="20" t="s">
        <v>349</v>
      </c>
      <c r="AO421" s="20"/>
      <c r="AP421" s="20" t="s">
        <v>2262</v>
      </c>
      <c r="AQ421" s="20" t="s">
        <v>1669</v>
      </c>
      <c r="AR421" s="20"/>
      <c r="AS421" s="20"/>
    </row>
    <row r="422">
      <c r="A422" s="20" t="s">
        <v>4226</v>
      </c>
      <c r="B422" s="20" t="s">
        <v>716</v>
      </c>
      <c r="C422" s="20" t="s">
        <v>717</v>
      </c>
      <c r="D422" s="20"/>
      <c r="E422" s="20" t="s">
        <v>49</v>
      </c>
      <c r="F422" s="20"/>
      <c r="G422" s="20"/>
      <c r="H422" s="20" t="s">
        <v>723</v>
      </c>
      <c r="I422" s="20" t="s">
        <v>587</v>
      </c>
      <c r="J422" s="20" t="s">
        <v>74</v>
      </c>
      <c r="K422" s="20" t="s">
        <v>55</v>
      </c>
      <c r="L422" s="20" t="s">
        <v>56</v>
      </c>
      <c r="M422" s="20" t="s">
        <v>57</v>
      </c>
      <c r="N422" s="20" t="s">
        <v>333</v>
      </c>
      <c r="O422" s="20" t="s">
        <v>3784</v>
      </c>
      <c r="P422" s="20" t="s">
        <v>3713</v>
      </c>
      <c r="Q422" s="20" t="s">
        <v>59</v>
      </c>
      <c r="R422" s="20" t="s">
        <v>333</v>
      </c>
      <c r="S422" s="20" t="s">
        <v>333</v>
      </c>
      <c r="T422" s="20"/>
      <c r="U422" s="20"/>
      <c r="V422" s="20" t="s">
        <v>344</v>
      </c>
      <c r="W422" s="20" t="s">
        <v>333</v>
      </c>
      <c r="X422" s="20" t="s">
        <v>333</v>
      </c>
      <c r="Y422" s="20" t="s">
        <v>333</v>
      </c>
      <c r="Z422" s="20" t="s">
        <v>333</v>
      </c>
      <c r="AA422" s="20" t="s">
        <v>333</v>
      </c>
      <c r="AB422" s="20" t="s">
        <v>333</v>
      </c>
      <c r="AC422" s="20"/>
      <c r="AD422" s="20" t="s">
        <v>333</v>
      </c>
      <c r="AE422" s="20" t="s">
        <v>333</v>
      </c>
      <c r="AF422" s="20" t="s">
        <v>333</v>
      </c>
      <c r="AG422" s="20" t="s">
        <v>344</v>
      </c>
      <c r="AH422" s="20" t="s">
        <v>344</v>
      </c>
      <c r="AI422" s="20" t="s">
        <v>333</v>
      </c>
      <c r="AJ422" s="20"/>
      <c r="AK422" s="20" t="s">
        <v>1274</v>
      </c>
      <c r="AL422" s="20" t="s">
        <v>1596</v>
      </c>
      <c r="AM422" s="20" t="s">
        <v>1274</v>
      </c>
      <c r="AN422" s="20" t="s">
        <v>349</v>
      </c>
      <c r="AO422" s="20"/>
      <c r="AP422" s="20" t="s">
        <v>3784</v>
      </c>
      <c r="AQ422" s="20" t="s">
        <v>3713</v>
      </c>
      <c r="AR422" s="20"/>
      <c r="AS422" s="20"/>
    </row>
    <row r="423">
      <c r="A423" s="20" t="s">
        <v>4227</v>
      </c>
      <c r="B423" s="20" t="s">
        <v>3260</v>
      </c>
      <c r="C423" s="20" t="s">
        <v>3261</v>
      </c>
      <c r="D423" s="20" t="s">
        <v>3262</v>
      </c>
      <c r="E423" s="20" t="s">
        <v>49</v>
      </c>
      <c r="F423" s="20"/>
      <c r="G423" s="20"/>
      <c r="H423" s="20" t="s">
        <v>303</v>
      </c>
      <c r="I423" s="20" t="s">
        <v>303</v>
      </c>
      <c r="J423" s="20" t="s">
        <v>74</v>
      </c>
      <c r="K423" s="20" t="s">
        <v>55</v>
      </c>
      <c r="L423" s="20" t="s">
        <v>56</v>
      </c>
      <c r="M423" s="20" t="s">
        <v>57</v>
      </c>
      <c r="N423" s="20" t="s">
        <v>333</v>
      </c>
      <c r="O423" s="20" t="s">
        <v>1571</v>
      </c>
      <c r="P423" s="20" t="s">
        <v>1571</v>
      </c>
      <c r="Q423" s="20" t="s">
        <v>59</v>
      </c>
      <c r="R423" s="20" t="s">
        <v>333</v>
      </c>
      <c r="S423" s="20" t="s">
        <v>333</v>
      </c>
      <c r="T423" s="20" t="s">
        <v>4228</v>
      </c>
      <c r="U423" s="20"/>
      <c r="V423" s="20" t="s">
        <v>344</v>
      </c>
      <c r="W423" s="20" t="s">
        <v>333</v>
      </c>
      <c r="X423" s="20" t="s">
        <v>333</v>
      </c>
      <c r="Y423" s="20" t="s">
        <v>333</v>
      </c>
      <c r="Z423" s="20" t="s">
        <v>333</v>
      </c>
      <c r="AA423" s="20" t="s">
        <v>333</v>
      </c>
      <c r="AB423" s="20" t="s">
        <v>333</v>
      </c>
      <c r="AC423" s="20"/>
      <c r="AD423" s="20" t="s">
        <v>333</v>
      </c>
      <c r="AE423" s="20" t="s">
        <v>333</v>
      </c>
      <c r="AF423" s="20" t="s">
        <v>333</v>
      </c>
      <c r="AG423" s="20" t="s">
        <v>344</v>
      </c>
      <c r="AH423" s="20" t="s">
        <v>344</v>
      </c>
      <c r="AI423" s="20" t="s">
        <v>333</v>
      </c>
      <c r="AJ423" s="20"/>
      <c r="AK423" s="20" t="s">
        <v>1260</v>
      </c>
      <c r="AL423" s="20" t="s">
        <v>1736</v>
      </c>
      <c r="AM423" s="20" t="s">
        <v>1260</v>
      </c>
      <c r="AN423" s="20" t="s">
        <v>349</v>
      </c>
      <c r="AO423" s="20"/>
      <c r="AP423" s="20" t="s">
        <v>1571</v>
      </c>
      <c r="AQ423" s="20" t="s">
        <v>1571</v>
      </c>
      <c r="AR423" s="20"/>
      <c r="AS423" s="20"/>
    </row>
    <row r="424">
      <c r="A424" s="20" t="s">
        <v>4230</v>
      </c>
      <c r="B424" s="20" t="s">
        <v>3143</v>
      </c>
      <c r="C424" s="20" t="s">
        <v>3145</v>
      </c>
      <c r="D424" s="20"/>
      <c r="E424" s="20" t="s">
        <v>49</v>
      </c>
      <c r="F424" s="20"/>
      <c r="G424" s="20" t="s">
        <v>4231</v>
      </c>
      <c r="H424" s="20" t="s">
        <v>123</v>
      </c>
      <c r="I424" s="20" t="s">
        <v>124</v>
      </c>
      <c r="J424" s="20" t="s">
        <v>74</v>
      </c>
      <c r="K424" s="20" t="s">
        <v>55</v>
      </c>
      <c r="L424" s="20" t="s">
        <v>56</v>
      </c>
      <c r="M424" s="20" t="s">
        <v>57</v>
      </c>
      <c r="N424" s="20" t="s">
        <v>333</v>
      </c>
      <c r="O424" s="20" t="s">
        <v>1596</v>
      </c>
      <c r="P424" s="20" t="s">
        <v>1682</v>
      </c>
      <c r="Q424" s="20" t="s">
        <v>59</v>
      </c>
      <c r="R424" s="20" t="s">
        <v>333</v>
      </c>
      <c r="S424" s="20" t="s">
        <v>333</v>
      </c>
      <c r="T424" s="20"/>
      <c r="U424" s="20"/>
      <c r="V424" s="20" t="s">
        <v>344</v>
      </c>
      <c r="W424" s="20" t="s">
        <v>333</v>
      </c>
      <c r="X424" s="20" t="s">
        <v>333</v>
      </c>
      <c r="Y424" s="20" t="s">
        <v>333</v>
      </c>
      <c r="Z424" s="20" t="s">
        <v>333</v>
      </c>
      <c r="AA424" s="20" t="s">
        <v>333</v>
      </c>
      <c r="AB424" s="20" t="s">
        <v>333</v>
      </c>
      <c r="AC424" s="20"/>
      <c r="AD424" s="20" t="s">
        <v>333</v>
      </c>
      <c r="AE424" s="20" t="s">
        <v>333</v>
      </c>
      <c r="AF424" s="20" t="s">
        <v>333</v>
      </c>
      <c r="AG424" s="20" t="s">
        <v>344</v>
      </c>
      <c r="AH424" s="20" t="s">
        <v>344</v>
      </c>
      <c r="AI424" s="20" t="s">
        <v>333</v>
      </c>
      <c r="AJ424" s="20"/>
      <c r="AK424" s="20" t="s">
        <v>347</v>
      </c>
      <c r="AL424" s="20" t="s">
        <v>1261</v>
      </c>
      <c r="AM424" s="20" t="s">
        <v>347</v>
      </c>
      <c r="AN424" s="20" t="s">
        <v>349</v>
      </c>
      <c r="AO424" s="20"/>
      <c r="AP424" s="20" t="s">
        <v>1596</v>
      </c>
      <c r="AQ424" s="20" t="s">
        <v>1682</v>
      </c>
      <c r="AR424" s="20"/>
      <c r="AS424" s="20"/>
    </row>
    <row r="425">
      <c r="A425" s="20" t="s">
        <v>4236</v>
      </c>
      <c r="B425" s="20" t="s">
        <v>964</v>
      </c>
      <c r="C425" s="20" t="s">
        <v>965</v>
      </c>
      <c r="D425" s="20" t="s">
        <v>966</v>
      </c>
      <c r="E425" s="20" t="s">
        <v>49</v>
      </c>
      <c r="F425" s="20"/>
      <c r="G425" s="20" t="s">
        <v>4237</v>
      </c>
      <c r="H425" s="20" t="s">
        <v>967</v>
      </c>
      <c r="I425" s="20" t="s">
        <v>968</v>
      </c>
      <c r="J425" s="20" t="s">
        <v>968</v>
      </c>
      <c r="K425" s="20" t="s">
        <v>55</v>
      </c>
      <c r="L425" s="20" t="s">
        <v>56</v>
      </c>
      <c r="M425" s="20" t="s">
        <v>57</v>
      </c>
      <c r="N425" s="20" t="s">
        <v>333</v>
      </c>
      <c r="O425" s="20" t="s">
        <v>1682</v>
      </c>
      <c r="P425" s="20" t="s">
        <v>1720</v>
      </c>
      <c r="Q425" s="20" t="s">
        <v>59</v>
      </c>
      <c r="R425" s="20" t="s">
        <v>333</v>
      </c>
      <c r="S425" s="20" t="s">
        <v>333</v>
      </c>
      <c r="T425" s="20" t="s">
        <v>275</v>
      </c>
      <c r="U425" s="20"/>
      <c r="V425" s="20" t="s">
        <v>344</v>
      </c>
      <c r="W425" s="20" t="s">
        <v>333</v>
      </c>
      <c r="X425" s="20" t="s">
        <v>333</v>
      </c>
      <c r="Y425" s="20" t="s">
        <v>333</v>
      </c>
      <c r="Z425" s="20" t="s">
        <v>333</v>
      </c>
      <c r="AA425" s="20" t="s">
        <v>333</v>
      </c>
      <c r="AB425" s="20" t="s">
        <v>333</v>
      </c>
      <c r="AC425" s="20"/>
      <c r="AD425" s="20" t="s">
        <v>333</v>
      </c>
      <c r="AE425" s="20" t="s">
        <v>333</v>
      </c>
      <c r="AF425" s="20" t="s">
        <v>333</v>
      </c>
      <c r="AG425" s="20" t="s">
        <v>344</v>
      </c>
      <c r="AH425" s="20" t="s">
        <v>344</v>
      </c>
      <c r="AI425" s="20" t="s">
        <v>333</v>
      </c>
      <c r="AJ425" s="20"/>
      <c r="AK425" s="20" t="s">
        <v>347</v>
      </c>
      <c r="AL425" s="20" t="s">
        <v>1556</v>
      </c>
      <c r="AM425" s="20" t="s">
        <v>347</v>
      </c>
      <c r="AN425" s="20" t="s">
        <v>349</v>
      </c>
      <c r="AO425" s="20"/>
      <c r="AP425" s="20" t="s">
        <v>1682</v>
      </c>
      <c r="AQ425" s="20" t="s">
        <v>1720</v>
      </c>
      <c r="AR425" s="20"/>
      <c r="AS425" s="20"/>
    </row>
    <row r="426">
      <c r="A426" s="20" t="s">
        <v>4240</v>
      </c>
      <c r="B426" s="20" t="s">
        <v>3272</v>
      </c>
      <c r="C426" s="20" t="s">
        <v>3273</v>
      </c>
      <c r="D426" s="20"/>
      <c r="E426" s="20" t="s">
        <v>49</v>
      </c>
      <c r="F426" s="20"/>
      <c r="G426" s="20"/>
      <c r="H426" s="20" t="s">
        <v>1385</v>
      </c>
      <c r="I426" s="20" t="s">
        <v>1386</v>
      </c>
      <c r="J426" s="20" t="s">
        <v>74</v>
      </c>
      <c r="K426" s="20" t="s">
        <v>55</v>
      </c>
      <c r="L426" s="20" t="s">
        <v>56</v>
      </c>
      <c r="M426" s="20" t="s">
        <v>57</v>
      </c>
      <c r="N426" s="20" t="s">
        <v>333</v>
      </c>
      <c r="O426" s="20" t="s">
        <v>1556</v>
      </c>
      <c r="P426" s="20" t="s">
        <v>1559</v>
      </c>
      <c r="Q426" s="20" t="s">
        <v>59</v>
      </c>
      <c r="R426" s="20" t="s">
        <v>333</v>
      </c>
      <c r="S426" s="20" t="s">
        <v>333</v>
      </c>
      <c r="T426" s="20"/>
      <c r="U426" s="20"/>
      <c r="V426" s="20" t="s">
        <v>344</v>
      </c>
      <c r="W426" s="20" t="s">
        <v>333</v>
      </c>
      <c r="X426" s="20" t="s">
        <v>333</v>
      </c>
      <c r="Y426" s="20" t="s">
        <v>333</v>
      </c>
      <c r="Z426" s="20" t="s">
        <v>333</v>
      </c>
      <c r="AA426" s="20" t="s">
        <v>333</v>
      </c>
      <c r="AB426" s="20" t="s">
        <v>333</v>
      </c>
      <c r="AC426" s="20"/>
      <c r="AD426" s="20" t="s">
        <v>333</v>
      </c>
      <c r="AE426" s="20" t="s">
        <v>333</v>
      </c>
      <c r="AF426" s="20" t="s">
        <v>333</v>
      </c>
      <c r="AG426" s="20" t="s">
        <v>344</v>
      </c>
      <c r="AH426" s="20" t="s">
        <v>344</v>
      </c>
      <c r="AI426" s="20" t="s">
        <v>333</v>
      </c>
      <c r="AJ426" s="20"/>
      <c r="AK426" s="20" t="s">
        <v>1717</v>
      </c>
      <c r="AL426" s="20" t="s">
        <v>1245</v>
      </c>
      <c r="AM426" s="20" t="s">
        <v>1717</v>
      </c>
      <c r="AN426" s="20" t="s">
        <v>349</v>
      </c>
      <c r="AO426" s="20"/>
      <c r="AP426" s="20" t="s">
        <v>1556</v>
      </c>
      <c r="AQ426" s="20" t="s">
        <v>1559</v>
      </c>
      <c r="AR426" s="20"/>
      <c r="AS426" s="20"/>
    </row>
    <row r="427">
      <c r="A427" s="20" t="s">
        <v>4242</v>
      </c>
      <c r="B427" s="20" t="s">
        <v>1912</v>
      </c>
      <c r="C427" s="20" t="s">
        <v>1913</v>
      </c>
      <c r="D427" s="20"/>
      <c r="E427" s="20" t="s">
        <v>49</v>
      </c>
      <c r="F427" s="20"/>
      <c r="G427" s="20"/>
      <c r="H427" s="20" t="s">
        <v>123</v>
      </c>
      <c r="I427" s="20" t="s">
        <v>124</v>
      </c>
      <c r="J427" s="20" t="s">
        <v>74</v>
      </c>
      <c r="K427" s="20" t="s">
        <v>55</v>
      </c>
      <c r="L427" s="20" t="s">
        <v>56</v>
      </c>
      <c r="M427" s="20" t="s">
        <v>57</v>
      </c>
      <c r="N427" s="20" t="s">
        <v>333</v>
      </c>
      <c r="O427" s="20" t="s">
        <v>1239</v>
      </c>
      <c r="P427" s="20" t="s">
        <v>1556</v>
      </c>
      <c r="Q427" s="20" t="s">
        <v>59</v>
      </c>
      <c r="R427" s="20" t="s">
        <v>333</v>
      </c>
      <c r="S427" s="20" t="s">
        <v>333</v>
      </c>
      <c r="T427" s="20"/>
      <c r="U427" s="20"/>
      <c r="V427" s="20" t="s">
        <v>344</v>
      </c>
      <c r="W427" s="20" t="s">
        <v>333</v>
      </c>
      <c r="X427" s="20" t="s">
        <v>333</v>
      </c>
      <c r="Y427" s="20" t="s">
        <v>333</v>
      </c>
      <c r="Z427" s="20" t="s">
        <v>333</v>
      </c>
      <c r="AA427" s="20" t="s">
        <v>333</v>
      </c>
      <c r="AB427" s="20" t="s">
        <v>333</v>
      </c>
      <c r="AC427" s="20"/>
      <c r="AD427" s="20" t="s">
        <v>333</v>
      </c>
      <c r="AE427" s="20" t="s">
        <v>333</v>
      </c>
      <c r="AF427" s="20" t="s">
        <v>333</v>
      </c>
      <c r="AG427" s="20" t="s">
        <v>344</v>
      </c>
      <c r="AH427" s="20" t="s">
        <v>344</v>
      </c>
      <c r="AI427" s="20" t="s">
        <v>333</v>
      </c>
      <c r="AJ427" s="20"/>
      <c r="AK427" s="20" t="s">
        <v>1260</v>
      </c>
      <c r="AL427" s="20" t="s">
        <v>1596</v>
      </c>
      <c r="AM427" s="20" t="s">
        <v>1260</v>
      </c>
      <c r="AN427" s="20" t="s">
        <v>349</v>
      </c>
      <c r="AO427" s="20"/>
      <c r="AP427" s="20" t="s">
        <v>1239</v>
      </c>
      <c r="AQ427" s="20" t="s">
        <v>1556</v>
      </c>
      <c r="AR427" s="20"/>
      <c r="AS427" s="20"/>
    </row>
    <row r="428">
      <c r="A428" s="20" t="s">
        <v>4246</v>
      </c>
      <c r="B428" s="20" t="s">
        <v>2955</v>
      </c>
      <c r="C428" s="20" t="s">
        <v>2956</v>
      </c>
      <c r="D428" s="20"/>
      <c r="E428" s="20" t="s">
        <v>49</v>
      </c>
      <c r="F428" s="20"/>
      <c r="G428" s="20"/>
      <c r="H428" s="20" t="s">
        <v>586</v>
      </c>
      <c r="I428" s="20" t="s">
        <v>587</v>
      </c>
      <c r="J428" s="20" t="s">
        <v>74</v>
      </c>
      <c r="K428" s="20" t="s">
        <v>55</v>
      </c>
      <c r="L428" s="20" t="s">
        <v>56</v>
      </c>
      <c r="M428" s="20" t="s">
        <v>57</v>
      </c>
      <c r="N428" s="20" t="s">
        <v>333</v>
      </c>
      <c r="O428" s="20" t="s">
        <v>1571</v>
      </c>
      <c r="P428" s="20" t="s">
        <v>1253</v>
      </c>
      <c r="Q428" s="20" t="s">
        <v>59</v>
      </c>
      <c r="R428" s="20" t="s">
        <v>333</v>
      </c>
      <c r="S428" s="20" t="s">
        <v>333</v>
      </c>
      <c r="T428" s="20"/>
      <c r="U428" s="20"/>
      <c r="V428" s="20" t="s">
        <v>344</v>
      </c>
      <c r="W428" s="20" t="s">
        <v>333</v>
      </c>
      <c r="X428" s="20" t="s">
        <v>333</v>
      </c>
      <c r="Y428" s="20" t="s">
        <v>333</v>
      </c>
      <c r="Z428" s="20" t="s">
        <v>333</v>
      </c>
      <c r="AA428" s="20" t="s">
        <v>333</v>
      </c>
      <c r="AB428" s="20" t="s">
        <v>333</v>
      </c>
      <c r="AC428" s="20"/>
      <c r="AD428" s="20" t="s">
        <v>333</v>
      </c>
      <c r="AE428" s="20" t="s">
        <v>333</v>
      </c>
      <c r="AF428" s="20" t="s">
        <v>333</v>
      </c>
      <c r="AG428" s="20" t="s">
        <v>344</v>
      </c>
      <c r="AH428" s="20" t="s">
        <v>344</v>
      </c>
      <c r="AI428" s="20" t="s">
        <v>333</v>
      </c>
      <c r="AJ428" s="20"/>
      <c r="AK428" s="20" t="s">
        <v>1244</v>
      </c>
      <c r="AL428" s="20" t="s">
        <v>1556</v>
      </c>
      <c r="AM428" s="20" t="s">
        <v>1244</v>
      </c>
      <c r="AN428" s="20" t="s">
        <v>349</v>
      </c>
      <c r="AO428" s="20"/>
      <c r="AP428" s="20" t="s">
        <v>1571</v>
      </c>
      <c r="AQ428" s="20" t="s">
        <v>1253</v>
      </c>
      <c r="AR428" s="20"/>
      <c r="AS428" s="20"/>
    </row>
    <row r="429">
      <c r="A429" s="20" t="s">
        <v>4249</v>
      </c>
      <c r="B429" s="20" t="s">
        <v>2334</v>
      </c>
      <c r="C429" s="20" t="s">
        <v>2335</v>
      </c>
      <c r="D429" s="20"/>
      <c r="E429" s="20" t="s">
        <v>49</v>
      </c>
      <c r="F429" s="20"/>
      <c r="G429" s="20"/>
      <c r="H429" s="20" t="s">
        <v>123</v>
      </c>
      <c r="I429" s="20" t="s">
        <v>124</v>
      </c>
      <c r="J429" s="20" t="s">
        <v>74</v>
      </c>
      <c r="K429" s="20" t="s">
        <v>55</v>
      </c>
      <c r="L429" s="20" t="s">
        <v>56</v>
      </c>
      <c r="M429" s="20" t="s">
        <v>57</v>
      </c>
      <c r="N429" s="20" t="s">
        <v>333</v>
      </c>
      <c r="O429" s="20" t="s">
        <v>1239</v>
      </c>
      <c r="P429" s="20" t="s">
        <v>1720</v>
      </c>
      <c r="Q429" s="20" t="s">
        <v>59</v>
      </c>
      <c r="R429" s="20" t="s">
        <v>333</v>
      </c>
      <c r="S429" s="20" t="s">
        <v>333</v>
      </c>
      <c r="T429" s="20"/>
      <c r="U429" s="20"/>
      <c r="V429" s="20" t="s">
        <v>344</v>
      </c>
      <c r="W429" s="20" t="s">
        <v>333</v>
      </c>
      <c r="X429" s="20" t="s">
        <v>333</v>
      </c>
      <c r="Y429" s="20" t="s">
        <v>333</v>
      </c>
      <c r="Z429" s="20" t="s">
        <v>333</v>
      </c>
      <c r="AA429" s="20" t="s">
        <v>333</v>
      </c>
      <c r="AB429" s="20" t="s">
        <v>333</v>
      </c>
      <c r="AC429" s="20"/>
      <c r="AD429" s="20" t="s">
        <v>333</v>
      </c>
      <c r="AE429" s="20" t="s">
        <v>333</v>
      </c>
      <c r="AF429" s="20" t="s">
        <v>333</v>
      </c>
      <c r="AG429" s="20" t="s">
        <v>344</v>
      </c>
      <c r="AH429" s="20" t="s">
        <v>344</v>
      </c>
      <c r="AI429" s="20" t="s">
        <v>333</v>
      </c>
      <c r="AJ429" s="20"/>
      <c r="AK429" s="20" t="s">
        <v>1581</v>
      </c>
      <c r="AL429" s="20" t="s">
        <v>1269</v>
      </c>
      <c r="AM429" s="20" t="s">
        <v>1581</v>
      </c>
      <c r="AN429" s="20" t="s">
        <v>349</v>
      </c>
      <c r="AO429" s="20"/>
      <c r="AP429" s="20" t="s">
        <v>1239</v>
      </c>
      <c r="AQ429" s="20" t="s">
        <v>1720</v>
      </c>
      <c r="AR429" s="20"/>
      <c r="AS429" s="20"/>
    </row>
    <row r="430">
      <c r="A430" s="20" t="s">
        <v>4250</v>
      </c>
      <c r="B430" s="20" t="s">
        <v>3606</v>
      </c>
      <c r="C430" s="20" t="s">
        <v>3607</v>
      </c>
      <c r="D430" s="20"/>
      <c r="E430" s="20" t="s">
        <v>49</v>
      </c>
      <c r="F430" s="20"/>
      <c r="G430" s="20"/>
      <c r="H430" s="20" t="s">
        <v>2150</v>
      </c>
      <c r="I430" s="20" t="s">
        <v>2151</v>
      </c>
      <c r="J430" s="20" t="s">
        <v>74</v>
      </c>
      <c r="K430" s="20" t="s">
        <v>55</v>
      </c>
      <c r="L430" s="20" t="s">
        <v>56</v>
      </c>
      <c r="M430" s="20" t="s">
        <v>57</v>
      </c>
      <c r="N430" s="20" t="s">
        <v>333</v>
      </c>
      <c r="O430" s="20" t="s">
        <v>1559</v>
      </c>
      <c r="P430" s="20" t="s">
        <v>1920</v>
      </c>
      <c r="Q430" s="20" t="s">
        <v>59</v>
      </c>
      <c r="R430" s="20" t="s">
        <v>333</v>
      </c>
      <c r="S430" s="20" t="s">
        <v>333</v>
      </c>
      <c r="T430" s="20"/>
      <c r="U430" s="20"/>
      <c r="V430" s="20" t="s">
        <v>344</v>
      </c>
      <c r="W430" s="20" t="s">
        <v>333</v>
      </c>
      <c r="X430" s="20" t="s">
        <v>333</v>
      </c>
      <c r="Y430" s="20" t="s">
        <v>333</v>
      </c>
      <c r="Z430" s="20" t="s">
        <v>333</v>
      </c>
      <c r="AA430" s="20" t="s">
        <v>333</v>
      </c>
      <c r="AB430" s="20" t="s">
        <v>333</v>
      </c>
      <c r="AC430" s="20"/>
      <c r="AD430" s="20" t="s">
        <v>333</v>
      </c>
      <c r="AE430" s="20" t="s">
        <v>333</v>
      </c>
      <c r="AF430" s="20" t="s">
        <v>333</v>
      </c>
      <c r="AG430" s="20" t="s">
        <v>344</v>
      </c>
      <c r="AH430" s="20" t="s">
        <v>344</v>
      </c>
      <c r="AI430" s="20" t="s">
        <v>333</v>
      </c>
      <c r="AJ430" s="20"/>
      <c r="AK430" s="20" t="s">
        <v>347</v>
      </c>
      <c r="AL430" s="20" t="s">
        <v>2019</v>
      </c>
      <c r="AM430" s="20" t="s">
        <v>347</v>
      </c>
      <c r="AN430" s="20" t="s">
        <v>349</v>
      </c>
      <c r="AO430" s="20"/>
      <c r="AP430" s="20" t="s">
        <v>1559</v>
      </c>
      <c r="AQ430" s="20" t="s">
        <v>1920</v>
      </c>
      <c r="AR430" s="20"/>
      <c r="AS430" s="20"/>
    </row>
    <row r="431">
      <c r="A431" s="20" t="s">
        <v>4253</v>
      </c>
      <c r="B431" s="20" t="s">
        <v>3554</v>
      </c>
      <c r="C431" s="20" t="s">
        <v>3555</v>
      </c>
      <c r="D431" s="20"/>
      <c r="E431" s="20" t="s">
        <v>49</v>
      </c>
      <c r="F431" s="20"/>
      <c r="G431" s="20"/>
      <c r="H431" s="20" t="s">
        <v>3560</v>
      </c>
      <c r="I431" s="20" t="s">
        <v>3561</v>
      </c>
      <c r="J431" s="20" t="s">
        <v>74</v>
      </c>
      <c r="K431" s="20" t="s">
        <v>55</v>
      </c>
      <c r="L431" s="20" t="s">
        <v>56</v>
      </c>
      <c r="M431" s="20" t="s">
        <v>57</v>
      </c>
      <c r="N431" s="20" t="s">
        <v>333</v>
      </c>
      <c r="O431" s="20" t="s">
        <v>1695</v>
      </c>
      <c r="P431" s="20" t="s">
        <v>1591</v>
      </c>
      <c r="Q431" s="20" t="s">
        <v>59</v>
      </c>
      <c r="R431" s="20" t="s">
        <v>333</v>
      </c>
      <c r="S431" s="20" t="s">
        <v>333</v>
      </c>
      <c r="T431" s="20"/>
      <c r="U431" s="20"/>
      <c r="V431" s="20" t="s">
        <v>344</v>
      </c>
      <c r="W431" s="20" t="s">
        <v>333</v>
      </c>
      <c r="X431" s="20" t="s">
        <v>333</v>
      </c>
      <c r="Y431" s="20" t="s">
        <v>333</v>
      </c>
      <c r="Z431" s="20" t="s">
        <v>333</v>
      </c>
      <c r="AA431" s="20" t="s">
        <v>333</v>
      </c>
      <c r="AB431" s="20" t="s">
        <v>333</v>
      </c>
      <c r="AC431" s="20"/>
      <c r="AD431" s="20" t="s">
        <v>333</v>
      </c>
      <c r="AE431" s="20" t="s">
        <v>333</v>
      </c>
      <c r="AF431" s="20" t="s">
        <v>333</v>
      </c>
      <c r="AG431" s="20" t="s">
        <v>344</v>
      </c>
      <c r="AH431" s="20" t="s">
        <v>344</v>
      </c>
      <c r="AI431" s="20" t="s">
        <v>333</v>
      </c>
      <c r="AJ431" s="20"/>
      <c r="AK431" s="20" t="s">
        <v>1244</v>
      </c>
      <c r="AL431" s="20" t="s">
        <v>1261</v>
      </c>
      <c r="AM431" s="20" t="s">
        <v>1244</v>
      </c>
      <c r="AN431" s="20" t="s">
        <v>349</v>
      </c>
      <c r="AO431" s="20"/>
      <c r="AP431" s="20" t="s">
        <v>1695</v>
      </c>
      <c r="AQ431" s="20" t="s">
        <v>1591</v>
      </c>
      <c r="AR431" s="20"/>
      <c r="AS431" s="20"/>
    </row>
    <row r="432">
      <c r="A432" s="20" t="s">
        <v>4258</v>
      </c>
      <c r="B432" s="20" t="s">
        <v>4259</v>
      </c>
      <c r="C432" s="20" t="s">
        <v>4260</v>
      </c>
      <c r="D432" s="20"/>
      <c r="E432" s="20" t="s">
        <v>49</v>
      </c>
      <c r="F432" s="20"/>
      <c r="G432" s="20"/>
      <c r="H432" s="20" t="s">
        <v>303</v>
      </c>
      <c r="I432" s="20" t="s">
        <v>303</v>
      </c>
      <c r="J432" s="20" t="s">
        <v>74</v>
      </c>
      <c r="K432" s="20" t="s">
        <v>55</v>
      </c>
      <c r="L432" s="20" t="s">
        <v>56</v>
      </c>
      <c r="M432" s="20" t="s">
        <v>57</v>
      </c>
      <c r="N432" s="20" t="s">
        <v>333</v>
      </c>
      <c r="O432" s="20" t="s">
        <v>1559</v>
      </c>
      <c r="P432" s="20" t="s">
        <v>1586</v>
      </c>
      <c r="Q432" s="20" t="s">
        <v>59</v>
      </c>
      <c r="R432" s="20" t="s">
        <v>333</v>
      </c>
      <c r="S432" s="20" t="s">
        <v>333</v>
      </c>
      <c r="T432" s="20"/>
      <c r="U432" s="20"/>
      <c r="V432" s="20" t="s">
        <v>344</v>
      </c>
      <c r="W432" s="20" t="s">
        <v>333</v>
      </c>
      <c r="X432" s="20" t="s">
        <v>333</v>
      </c>
      <c r="Y432" s="20" t="s">
        <v>333</v>
      </c>
      <c r="Z432" s="20" t="s">
        <v>333</v>
      </c>
      <c r="AA432" s="20" t="s">
        <v>333</v>
      </c>
      <c r="AB432" s="20" t="s">
        <v>333</v>
      </c>
      <c r="AC432" s="20"/>
      <c r="AD432" s="20" t="s">
        <v>333</v>
      </c>
      <c r="AE432" s="20" t="s">
        <v>333</v>
      </c>
      <c r="AF432" s="20" t="s">
        <v>333</v>
      </c>
      <c r="AG432" s="20" t="s">
        <v>344</v>
      </c>
      <c r="AH432" s="20" t="s">
        <v>344</v>
      </c>
      <c r="AI432" s="20" t="s">
        <v>333</v>
      </c>
      <c r="AJ432" s="20"/>
      <c r="AK432" s="20" t="s">
        <v>347</v>
      </c>
      <c r="AL432" s="20" t="s">
        <v>2889</v>
      </c>
      <c r="AM432" s="20" t="s">
        <v>347</v>
      </c>
      <c r="AN432" s="20" t="s">
        <v>349</v>
      </c>
      <c r="AO432" s="20"/>
      <c r="AP432" s="20" t="s">
        <v>1559</v>
      </c>
      <c r="AQ432" s="20" t="s">
        <v>1586</v>
      </c>
      <c r="AR432" s="20"/>
      <c r="AS432" s="20"/>
    </row>
    <row r="433">
      <c r="A433" s="20" t="s">
        <v>3660</v>
      </c>
      <c r="B433" s="20" t="s">
        <v>4262</v>
      </c>
      <c r="C433" s="20" t="s">
        <v>4263</v>
      </c>
      <c r="D433" s="20"/>
      <c r="E433" s="20" t="s">
        <v>49</v>
      </c>
      <c r="F433" s="20"/>
      <c r="G433" s="20"/>
      <c r="H433" s="20" t="s">
        <v>142</v>
      </c>
      <c r="I433" s="20" t="s">
        <v>144</v>
      </c>
      <c r="J433" s="20" t="s">
        <v>74</v>
      </c>
      <c r="K433" s="20" t="s">
        <v>55</v>
      </c>
      <c r="L433" s="20" t="s">
        <v>56</v>
      </c>
      <c r="M433" s="20" t="s">
        <v>57</v>
      </c>
      <c r="N433" s="20" t="s">
        <v>333</v>
      </c>
      <c r="O433" s="20"/>
      <c r="P433" s="20"/>
      <c r="Q433" s="20" t="s">
        <v>59</v>
      </c>
      <c r="R433" s="20" t="s">
        <v>333</v>
      </c>
      <c r="S433" s="20" t="s">
        <v>333</v>
      </c>
      <c r="T433" s="20"/>
      <c r="U433" s="20"/>
      <c r="V433" s="20" t="s">
        <v>344</v>
      </c>
      <c r="W433" s="20" t="s">
        <v>333</v>
      </c>
      <c r="X433" s="20" t="s">
        <v>333</v>
      </c>
      <c r="Y433" s="20" t="s">
        <v>333</v>
      </c>
      <c r="Z433" s="20" t="s">
        <v>333</v>
      </c>
      <c r="AA433" s="20" t="s">
        <v>333</v>
      </c>
      <c r="AB433" s="20" t="s">
        <v>333</v>
      </c>
      <c r="AC433" s="20"/>
      <c r="AD433" s="20" t="s">
        <v>333</v>
      </c>
      <c r="AE433" s="20" t="s">
        <v>333</v>
      </c>
      <c r="AF433" s="20" t="s">
        <v>333</v>
      </c>
      <c r="AG433" s="20" t="s">
        <v>344</v>
      </c>
      <c r="AH433" s="20" t="s">
        <v>344</v>
      </c>
      <c r="AI433" s="20" t="s">
        <v>333</v>
      </c>
      <c r="AJ433" s="20"/>
      <c r="AK433" s="20" t="s">
        <v>349</v>
      </c>
      <c r="AL433" s="20" t="s">
        <v>349</v>
      </c>
      <c r="AM433" s="20" t="s">
        <v>349</v>
      </c>
      <c r="AN433" s="20" t="s">
        <v>349</v>
      </c>
      <c r="AO433" s="20"/>
      <c r="AP433" s="20" t="s">
        <v>349</v>
      </c>
      <c r="AQ433" s="20" t="s">
        <v>349</v>
      </c>
      <c r="AR433" s="20"/>
      <c r="AS433" s="20"/>
    </row>
    <row r="434">
      <c r="A434" s="20" t="s">
        <v>4266</v>
      </c>
      <c r="B434" s="20" t="s">
        <v>3818</v>
      </c>
      <c r="C434" s="20" t="s">
        <v>3819</v>
      </c>
      <c r="D434" s="20"/>
      <c r="E434" s="20" t="s">
        <v>49</v>
      </c>
      <c r="F434" s="20"/>
      <c r="G434" s="20"/>
      <c r="H434" s="20" t="s">
        <v>860</v>
      </c>
      <c r="I434" s="20" t="s">
        <v>861</v>
      </c>
      <c r="J434" s="20" t="s">
        <v>74</v>
      </c>
      <c r="K434" s="20" t="s">
        <v>55</v>
      </c>
      <c r="L434" s="20" t="s">
        <v>56</v>
      </c>
      <c r="M434" s="20" t="s">
        <v>57</v>
      </c>
      <c r="N434" s="20" t="s">
        <v>333</v>
      </c>
      <c r="O434" s="20" t="s">
        <v>1559</v>
      </c>
      <c r="P434" s="20" t="s">
        <v>2005</v>
      </c>
      <c r="Q434" s="20" t="s">
        <v>59</v>
      </c>
      <c r="R434" s="20" t="s">
        <v>333</v>
      </c>
      <c r="S434" s="20" t="s">
        <v>333</v>
      </c>
      <c r="T434" s="20"/>
      <c r="U434" s="20"/>
      <c r="V434" s="20" t="s">
        <v>344</v>
      </c>
      <c r="W434" s="20" t="s">
        <v>333</v>
      </c>
      <c r="X434" s="20" t="s">
        <v>333</v>
      </c>
      <c r="Y434" s="20" t="s">
        <v>333</v>
      </c>
      <c r="Z434" s="20" t="s">
        <v>333</v>
      </c>
      <c r="AA434" s="20" t="s">
        <v>333</v>
      </c>
      <c r="AB434" s="20" t="s">
        <v>333</v>
      </c>
      <c r="AC434" s="20"/>
      <c r="AD434" s="20" t="s">
        <v>333</v>
      </c>
      <c r="AE434" s="20" t="s">
        <v>333</v>
      </c>
      <c r="AF434" s="20" t="s">
        <v>333</v>
      </c>
      <c r="AG434" s="20" t="s">
        <v>344</v>
      </c>
      <c r="AH434" s="20" t="s">
        <v>344</v>
      </c>
      <c r="AI434" s="20" t="s">
        <v>333</v>
      </c>
      <c r="AJ434" s="20"/>
      <c r="AK434" s="20" t="s">
        <v>1244</v>
      </c>
      <c r="AL434" s="20" t="s">
        <v>1556</v>
      </c>
      <c r="AM434" s="20" t="s">
        <v>1244</v>
      </c>
      <c r="AN434" s="20" t="s">
        <v>349</v>
      </c>
      <c r="AO434" s="20"/>
      <c r="AP434" s="20" t="s">
        <v>1559</v>
      </c>
      <c r="AQ434" s="20" t="s">
        <v>2005</v>
      </c>
      <c r="AR434" s="20"/>
      <c r="AS434" s="20"/>
    </row>
    <row r="435">
      <c r="A435" s="20" t="s">
        <v>4268</v>
      </c>
      <c r="B435" s="20" t="s">
        <v>2125</v>
      </c>
      <c r="C435" s="20" t="s">
        <v>2126</v>
      </c>
      <c r="D435" s="20"/>
      <c r="E435" s="20" t="s">
        <v>49</v>
      </c>
      <c r="F435" s="20"/>
      <c r="G435" s="20" t="s">
        <v>4269</v>
      </c>
      <c r="H435" s="20" t="s">
        <v>727</v>
      </c>
      <c r="I435" s="20" t="s">
        <v>729</v>
      </c>
      <c r="J435" s="20" t="s">
        <v>74</v>
      </c>
      <c r="K435" s="20" t="s">
        <v>55</v>
      </c>
      <c r="L435" s="20" t="s">
        <v>56</v>
      </c>
      <c r="M435" s="20" t="s">
        <v>57</v>
      </c>
      <c r="N435" s="20" t="s">
        <v>333</v>
      </c>
      <c r="O435" s="20" t="s">
        <v>1596</v>
      </c>
      <c r="P435" s="20" t="s">
        <v>1695</v>
      </c>
      <c r="Q435" s="20" t="s">
        <v>59</v>
      </c>
      <c r="R435" s="20" t="s">
        <v>333</v>
      </c>
      <c r="S435" s="20" t="s">
        <v>333</v>
      </c>
      <c r="T435" s="20"/>
      <c r="U435" s="20"/>
      <c r="V435" s="20" t="s">
        <v>344</v>
      </c>
      <c r="W435" s="20" t="s">
        <v>333</v>
      </c>
      <c r="X435" s="20" t="s">
        <v>333</v>
      </c>
      <c r="Y435" s="20" t="s">
        <v>333</v>
      </c>
      <c r="Z435" s="20" t="s">
        <v>333</v>
      </c>
      <c r="AA435" s="20" t="s">
        <v>333</v>
      </c>
      <c r="AB435" s="20" t="s">
        <v>333</v>
      </c>
      <c r="AC435" s="20"/>
      <c r="AD435" s="20" t="s">
        <v>333</v>
      </c>
      <c r="AE435" s="20" t="s">
        <v>333</v>
      </c>
      <c r="AF435" s="20" t="s">
        <v>333</v>
      </c>
      <c r="AG435" s="20" t="s">
        <v>344</v>
      </c>
      <c r="AH435" s="20" t="s">
        <v>344</v>
      </c>
      <c r="AI435" s="20" t="s">
        <v>333</v>
      </c>
      <c r="AJ435" s="20"/>
      <c r="AK435" s="20" t="s">
        <v>1274</v>
      </c>
      <c r="AL435" s="20" t="s">
        <v>1586</v>
      </c>
      <c r="AM435" s="20" t="s">
        <v>1274</v>
      </c>
      <c r="AN435" s="20" t="s">
        <v>349</v>
      </c>
      <c r="AO435" s="20"/>
      <c r="AP435" s="20" t="s">
        <v>1596</v>
      </c>
      <c r="AQ435" s="20" t="s">
        <v>1695</v>
      </c>
      <c r="AR435" s="20"/>
      <c r="AS435" s="20"/>
    </row>
    <row r="436">
      <c r="A436" s="20" t="s">
        <v>4273</v>
      </c>
      <c r="B436" s="20" t="s">
        <v>3656</v>
      </c>
      <c r="C436" s="20" t="s">
        <v>3657</v>
      </c>
      <c r="D436" s="20"/>
      <c r="E436" s="20" t="s">
        <v>49</v>
      </c>
      <c r="F436" s="20"/>
      <c r="G436" s="20"/>
      <c r="H436" s="20" t="s">
        <v>361</v>
      </c>
      <c r="I436" s="20" t="s">
        <v>362</v>
      </c>
      <c r="J436" s="20" t="s">
        <v>74</v>
      </c>
      <c r="K436" s="20" t="s">
        <v>55</v>
      </c>
      <c r="L436" s="20" t="s">
        <v>56</v>
      </c>
      <c r="M436" s="20" t="s">
        <v>57</v>
      </c>
      <c r="N436" s="20" t="s">
        <v>333</v>
      </c>
      <c r="O436" s="20" t="s">
        <v>1695</v>
      </c>
      <c r="P436" s="20" t="s">
        <v>1556</v>
      </c>
      <c r="Q436" s="20" t="s">
        <v>59</v>
      </c>
      <c r="R436" s="20" t="s">
        <v>333</v>
      </c>
      <c r="S436" s="20" t="s">
        <v>333</v>
      </c>
      <c r="T436" s="20"/>
      <c r="U436" s="20"/>
      <c r="V436" s="20" t="s">
        <v>344</v>
      </c>
      <c r="W436" s="20" t="s">
        <v>333</v>
      </c>
      <c r="X436" s="20" t="s">
        <v>333</v>
      </c>
      <c r="Y436" s="20" t="s">
        <v>333</v>
      </c>
      <c r="Z436" s="20" t="s">
        <v>333</v>
      </c>
      <c r="AA436" s="20" t="s">
        <v>333</v>
      </c>
      <c r="AB436" s="20" t="s">
        <v>333</v>
      </c>
      <c r="AC436" s="20"/>
      <c r="AD436" s="20" t="s">
        <v>333</v>
      </c>
      <c r="AE436" s="20" t="s">
        <v>333</v>
      </c>
      <c r="AF436" s="20" t="s">
        <v>333</v>
      </c>
      <c r="AG436" s="20" t="s">
        <v>344</v>
      </c>
      <c r="AH436" s="20" t="s">
        <v>344</v>
      </c>
      <c r="AI436" s="20" t="s">
        <v>333</v>
      </c>
      <c r="AJ436" s="20"/>
      <c r="AK436" s="20" t="s">
        <v>347</v>
      </c>
      <c r="AL436" s="20" t="s">
        <v>348</v>
      </c>
      <c r="AM436" s="20" t="s">
        <v>347</v>
      </c>
      <c r="AN436" s="20" t="s">
        <v>349</v>
      </c>
      <c r="AO436" s="20"/>
      <c r="AP436" s="20" t="s">
        <v>1695</v>
      </c>
      <c r="AQ436" s="20" t="s">
        <v>1556</v>
      </c>
      <c r="AR436" s="20"/>
      <c r="AS436" s="20"/>
    </row>
    <row r="437">
      <c r="A437" s="20" t="s">
        <v>4197</v>
      </c>
      <c r="B437" s="20" t="s">
        <v>2147</v>
      </c>
      <c r="C437" s="20" t="s">
        <v>2148</v>
      </c>
      <c r="D437" s="20"/>
      <c r="E437" s="20" t="s">
        <v>49</v>
      </c>
      <c r="F437" s="20"/>
      <c r="G437" s="20"/>
      <c r="H437" s="20" t="s">
        <v>2150</v>
      </c>
      <c r="I437" s="20" t="s">
        <v>2151</v>
      </c>
      <c r="J437" s="20" t="s">
        <v>74</v>
      </c>
      <c r="K437" s="20" t="s">
        <v>55</v>
      </c>
      <c r="L437" s="20" t="s">
        <v>56</v>
      </c>
      <c r="M437" s="20" t="s">
        <v>57</v>
      </c>
      <c r="N437" s="20" t="s">
        <v>333</v>
      </c>
      <c r="O437" s="20" t="s">
        <v>1902</v>
      </c>
      <c r="P437" s="20" t="s">
        <v>1245</v>
      </c>
      <c r="Q437" s="20" t="s">
        <v>59</v>
      </c>
      <c r="R437" s="20" t="s">
        <v>333</v>
      </c>
      <c r="S437" s="20" t="s">
        <v>333</v>
      </c>
      <c r="T437" s="20"/>
      <c r="U437" s="20"/>
      <c r="V437" s="20" t="s">
        <v>344</v>
      </c>
      <c r="W437" s="20" t="s">
        <v>333</v>
      </c>
      <c r="X437" s="20" t="s">
        <v>333</v>
      </c>
      <c r="Y437" s="20" t="s">
        <v>333</v>
      </c>
      <c r="Z437" s="20" t="s">
        <v>333</v>
      </c>
      <c r="AA437" s="20" t="s">
        <v>333</v>
      </c>
      <c r="AB437" s="20" t="s">
        <v>333</v>
      </c>
      <c r="AC437" s="20"/>
      <c r="AD437" s="20" t="s">
        <v>333</v>
      </c>
      <c r="AE437" s="20" t="s">
        <v>333</v>
      </c>
      <c r="AF437" s="20" t="s">
        <v>333</v>
      </c>
      <c r="AG437" s="20" t="s">
        <v>344</v>
      </c>
      <c r="AH437" s="20" t="s">
        <v>344</v>
      </c>
      <c r="AI437" s="20" t="s">
        <v>333</v>
      </c>
      <c r="AJ437" s="20"/>
      <c r="AK437" s="20" t="s">
        <v>1717</v>
      </c>
      <c r="AL437" s="20" t="s">
        <v>1245</v>
      </c>
      <c r="AM437" s="20" t="s">
        <v>1717</v>
      </c>
      <c r="AN437" s="20" t="s">
        <v>349</v>
      </c>
      <c r="AO437" s="20"/>
      <c r="AP437" s="20" t="s">
        <v>1902</v>
      </c>
      <c r="AQ437" s="20" t="s">
        <v>1245</v>
      </c>
      <c r="AR437" s="20"/>
      <c r="AS437" s="20"/>
    </row>
    <row r="438">
      <c r="A438" s="20" t="s">
        <v>4278</v>
      </c>
      <c r="B438" s="20" t="s">
        <v>2205</v>
      </c>
      <c r="C438" s="20" t="s">
        <v>2206</v>
      </c>
      <c r="D438" s="20" t="s">
        <v>2207</v>
      </c>
      <c r="E438" s="20" t="s">
        <v>49</v>
      </c>
      <c r="F438" s="20"/>
      <c r="G438" s="20"/>
      <c r="H438" s="20" t="s">
        <v>303</v>
      </c>
      <c r="I438" s="20" t="s">
        <v>303</v>
      </c>
      <c r="J438" s="20" t="s">
        <v>74</v>
      </c>
      <c r="K438" s="20" t="s">
        <v>55</v>
      </c>
      <c r="L438" s="20" t="s">
        <v>56</v>
      </c>
      <c r="M438" s="20" t="s">
        <v>57</v>
      </c>
      <c r="N438" s="20" t="s">
        <v>333</v>
      </c>
      <c r="O438" s="20" t="s">
        <v>2005</v>
      </c>
      <c r="P438" s="20" t="s">
        <v>1941</v>
      </c>
      <c r="Q438" s="20" t="s">
        <v>59</v>
      </c>
      <c r="R438" s="20" t="s">
        <v>333</v>
      </c>
      <c r="S438" s="20" t="s">
        <v>333</v>
      </c>
      <c r="T438" s="20" t="s">
        <v>4280</v>
      </c>
      <c r="U438" s="20"/>
      <c r="V438" s="20" t="s">
        <v>344</v>
      </c>
      <c r="W438" s="20" t="s">
        <v>333</v>
      </c>
      <c r="X438" s="20" t="s">
        <v>333</v>
      </c>
      <c r="Y438" s="20" t="s">
        <v>333</v>
      </c>
      <c r="Z438" s="20" t="s">
        <v>333</v>
      </c>
      <c r="AA438" s="20" t="s">
        <v>333</v>
      </c>
      <c r="AB438" s="20" t="s">
        <v>333</v>
      </c>
      <c r="AC438" s="20"/>
      <c r="AD438" s="20" t="s">
        <v>333</v>
      </c>
      <c r="AE438" s="20" t="s">
        <v>333</v>
      </c>
      <c r="AF438" s="20" t="s">
        <v>333</v>
      </c>
      <c r="AG438" s="20" t="s">
        <v>344</v>
      </c>
      <c r="AH438" s="20" t="s">
        <v>344</v>
      </c>
      <c r="AI438" s="20" t="s">
        <v>333</v>
      </c>
      <c r="AJ438" s="20"/>
      <c r="AK438" s="20" t="s">
        <v>1595</v>
      </c>
      <c r="AL438" s="20" t="s">
        <v>1736</v>
      </c>
      <c r="AM438" s="20" t="s">
        <v>1595</v>
      </c>
      <c r="AN438" s="20" t="s">
        <v>349</v>
      </c>
      <c r="AO438" s="20"/>
      <c r="AP438" s="20" t="s">
        <v>2005</v>
      </c>
      <c r="AQ438" s="20" t="s">
        <v>1941</v>
      </c>
      <c r="AR438" s="20"/>
      <c r="AS438" s="20"/>
    </row>
    <row r="439">
      <c r="A439" s="20" t="s">
        <v>4282</v>
      </c>
      <c r="B439" s="20" t="s">
        <v>700</v>
      </c>
      <c r="C439" s="20" t="s">
        <v>701</v>
      </c>
      <c r="D439" s="20"/>
      <c r="E439" s="20" t="s">
        <v>49</v>
      </c>
      <c r="F439" s="20"/>
      <c r="G439" s="20"/>
      <c r="H439" s="20" t="s">
        <v>147</v>
      </c>
      <c r="I439" s="20" t="s">
        <v>148</v>
      </c>
      <c r="J439" s="20" t="s">
        <v>148</v>
      </c>
      <c r="K439" s="20" t="s">
        <v>55</v>
      </c>
      <c r="L439" s="20" t="s">
        <v>56</v>
      </c>
      <c r="M439" s="20" t="s">
        <v>57</v>
      </c>
      <c r="N439" s="20" t="s">
        <v>333</v>
      </c>
      <c r="O439" s="20" t="s">
        <v>1556</v>
      </c>
      <c r="P439" s="20" t="s">
        <v>1586</v>
      </c>
      <c r="Q439" s="20" t="s">
        <v>59</v>
      </c>
      <c r="R439" s="20" t="s">
        <v>333</v>
      </c>
      <c r="S439" s="20" t="s">
        <v>333</v>
      </c>
      <c r="T439" s="20"/>
      <c r="U439" s="20"/>
      <c r="V439" s="20" t="s">
        <v>344</v>
      </c>
      <c r="W439" s="20" t="s">
        <v>333</v>
      </c>
      <c r="X439" s="20" t="s">
        <v>333</v>
      </c>
      <c r="Y439" s="20" t="s">
        <v>333</v>
      </c>
      <c r="Z439" s="20" t="s">
        <v>333</v>
      </c>
      <c r="AA439" s="20" t="s">
        <v>333</v>
      </c>
      <c r="AB439" s="20" t="s">
        <v>333</v>
      </c>
      <c r="AC439" s="20"/>
      <c r="AD439" s="20" t="s">
        <v>333</v>
      </c>
      <c r="AE439" s="20" t="s">
        <v>333</v>
      </c>
      <c r="AF439" s="20" t="s">
        <v>333</v>
      </c>
      <c r="AG439" s="20" t="s">
        <v>344</v>
      </c>
      <c r="AH439" s="20" t="s">
        <v>344</v>
      </c>
      <c r="AI439" s="20" t="s">
        <v>333</v>
      </c>
      <c r="AJ439" s="20"/>
      <c r="AK439" s="20" t="s">
        <v>1244</v>
      </c>
      <c r="AL439" s="20" t="s">
        <v>1556</v>
      </c>
      <c r="AM439" s="20" t="s">
        <v>1244</v>
      </c>
      <c r="AN439" s="20" t="s">
        <v>349</v>
      </c>
      <c r="AO439" s="20"/>
      <c r="AP439" s="20" t="s">
        <v>1556</v>
      </c>
      <c r="AQ439" s="20" t="s">
        <v>1586</v>
      </c>
      <c r="AR439" s="20"/>
      <c r="AS439" s="20"/>
    </row>
    <row r="440">
      <c r="A440" s="20" t="s">
        <v>4285</v>
      </c>
      <c r="B440" s="20" t="s">
        <v>3669</v>
      </c>
      <c r="C440" s="20" t="s">
        <v>3670</v>
      </c>
      <c r="D440" s="20"/>
      <c r="E440" s="20" t="s">
        <v>49</v>
      </c>
      <c r="F440" s="20"/>
      <c r="G440" s="20"/>
      <c r="H440" s="20" t="s">
        <v>860</v>
      </c>
      <c r="I440" s="20" t="s">
        <v>861</v>
      </c>
      <c r="J440" s="20" t="s">
        <v>74</v>
      </c>
      <c r="K440" s="20" t="s">
        <v>55</v>
      </c>
      <c r="L440" s="20" t="s">
        <v>56</v>
      </c>
      <c r="M440" s="20" t="s">
        <v>57</v>
      </c>
      <c r="N440" s="20" t="s">
        <v>333</v>
      </c>
      <c r="O440" s="20" t="s">
        <v>1695</v>
      </c>
      <c r="P440" s="20" t="s">
        <v>1256</v>
      </c>
      <c r="Q440" s="20" t="s">
        <v>59</v>
      </c>
      <c r="R440" s="20" t="s">
        <v>333</v>
      </c>
      <c r="S440" s="20" t="s">
        <v>333</v>
      </c>
      <c r="T440" s="20"/>
      <c r="U440" s="20"/>
      <c r="V440" s="20" t="s">
        <v>344</v>
      </c>
      <c r="W440" s="20" t="s">
        <v>333</v>
      </c>
      <c r="X440" s="20" t="s">
        <v>333</v>
      </c>
      <c r="Y440" s="20" t="s">
        <v>333</v>
      </c>
      <c r="Z440" s="20" t="s">
        <v>333</v>
      </c>
      <c r="AA440" s="20" t="s">
        <v>333</v>
      </c>
      <c r="AB440" s="20" t="s">
        <v>333</v>
      </c>
      <c r="AC440" s="20"/>
      <c r="AD440" s="20" t="s">
        <v>333</v>
      </c>
      <c r="AE440" s="20" t="s">
        <v>333</v>
      </c>
      <c r="AF440" s="20" t="s">
        <v>333</v>
      </c>
      <c r="AG440" s="20" t="s">
        <v>344</v>
      </c>
      <c r="AH440" s="20" t="s">
        <v>344</v>
      </c>
      <c r="AI440" s="20" t="s">
        <v>333</v>
      </c>
      <c r="AJ440" s="20"/>
      <c r="AK440" s="20" t="s">
        <v>2094</v>
      </c>
      <c r="AL440" s="20" t="s">
        <v>1556</v>
      </c>
      <c r="AM440" s="20" t="s">
        <v>2094</v>
      </c>
      <c r="AN440" s="20" t="s">
        <v>349</v>
      </c>
      <c r="AO440" s="20"/>
      <c r="AP440" s="20" t="s">
        <v>1695</v>
      </c>
      <c r="AQ440" s="20" t="s">
        <v>1256</v>
      </c>
      <c r="AR440" s="20"/>
      <c r="AS440" s="20"/>
    </row>
    <row r="441">
      <c r="A441" s="20" t="s">
        <v>3142</v>
      </c>
      <c r="B441" s="20" t="s">
        <v>1984</v>
      </c>
      <c r="C441" s="20" t="s">
        <v>1985</v>
      </c>
      <c r="D441" s="20"/>
      <c r="E441" s="20" t="s">
        <v>49</v>
      </c>
      <c r="F441" s="20"/>
      <c r="G441" s="20"/>
      <c r="H441" s="20" t="s">
        <v>123</v>
      </c>
      <c r="I441" s="20" t="s">
        <v>124</v>
      </c>
      <c r="J441" s="20" t="s">
        <v>74</v>
      </c>
      <c r="K441" s="20" t="s">
        <v>55</v>
      </c>
      <c r="L441" s="20" t="s">
        <v>56</v>
      </c>
      <c r="M441" s="20" t="s">
        <v>57</v>
      </c>
      <c r="N441" s="20" t="s">
        <v>333</v>
      </c>
      <c r="O441" s="20" t="s">
        <v>1239</v>
      </c>
      <c r="P441" s="20" t="s">
        <v>1556</v>
      </c>
      <c r="Q441" s="20" t="s">
        <v>59</v>
      </c>
      <c r="R441" s="20" t="s">
        <v>333</v>
      </c>
      <c r="S441" s="20" t="s">
        <v>333</v>
      </c>
      <c r="T441" s="20"/>
      <c r="U441" s="20"/>
      <c r="V441" s="20" t="s">
        <v>344</v>
      </c>
      <c r="W441" s="20" t="s">
        <v>333</v>
      </c>
      <c r="X441" s="20" t="s">
        <v>333</v>
      </c>
      <c r="Y441" s="20" t="s">
        <v>333</v>
      </c>
      <c r="Z441" s="20" t="s">
        <v>333</v>
      </c>
      <c r="AA441" s="20" t="s">
        <v>333</v>
      </c>
      <c r="AB441" s="20" t="s">
        <v>333</v>
      </c>
      <c r="AC441" s="20"/>
      <c r="AD441" s="20" t="s">
        <v>333</v>
      </c>
      <c r="AE441" s="20" t="s">
        <v>333</v>
      </c>
      <c r="AF441" s="20" t="s">
        <v>333</v>
      </c>
      <c r="AG441" s="20" t="s">
        <v>344</v>
      </c>
      <c r="AH441" s="20" t="s">
        <v>344</v>
      </c>
      <c r="AI441" s="20" t="s">
        <v>333</v>
      </c>
      <c r="AJ441" s="20"/>
      <c r="AK441" s="20" t="s">
        <v>1260</v>
      </c>
      <c r="AL441" s="20" t="s">
        <v>1596</v>
      </c>
      <c r="AM441" s="20" t="s">
        <v>1260</v>
      </c>
      <c r="AN441" s="20" t="s">
        <v>349</v>
      </c>
      <c r="AO441" s="20"/>
      <c r="AP441" s="20" t="s">
        <v>1239</v>
      </c>
      <c r="AQ441" s="20" t="s">
        <v>1556</v>
      </c>
      <c r="AR441" s="20"/>
      <c r="AS441" s="20"/>
    </row>
    <row r="442">
      <c r="A442" s="20" t="s">
        <v>1596</v>
      </c>
      <c r="B442" s="20" t="s">
        <v>2086</v>
      </c>
      <c r="C442" s="20" t="s">
        <v>2088</v>
      </c>
      <c r="D442" s="20"/>
      <c r="E442" s="20" t="s">
        <v>49</v>
      </c>
      <c r="F442" s="20"/>
      <c r="G442" s="20"/>
      <c r="H442" s="20" t="s">
        <v>2092</v>
      </c>
      <c r="I442" s="20" t="s">
        <v>2093</v>
      </c>
      <c r="J442" s="20" t="s">
        <v>74</v>
      </c>
      <c r="K442" s="20" t="s">
        <v>55</v>
      </c>
      <c r="L442" s="20" t="s">
        <v>56</v>
      </c>
      <c r="M442" s="20" t="s">
        <v>57</v>
      </c>
      <c r="N442" s="20" t="s">
        <v>333</v>
      </c>
      <c r="O442" s="20" t="s">
        <v>1720</v>
      </c>
      <c r="P442" s="20" t="s">
        <v>1673</v>
      </c>
      <c r="Q442" s="20" t="s">
        <v>59</v>
      </c>
      <c r="R442" s="20" t="s">
        <v>333</v>
      </c>
      <c r="S442" s="20" t="s">
        <v>333</v>
      </c>
      <c r="T442" s="20"/>
      <c r="U442" s="20"/>
      <c r="V442" s="20" t="s">
        <v>344</v>
      </c>
      <c r="W442" s="20" t="s">
        <v>333</v>
      </c>
      <c r="X442" s="20" t="s">
        <v>333</v>
      </c>
      <c r="Y442" s="20" t="s">
        <v>333</v>
      </c>
      <c r="Z442" s="20" t="s">
        <v>333</v>
      </c>
      <c r="AA442" s="20" t="s">
        <v>333</v>
      </c>
      <c r="AB442" s="20" t="s">
        <v>333</v>
      </c>
      <c r="AC442" s="20"/>
      <c r="AD442" s="20" t="s">
        <v>333</v>
      </c>
      <c r="AE442" s="20" t="s">
        <v>333</v>
      </c>
      <c r="AF442" s="20" t="s">
        <v>333</v>
      </c>
      <c r="AG442" s="20" t="s">
        <v>344</v>
      </c>
      <c r="AH442" s="20" t="s">
        <v>344</v>
      </c>
      <c r="AI442" s="20" t="s">
        <v>333</v>
      </c>
      <c r="AJ442" s="20"/>
      <c r="AK442" s="20" t="s">
        <v>347</v>
      </c>
      <c r="AL442" s="20" t="s">
        <v>1673</v>
      </c>
      <c r="AM442" s="20" t="s">
        <v>347</v>
      </c>
      <c r="AN442" s="20" t="s">
        <v>349</v>
      </c>
      <c r="AO442" s="20"/>
      <c r="AP442" s="20" t="s">
        <v>1720</v>
      </c>
      <c r="AQ442" s="20" t="s">
        <v>1673</v>
      </c>
      <c r="AR442" s="20"/>
      <c r="AS442" s="20"/>
    </row>
    <row r="443">
      <c r="A443" s="20" t="s">
        <v>4289</v>
      </c>
      <c r="B443" s="20" t="s">
        <v>2318</v>
      </c>
      <c r="C443" s="20" t="s">
        <v>2319</v>
      </c>
      <c r="D443" s="20"/>
      <c r="E443" s="20" t="s">
        <v>49</v>
      </c>
      <c r="F443" s="20"/>
      <c r="G443" s="20"/>
      <c r="H443" s="20" t="s">
        <v>860</v>
      </c>
      <c r="I443" s="20" t="s">
        <v>861</v>
      </c>
      <c r="J443" s="20" t="s">
        <v>74</v>
      </c>
      <c r="K443" s="20" t="s">
        <v>55</v>
      </c>
      <c r="L443" s="20" t="s">
        <v>56</v>
      </c>
      <c r="M443" s="20" t="s">
        <v>57</v>
      </c>
      <c r="N443" s="20" t="s">
        <v>333</v>
      </c>
      <c r="O443" s="20"/>
      <c r="P443" s="20"/>
      <c r="Q443" s="20" t="s">
        <v>59</v>
      </c>
      <c r="R443" s="20" t="s">
        <v>333</v>
      </c>
      <c r="S443" s="20" t="s">
        <v>333</v>
      </c>
      <c r="T443" s="20"/>
      <c r="U443" s="20"/>
      <c r="V443" s="20" t="s">
        <v>344</v>
      </c>
      <c r="W443" s="20" t="s">
        <v>333</v>
      </c>
      <c r="X443" s="20" t="s">
        <v>333</v>
      </c>
      <c r="Y443" s="20" t="s">
        <v>333</v>
      </c>
      <c r="Z443" s="20" t="s">
        <v>333</v>
      </c>
      <c r="AA443" s="20" t="s">
        <v>333</v>
      </c>
      <c r="AB443" s="20" t="s">
        <v>333</v>
      </c>
      <c r="AC443" s="20"/>
      <c r="AD443" s="20" t="s">
        <v>333</v>
      </c>
      <c r="AE443" s="20" t="s">
        <v>333</v>
      </c>
      <c r="AF443" s="20" t="s">
        <v>333</v>
      </c>
      <c r="AG443" s="20" t="s">
        <v>344</v>
      </c>
      <c r="AH443" s="20" t="s">
        <v>344</v>
      </c>
      <c r="AI443" s="20" t="s">
        <v>333</v>
      </c>
      <c r="AJ443" s="20"/>
      <c r="AK443" s="20" t="s">
        <v>349</v>
      </c>
      <c r="AL443" s="20" t="s">
        <v>349</v>
      </c>
      <c r="AM443" s="20" t="s">
        <v>349</v>
      </c>
      <c r="AN443" s="20" t="s">
        <v>349</v>
      </c>
      <c r="AO443" s="20"/>
      <c r="AP443" s="20" t="s">
        <v>349</v>
      </c>
      <c r="AQ443" s="20" t="s">
        <v>349</v>
      </c>
      <c r="AR443" s="20"/>
      <c r="AS443" s="20"/>
    </row>
    <row r="444">
      <c r="A444" s="20" t="s">
        <v>4290</v>
      </c>
      <c r="B444" s="20" t="s">
        <v>2416</v>
      </c>
      <c r="C444" s="20" t="s">
        <v>2417</v>
      </c>
      <c r="D444" s="20"/>
      <c r="E444" s="20" t="s">
        <v>49</v>
      </c>
      <c r="F444" s="20"/>
      <c r="G444" s="20"/>
      <c r="H444" s="20" t="s">
        <v>72</v>
      </c>
      <c r="I444" s="20" t="s">
        <v>73</v>
      </c>
      <c r="J444" s="20" t="s">
        <v>74</v>
      </c>
      <c r="K444" s="20" t="s">
        <v>55</v>
      </c>
      <c r="L444" s="20" t="s">
        <v>56</v>
      </c>
      <c r="M444" s="20" t="s">
        <v>57</v>
      </c>
      <c r="N444" s="20" t="s">
        <v>333</v>
      </c>
      <c r="O444" s="20" t="s">
        <v>1586</v>
      </c>
      <c r="P444" s="20" t="s">
        <v>348</v>
      </c>
      <c r="Q444" s="20" t="s">
        <v>59</v>
      </c>
      <c r="R444" s="20" t="s">
        <v>333</v>
      </c>
      <c r="S444" s="20" t="s">
        <v>333</v>
      </c>
      <c r="T444" s="20"/>
      <c r="U444" s="20"/>
      <c r="V444" s="20" t="s">
        <v>344</v>
      </c>
      <c r="W444" s="20" t="s">
        <v>333</v>
      </c>
      <c r="X444" s="20" t="s">
        <v>333</v>
      </c>
      <c r="Y444" s="20" t="s">
        <v>333</v>
      </c>
      <c r="Z444" s="20" t="s">
        <v>333</v>
      </c>
      <c r="AA444" s="20" t="s">
        <v>333</v>
      </c>
      <c r="AB444" s="20" t="s">
        <v>333</v>
      </c>
      <c r="AC444" s="20"/>
      <c r="AD444" s="20" t="s">
        <v>333</v>
      </c>
      <c r="AE444" s="20" t="s">
        <v>333</v>
      </c>
      <c r="AF444" s="20" t="s">
        <v>333</v>
      </c>
      <c r="AG444" s="20" t="s">
        <v>344</v>
      </c>
      <c r="AH444" s="20" t="s">
        <v>344</v>
      </c>
      <c r="AI444" s="20" t="s">
        <v>333</v>
      </c>
      <c r="AJ444" s="20"/>
      <c r="AK444" s="20" t="s">
        <v>1244</v>
      </c>
      <c r="AL444" s="20" t="s">
        <v>348</v>
      </c>
      <c r="AM444" s="20" t="s">
        <v>1244</v>
      </c>
      <c r="AN444" s="20" t="s">
        <v>349</v>
      </c>
      <c r="AO444" s="20"/>
      <c r="AP444" s="20" t="s">
        <v>1586</v>
      </c>
      <c r="AQ444" s="20" t="s">
        <v>348</v>
      </c>
      <c r="AR444" s="20"/>
      <c r="AS444" s="20"/>
    </row>
    <row r="445">
      <c r="A445" s="20" t="s">
        <v>4296</v>
      </c>
      <c r="B445" s="20" t="s">
        <v>3401</v>
      </c>
      <c r="C445" s="20" t="s">
        <v>3402</v>
      </c>
      <c r="D445" s="20"/>
      <c r="E445" s="20" t="s">
        <v>49</v>
      </c>
      <c r="F445" s="20"/>
      <c r="G445" s="20"/>
      <c r="H445" s="20" t="s">
        <v>1608</v>
      </c>
      <c r="I445" s="20" t="s">
        <v>1609</v>
      </c>
      <c r="J445" s="20" t="s">
        <v>74</v>
      </c>
      <c r="K445" s="20" t="s">
        <v>55</v>
      </c>
      <c r="L445" s="20" t="s">
        <v>56</v>
      </c>
      <c r="M445" s="20" t="s">
        <v>57</v>
      </c>
      <c r="N445" s="20" t="s">
        <v>333</v>
      </c>
      <c r="O445" s="20" t="s">
        <v>2262</v>
      </c>
      <c r="P445" s="20" t="s">
        <v>1669</v>
      </c>
      <c r="Q445" s="20" t="s">
        <v>59</v>
      </c>
      <c r="R445" s="20" t="s">
        <v>333</v>
      </c>
      <c r="S445" s="20" t="s">
        <v>333</v>
      </c>
      <c r="T445" s="20"/>
      <c r="U445" s="20"/>
      <c r="V445" s="20" t="s">
        <v>344</v>
      </c>
      <c r="W445" s="20" t="s">
        <v>333</v>
      </c>
      <c r="X445" s="20" t="s">
        <v>333</v>
      </c>
      <c r="Y445" s="20" t="s">
        <v>333</v>
      </c>
      <c r="Z445" s="20" t="s">
        <v>333</v>
      </c>
      <c r="AA445" s="20" t="s">
        <v>333</v>
      </c>
      <c r="AB445" s="20" t="s">
        <v>333</v>
      </c>
      <c r="AC445" s="20"/>
      <c r="AD445" s="20" t="s">
        <v>333</v>
      </c>
      <c r="AE445" s="20" t="s">
        <v>333</v>
      </c>
      <c r="AF445" s="20" t="s">
        <v>333</v>
      </c>
      <c r="AG445" s="20" t="s">
        <v>344</v>
      </c>
      <c r="AH445" s="20" t="s">
        <v>344</v>
      </c>
      <c r="AI445" s="20" t="s">
        <v>333</v>
      </c>
      <c r="AJ445" s="20"/>
      <c r="AK445" s="20" t="s">
        <v>1846</v>
      </c>
      <c r="AL445" s="20" t="s">
        <v>1269</v>
      </c>
      <c r="AM445" s="20" t="s">
        <v>1846</v>
      </c>
      <c r="AN445" s="20" t="s">
        <v>349</v>
      </c>
      <c r="AO445" s="20"/>
      <c r="AP445" s="20" t="s">
        <v>2262</v>
      </c>
      <c r="AQ445" s="20" t="s">
        <v>1669</v>
      </c>
      <c r="AR445" s="20"/>
      <c r="AS445" s="20"/>
    </row>
    <row r="446">
      <c r="A446" s="20" t="s">
        <v>4299</v>
      </c>
      <c r="B446" s="20" t="s">
        <v>1128</v>
      </c>
      <c r="C446" s="20" t="s">
        <v>1129</v>
      </c>
      <c r="D446" s="20" t="s">
        <v>1130</v>
      </c>
      <c r="E446" s="20" t="s">
        <v>49</v>
      </c>
      <c r="F446" s="20"/>
      <c r="G446" s="20"/>
      <c r="H446" s="20" t="s">
        <v>784</v>
      </c>
      <c r="I446" s="20" t="s">
        <v>785</v>
      </c>
      <c r="J446" s="20" t="s">
        <v>785</v>
      </c>
      <c r="K446" s="20" t="s">
        <v>55</v>
      </c>
      <c r="L446" s="20" t="s">
        <v>56</v>
      </c>
      <c r="M446" s="20" t="s">
        <v>57</v>
      </c>
      <c r="N446" s="20" t="s">
        <v>333</v>
      </c>
      <c r="O446" s="20" t="s">
        <v>1239</v>
      </c>
      <c r="P446" s="20" t="s">
        <v>1720</v>
      </c>
      <c r="Q446" s="20" t="s">
        <v>59</v>
      </c>
      <c r="R446" s="20" t="s">
        <v>333</v>
      </c>
      <c r="S446" s="20" t="s">
        <v>333</v>
      </c>
      <c r="T446" s="20" t="s">
        <v>275</v>
      </c>
      <c r="U446" s="20"/>
      <c r="V446" s="20" t="s">
        <v>344</v>
      </c>
      <c r="W446" s="20" t="s">
        <v>333</v>
      </c>
      <c r="X446" s="20" t="s">
        <v>333</v>
      </c>
      <c r="Y446" s="20" t="s">
        <v>333</v>
      </c>
      <c r="Z446" s="20" t="s">
        <v>333</v>
      </c>
      <c r="AA446" s="20" t="s">
        <v>333</v>
      </c>
      <c r="AB446" s="20" t="s">
        <v>333</v>
      </c>
      <c r="AC446" s="20"/>
      <c r="AD446" s="20" t="s">
        <v>333</v>
      </c>
      <c r="AE446" s="20" t="s">
        <v>333</v>
      </c>
      <c r="AF446" s="20" t="s">
        <v>333</v>
      </c>
      <c r="AG446" s="20" t="s">
        <v>344</v>
      </c>
      <c r="AH446" s="20" t="s">
        <v>344</v>
      </c>
      <c r="AI446" s="20" t="s">
        <v>333</v>
      </c>
      <c r="AJ446" s="20"/>
      <c r="AK446" s="20" t="s">
        <v>1595</v>
      </c>
      <c r="AL446" s="20" t="s">
        <v>1261</v>
      </c>
      <c r="AM446" s="20" t="s">
        <v>1595</v>
      </c>
      <c r="AN446" s="20" t="s">
        <v>349</v>
      </c>
      <c r="AO446" s="20"/>
      <c r="AP446" s="20" t="s">
        <v>1239</v>
      </c>
      <c r="AQ446" s="20" t="s">
        <v>1720</v>
      </c>
      <c r="AR446" s="20"/>
      <c r="AS446" s="20"/>
    </row>
    <row r="447">
      <c r="A447" s="20" t="s">
        <v>4302</v>
      </c>
      <c r="B447" s="20" t="s">
        <v>794</v>
      </c>
      <c r="C447" s="20" t="s">
        <v>796</v>
      </c>
      <c r="D447" s="20" t="s">
        <v>798</v>
      </c>
      <c r="E447" s="20" t="s">
        <v>49</v>
      </c>
      <c r="F447" s="20"/>
      <c r="G447" s="20"/>
      <c r="H447" s="20" t="s">
        <v>147</v>
      </c>
      <c r="I447" s="20" t="s">
        <v>148</v>
      </c>
      <c r="J447" s="20" t="s">
        <v>148</v>
      </c>
      <c r="K447" s="20" t="s">
        <v>55</v>
      </c>
      <c r="L447" s="20" t="s">
        <v>56</v>
      </c>
      <c r="M447" s="20" t="s">
        <v>57</v>
      </c>
      <c r="N447" s="20" t="s">
        <v>333</v>
      </c>
      <c r="O447" s="20" t="s">
        <v>1596</v>
      </c>
      <c r="P447" s="20" t="s">
        <v>1256</v>
      </c>
      <c r="Q447" s="20" t="s">
        <v>59</v>
      </c>
      <c r="R447" s="20" t="s">
        <v>333</v>
      </c>
      <c r="S447" s="20" t="s">
        <v>333</v>
      </c>
      <c r="T447" s="20" t="s">
        <v>275</v>
      </c>
      <c r="U447" s="20"/>
      <c r="V447" s="20" t="s">
        <v>344</v>
      </c>
      <c r="W447" s="20" t="s">
        <v>333</v>
      </c>
      <c r="X447" s="20" t="s">
        <v>333</v>
      </c>
      <c r="Y447" s="20" t="s">
        <v>333</v>
      </c>
      <c r="Z447" s="20" t="s">
        <v>333</v>
      </c>
      <c r="AA447" s="20" t="s">
        <v>333</v>
      </c>
      <c r="AB447" s="20" t="s">
        <v>333</v>
      </c>
      <c r="AC447" s="20"/>
      <c r="AD447" s="20" t="s">
        <v>333</v>
      </c>
      <c r="AE447" s="20" t="s">
        <v>333</v>
      </c>
      <c r="AF447" s="20" t="s">
        <v>333</v>
      </c>
      <c r="AG447" s="20" t="s">
        <v>344</v>
      </c>
      <c r="AH447" s="20" t="s">
        <v>344</v>
      </c>
      <c r="AI447" s="20" t="s">
        <v>333</v>
      </c>
      <c r="AJ447" s="20"/>
      <c r="AK447" s="20" t="s">
        <v>347</v>
      </c>
      <c r="AL447" s="20" t="s">
        <v>1245</v>
      </c>
      <c r="AM447" s="20" t="s">
        <v>347</v>
      </c>
      <c r="AN447" s="20" t="s">
        <v>349</v>
      </c>
      <c r="AO447" s="20"/>
      <c r="AP447" s="20" t="s">
        <v>1596</v>
      </c>
      <c r="AQ447" s="20" t="s">
        <v>1256</v>
      </c>
      <c r="AR447" s="20"/>
      <c r="AS447" s="20"/>
    </row>
    <row r="448">
      <c r="A448" s="32" t="s">
        <v>4304</v>
      </c>
      <c r="B448" s="32" t="s">
        <v>905</v>
      </c>
      <c r="C448" s="32" t="s">
        <v>906</v>
      </c>
      <c r="D448" s="48" t="s">
        <v>907</v>
      </c>
      <c r="E448" s="32" t="s">
        <v>49</v>
      </c>
      <c r="F448" s="32" t="s">
        <v>4305</v>
      </c>
      <c r="G448" s="32" t="s">
        <v>4307</v>
      </c>
      <c r="H448" s="32" t="s">
        <v>75</v>
      </c>
      <c r="I448" s="32" t="s">
        <v>76</v>
      </c>
      <c r="J448" s="32" t="s">
        <v>76</v>
      </c>
      <c r="K448" s="32" t="s">
        <v>55</v>
      </c>
      <c r="L448" s="32" t="s">
        <v>56</v>
      </c>
      <c r="M448" s="32" t="s">
        <v>57</v>
      </c>
      <c r="N448" s="32" t="s">
        <v>333</v>
      </c>
      <c r="O448" s="32" t="s">
        <v>334</v>
      </c>
      <c r="P448" s="32" t="s">
        <v>2287</v>
      </c>
      <c r="Q448" s="32" t="s">
        <v>59</v>
      </c>
      <c r="R448" s="32" t="s">
        <v>333</v>
      </c>
      <c r="S448" s="32" t="s">
        <v>333</v>
      </c>
      <c r="T448" s="32"/>
      <c r="U448" s="32"/>
      <c r="V448" s="32" t="s">
        <v>344</v>
      </c>
      <c r="W448" s="32" t="s">
        <v>333</v>
      </c>
      <c r="X448" s="32" t="s">
        <v>333</v>
      </c>
      <c r="Y448" s="32" t="s">
        <v>333</v>
      </c>
      <c r="Z448" s="32" t="s">
        <v>333</v>
      </c>
      <c r="AA448" s="32" t="s">
        <v>333</v>
      </c>
      <c r="AB448" s="32" t="s">
        <v>333</v>
      </c>
      <c r="AC448" s="32"/>
      <c r="AD448" s="32" t="s">
        <v>333</v>
      </c>
      <c r="AE448" s="32" t="s">
        <v>333</v>
      </c>
      <c r="AF448" s="32" t="s">
        <v>333</v>
      </c>
      <c r="AG448" s="32" t="s">
        <v>344</v>
      </c>
      <c r="AH448" s="32" t="s">
        <v>344</v>
      </c>
      <c r="AI448" s="32" t="s">
        <v>333</v>
      </c>
      <c r="AJ448" s="32"/>
      <c r="AK448" s="32" t="s">
        <v>1595</v>
      </c>
      <c r="AL448" s="32" t="s">
        <v>1596</v>
      </c>
      <c r="AM448" s="32" t="s">
        <v>1595</v>
      </c>
      <c r="AN448" s="32" t="s">
        <v>349</v>
      </c>
      <c r="AO448" s="32"/>
      <c r="AP448" s="32" t="s">
        <v>334</v>
      </c>
      <c r="AQ448" s="32" t="s">
        <v>2287</v>
      </c>
      <c r="AR448" s="21" t="s">
        <v>1931</v>
      </c>
      <c r="AS448" s="21">
        <v>2.0</v>
      </c>
    </row>
    <row r="449">
      <c r="A449" s="20" t="s">
        <v>4313</v>
      </c>
      <c r="B449" s="20" t="s">
        <v>1838</v>
      </c>
      <c r="C449" s="20" t="s">
        <v>1839</v>
      </c>
      <c r="D449" s="20"/>
      <c r="E449" s="20" t="s">
        <v>49</v>
      </c>
      <c r="F449" s="20"/>
      <c r="G449" s="20"/>
      <c r="H449" s="20" t="s">
        <v>1843</v>
      </c>
      <c r="I449" s="20" t="s">
        <v>1844</v>
      </c>
      <c r="J449" s="20" t="s">
        <v>74</v>
      </c>
      <c r="K449" s="20" t="s">
        <v>55</v>
      </c>
      <c r="L449" s="20" t="s">
        <v>56</v>
      </c>
      <c r="M449" s="20" t="s">
        <v>57</v>
      </c>
      <c r="N449" s="20" t="s">
        <v>333</v>
      </c>
      <c r="O449" s="20" t="s">
        <v>1556</v>
      </c>
      <c r="P449" s="20" t="s">
        <v>1586</v>
      </c>
      <c r="Q449" s="20" t="s">
        <v>59</v>
      </c>
      <c r="R449" s="20" t="s">
        <v>333</v>
      </c>
      <c r="S449" s="20" t="s">
        <v>333</v>
      </c>
      <c r="T449" s="20"/>
      <c r="U449" s="20"/>
      <c r="V449" s="20" t="s">
        <v>344</v>
      </c>
      <c r="W449" s="20" t="s">
        <v>333</v>
      </c>
      <c r="X449" s="20" t="s">
        <v>333</v>
      </c>
      <c r="Y449" s="20" t="s">
        <v>333</v>
      </c>
      <c r="Z449" s="20" t="s">
        <v>333</v>
      </c>
      <c r="AA449" s="20" t="s">
        <v>333</v>
      </c>
      <c r="AB449" s="20" t="s">
        <v>333</v>
      </c>
      <c r="AC449" s="20"/>
      <c r="AD449" s="20" t="s">
        <v>333</v>
      </c>
      <c r="AE449" s="20" t="s">
        <v>333</v>
      </c>
      <c r="AF449" s="20" t="s">
        <v>333</v>
      </c>
      <c r="AG449" s="20" t="s">
        <v>344</v>
      </c>
      <c r="AH449" s="20" t="s">
        <v>344</v>
      </c>
      <c r="AI449" s="20" t="s">
        <v>333</v>
      </c>
      <c r="AJ449" s="20"/>
      <c r="AK449" s="20" t="s">
        <v>347</v>
      </c>
      <c r="AL449" s="20" t="s">
        <v>1673</v>
      </c>
      <c r="AM449" s="20" t="s">
        <v>347</v>
      </c>
      <c r="AN449" s="20" t="s">
        <v>349</v>
      </c>
      <c r="AO449" s="20"/>
      <c r="AP449" s="20" t="s">
        <v>1556</v>
      </c>
      <c r="AQ449" s="20" t="s">
        <v>1586</v>
      </c>
      <c r="AR449" s="20"/>
      <c r="AS449" s="20"/>
    </row>
    <row r="450">
      <c r="A450" s="32" t="s">
        <v>4323</v>
      </c>
      <c r="B450" s="32" t="s">
        <v>2613</v>
      </c>
      <c r="C450" s="32" t="s">
        <v>2614</v>
      </c>
      <c r="D450" s="48" t="s">
        <v>2615</v>
      </c>
      <c r="E450" s="32" t="s">
        <v>49</v>
      </c>
      <c r="F450" s="32" t="s">
        <v>4324</v>
      </c>
      <c r="G450" s="32" t="s">
        <v>4325</v>
      </c>
      <c r="H450" s="32" t="s">
        <v>727</v>
      </c>
      <c r="I450" s="32" t="s">
        <v>729</v>
      </c>
      <c r="J450" s="32" t="s">
        <v>74</v>
      </c>
      <c r="K450" s="32" t="s">
        <v>55</v>
      </c>
      <c r="L450" s="32" t="s">
        <v>56</v>
      </c>
      <c r="M450" s="32" t="s">
        <v>57</v>
      </c>
      <c r="N450" s="32" t="s">
        <v>333</v>
      </c>
      <c r="O450" s="32" t="s">
        <v>1576</v>
      </c>
      <c r="P450" s="32" t="s">
        <v>2262</v>
      </c>
      <c r="Q450" s="32" t="s">
        <v>59</v>
      </c>
      <c r="R450" s="32" t="s">
        <v>333</v>
      </c>
      <c r="S450" s="32" t="s">
        <v>333</v>
      </c>
      <c r="T450" s="32"/>
      <c r="U450" s="32"/>
      <c r="V450" s="32" t="s">
        <v>344</v>
      </c>
      <c r="W450" s="32" t="s">
        <v>333</v>
      </c>
      <c r="X450" s="32" t="s">
        <v>333</v>
      </c>
      <c r="Y450" s="32" t="s">
        <v>333</v>
      </c>
      <c r="Z450" s="32" t="s">
        <v>333</v>
      </c>
      <c r="AA450" s="32" t="s">
        <v>333</v>
      </c>
      <c r="AB450" s="32" t="s">
        <v>333</v>
      </c>
      <c r="AC450" s="32"/>
      <c r="AD450" s="32" t="s">
        <v>333</v>
      </c>
      <c r="AE450" s="32" t="s">
        <v>333</v>
      </c>
      <c r="AF450" s="32" t="s">
        <v>333</v>
      </c>
      <c r="AG450" s="32" t="s">
        <v>344</v>
      </c>
      <c r="AH450" s="32" t="s">
        <v>344</v>
      </c>
      <c r="AI450" s="32" t="s">
        <v>333</v>
      </c>
      <c r="AJ450" s="32"/>
      <c r="AK450" s="32" t="s">
        <v>1663</v>
      </c>
      <c r="AL450" s="32" t="s">
        <v>348</v>
      </c>
      <c r="AM450" s="32" t="s">
        <v>1663</v>
      </c>
      <c r="AN450" s="32" t="s">
        <v>349</v>
      </c>
      <c r="AO450" s="32"/>
      <c r="AP450" s="32" t="s">
        <v>1576</v>
      </c>
      <c r="AQ450" s="32" t="s">
        <v>2262</v>
      </c>
      <c r="AR450" s="21" t="s">
        <v>1931</v>
      </c>
      <c r="AS450" s="21">
        <v>2.0</v>
      </c>
    </row>
    <row r="451">
      <c r="A451" s="20" t="s">
        <v>4329</v>
      </c>
      <c r="B451" s="20" t="s">
        <v>1848</v>
      </c>
      <c r="C451" s="20" t="s">
        <v>1849</v>
      </c>
      <c r="D451" s="20"/>
      <c r="E451" s="20" t="s">
        <v>49</v>
      </c>
      <c r="F451" s="20"/>
      <c r="G451" s="20"/>
      <c r="H451" s="20" t="s">
        <v>123</v>
      </c>
      <c r="I451" s="20" t="s">
        <v>124</v>
      </c>
      <c r="J451" s="20" t="s">
        <v>74</v>
      </c>
      <c r="K451" s="20" t="s">
        <v>55</v>
      </c>
      <c r="L451" s="20" t="s">
        <v>56</v>
      </c>
      <c r="M451" s="20" t="s">
        <v>57</v>
      </c>
      <c r="N451" s="20" t="s">
        <v>333</v>
      </c>
      <c r="O451" s="20" t="s">
        <v>2005</v>
      </c>
      <c r="P451" s="20" t="s">
        <v>1941</v>
      </c>
      <c r="Q451" s="20" t="s">
        <v>59</v>
      </c>
      <c r="R451" s="20" t="s">
        <v>333</v>
      </c>
      <c r="S451" s="20" t="s">
        <v>333</v>
      </c>
      <c r="T451" s="20"/>
      <c r="U451" s="20"/>
      <c r="V451" s="20" t="s">
        <v>344</v>
      </c>
      <c r="W451" s="20" t="s">
        <v>333</v>
      </c>
      <c r="X451" s="20" t="s">
        <v>333</v>
      </c>
      <c r="Y451" s="20" t="s">
        <v>333</v>
      </c>
      <c r="Z451" s="20" t="s">
        <v>333</v>
      </c>
      <c r="AA451" s="20" t="s">
        <v>333</v>
      </c>
      <c r="AB451" s="20" t="s">
        <v>333</v>
      </c>
      <c r="AC451" s="20"/>
      <c r="AD451" s="20" t="s">
        <v>333</v>
      </c>
      <c r="AE451" s="20" t="s">
        <v>333</v>
      </c>
      <c r="AF451" s="20" t="s">
        <v>333</v>
      </c>
      <c r="AG451" s="20" t="s">
        <v>344</v>
      </c>
      <c r="AH451" s="20" t="s">
        <v>344</v>
      </c>
      <c r="AI451" s="20" t="s">
        <v>333</v>
      </c>
      <c r="AJ451" s="20"/>
      <c r="AK451" s="20" t="s">
        <v>1244</v>
      </c>
      <c r="AL451" s="20" t="s">
        <v>1673</v>
      </c>
      <c r="AM451" s="20" t="s">
        <v>1244</v>
      </c>
      <c r="AN451" s="20" t="s">
        <v>349</v>
      </c>
      <c r="AO451" s="20"/>
      <c r="AP451" s="20" t="s">
        <v>2005</v>
      </c>
      <c r="AQ451" s="20" t="s">
        <v>1941</v>
      </c>
      <c r="AR451" s="20"/>
      <c r="AS451" s="20"/>
    </row>
    <row r="452">
      <c r="A452" s="20" t="s">
        <v>4331</v>
      </c>
      <c r="B452" s="20" t="s">
        <v>1342</v>
      </c>
      <c r="C452" s="20" t="s">
        <v>1343</v>
      </c>
      <c r="D452" s="20"/>
      <c r="E452" s="20" t="s">
        <v>49</v>
      </c>
      <c r="F452" s="20"/>
      <c r="G452" s="20"/>
      <c r="H452" s="20" t="s">
        <v>75</v>
      </c>
      <c r="I452" s="20" t="s">
        <v>76</v>
      </c>
      <c r="J452" s="20" t="s">
        <v>76</v>
      </c>
      <c r="K452" s="20" t="s">
        <v>55</v>
      </c>
      <c r="L452" s="20" t="s">
        <v>56</v>
      </c>
      <c r="M452" s="20" t="s">
        <v>57</v>
      </c>
      <c r="N452" s="20" t="s">
        <v>333</v>
      </c>
      <c r="O452" s="20" t="s">
        <v>334</v>
      </c>
      <c r="P452" s="20" t="s">
        <v>2946</v>
      </c>
      <c r="Q452" s="20" t="s">
        <v>59</v>
      </c>
      <c r="R452" s="20" t="s">
        <v>333</v>
      </c>
      <c r="S452" s="20" t="s">
        <v>333</v>
      </c>
      <c r="T452" s="20"/>
      <c r="U452" s="20"/>
      <c r="V452" s="20" t="s">
        <v>344</v>
      </c>
      <c r="W452" s="20" t="s">
        <v>333</v>
      </c>
      <c r="X452" s="20" t="s">
        <v>333</v>
      </c>
      <c r="Y452" s="20" t="s">
        <v>333</v>
      </c>
      <c r="Z452" s="20" t="s">
        <v>333</v>
      </c>
      <c r="AA452" s="20" t="s">
        <v>333</v>
      </c>
      <c r="AB452" s="20" t="s">
        <v>333</v>
      </c>
      <c r="AC452" s="20"/>
      <c r="AD452" s="20" t="s">
        <v>333</v>
      </c>
      <c r="AE452" s="20" t="s">
        <v>333</v>
      </c>
      <c r="AF452" s="20" t="s">
        <v>333</v>
      </c>
      <c r="AG452" s="20" t="s">
        <v>344</v>
      </c>
      <c r="AH452" s="20" t="s">
        <v>344</v>
      </c>
      <c r="AI452" s="20" t="s">
        <v>333</v>
      </c>
      <c r="AJ452" s="20"/>
      <c r="AK452" s="20" t="s">
        <v>1260</v>
      </c>
      <c r="AL452" s="20" t="s">
        <v>1245</v>
      </c>
      <c r="AM452" s="20" t="s">
        <v>1260</v>
      </c>
      <c r="AN452" s="20" t="s">
        <v>349</v>
      </c>
      <c r="AO452" s="20"/>
      <c r="AP452" s="20" t="s">
        <v>334</v>
      </c>
      <c r="AQ452" s="20" t="s">
        <v>2946</v>
      </c>
      <c r="AR452" s="20"/>
      <c r="AS452" s="20"/>
    </row>
    <row r="453">
      <c r="A453" s="20" t="s">
        <v>4337</v>
      </c>
      <c r="B453" s="20" t="s">
        <v>1328</v>
      </c>
      <c r="C453" s="20" t="s">
        <v>1329</v>
      </c>
      <c r="D453" s="20"/>
      <c r="E453" s="20" t="s">
        <v>49</v>
      </c>
      <c r="F453" s="20"/>
      <c r="G453" s="20"/>
      <c r="H453" s="20" t="s">
        <v>75</v>
      </c>
      <c r="I453" s="20" t="s">
        <v>76</v>
      </c>
      <c r="J453" s="20" t="s">
        <v>76</v>
      </c>
      <c r="K453" s="20" t="s">
        <v>55</v>
      </c>
      <c r="L453" s="20" t="s">
        <v>56</v>
      </c>
      <c r="M453" s="20" t="s">
        <v>57</v>
      </c>
      <c r="N453" s="20" t="s">
        <v>333</v>
      </c>
      <c r="O453" s="20" t="s">
        <v>1238</v>
      </c>
      <c r="P453" s="20" t="s">
        <v>1682</v>
      </c>
      <c r="Q453" s="20" t="s">
        <v>59</v>
      </c>
      <c r="R453" s="20" t="s">
        <v>333</v>
      </c>
      <c r="S453" s="20" t="s">
        <v>333</v>
      </c>
      <c r="T453" s="20"/>
      <c r="U453" s="20"/>
      <c r="V453" s="20" t="s">
        <v>344</v>
      </c>
      <c r="W453" s="20" t="s">
        <v>333</v>
      </c>
      <c r="X453" s="20" t="s">
        <v>333</v>
      </c>
      <c r="Y453" s="20" t="s">
        <v>333</v>
      </c>
      <c r="Z453" s="20" t="s">
        <v>333</v>
      </c>
      <c r="AA453" s="20" t="s">
        <v>333</v>
      </c>
      <c r="AB453" s="20" t="s">
        <v>333</v>
      </c>
      <c r="AC453" s="20"/>
      <c r="AD453" s="20" t="s">
        <v>333</v>
      </c>
      <c r="AE453" s="20" t="s">
        <v>333</v>
      </c>
      <c r="AF453" s="20" t="s">
        <v>333</v>
      </c>
      <c r="AG453" s="20" t="s">
        <v>344</v>
      </c>
      <c r="AH453" s="20" t="s">
        <v>344</v>
      </c>
      <c r="AI453" s="20" t="s">
        <v>333</v>
      </c>
      <c r="AJ453" s="20"/>
      <c r="AK453" s="20" t="s">
        <v>2094</v>
      </c>
      <c r="AL453" s="20" t="s">
        <v>1245</v>
      </c>
      <c r="AM453" s="20" t="s">
        <v>2094</v>
      </c>
      <c r="AN453" s="20" t="s">
        <v>349</v>
      </c>
      <c r="AO453" s="20"/>
      <c r="AP453" s="20" t="s">
        <v>1238</v>
      </c>
      <c r="AQ453" s="20" t="s">
        <v>1682</v>
      </c>
      <c r="AR453" s="20"/>
      <c r="AS453" s="20"/>
    </row>
    <row r="454">
      <c r="A454" s="32" t="s">
        <v>4341</v>
      </c>
      <c r="B454" s="32" t="s">
        <v>2172</v>
      </c>
      <c r="C454" s="32" t="s">
        <v>2173</v>
      </c>
      <c r="D454" s="48" t="s">
        <v>2174</v>
      </c>
      <c r="E454" s="32" t="s">
        <v>49</v>
      </c>
      <c r="F454" s="32" t="s">
        <v>4343</v>
      </c>
      <c r="G454" s="32" t="s">
        <v>4344</v>
      </c>
      <c r="H454" s="32" t="s">
        <v>1367</v>
      </c>
      <c r="I454" s="32" t="s">
        <v>1368</v>
      </c>
      <c r="J454" s="32" t="s">
        <v>74</v>
      </c>
      <c r="K454" s="32" t="s">
        <v>55</v>
      </c>
      <c r="L454" s="32" t="s">
        <v>56</v>
      </c>
      <c r="M454" s="32" t="s">
        <v>57</v>
      </c>
      <c r="N454" s="32" t="s">
        <v>333</v>
      </c>
      <c r="O454" s="32"/>
      <c r="P454" s="32"/>
      <c r="Q454" s="32" t="s">
        <v>59</v>
      </c>
      <c r="R454" s="32" t="s">
        <v>333</v>
      </c>
      <c r="S454" s="32" t="s">
        <v>333</v>
      </c>
      <c r="T454" s="32"/>
      <c r="U454" s="32"/>
      <c r="V454" s="32" t="s">
        <v>344</v>
      </c>
      <c r="W454" s="32" t="s">
        <v>333</v>
      </c>
      <c r="X454" s="32" t="s">
        <v>333</v>
      </c>
      <c r="Y454" s="32" t="s">
        <v>333</v>
      </c>
      <c r="Z454" s="32" t="s">
        <v>333</v>
      </c>
      <c r="AA454" s="32" t="s">
        <v>333</v>
      </c>
      <c r="AB454" s="32" t="s">
        <v>333</v>
      </c>
      <c r="AC454" s="32"/>
      <c r="AD454" s="32" t="s">
        <v>333</v>
      </c>
      <c r="AE454" s="32" t="s">
        <v>333</v>
      </c>
      <c r="AF454" s="32" t="s">
        <v>333</v>
      </c>
      <c r="AG454" s="32" t="s">
        <v>344</v>
      </c>
      <c r="AH454" s="32" t="s">
        <v>344</v>
      </c>
      <c r="AI454" s="32" t="s">
        <v>333</v>
      </c>
      <c r="AJ454" s="32"/>
      <c r="AK454" s="32" t="s">
        <v>349</v>
      </c>
      <c r="AL454" s="32" t="s">
        <v>349</v>
      </c>
      <c r="AM454" s="32" t="s">
        <v>349</v>
      </c>
      <c r="AN454" s="32" t="s">
        <v>349</v>
      </c>
      <c r="AO454" s="32"/>
      <c r="AP454" s="32" t="s">
        <v>349</v>
      </c>
      <c r="AQ454" s="32" t="s">
        <v>349</v>
      </c>
      <c r="AR454" s="21" t="s">
        <v>1931</v>
      </c>
      <c r="AS454" s="21">
        <v>2.0</v>
      </c>
    </row>
    <row r="455">
      <c r="A455" s="20" t="s">
        <v>4350</v>
      </c>
      <c r="B455" s="20" t="s">
        <v>2013</v>
      </c>
      <c r="C455" s="20" t="s">
        <v>2014</v>
      </c>
      <c r="D455" s="20"/>
      <c r="E455" s="20" t="s">
        <v>49</v>
      </c>
      <c r="F455" s="20"/>
      <c r="G455" s="20"/>
      <c r="H455" s="20" t="s">
        <v>1385</v>
      </c>
      <c r="I455" s="20" t="s">
        <v>1386</v>
      </c>
      <c r="J455" s="20" t="s">
        <v>74</v>
      </c>
      <c r="K455" s="20" t="s">
        <v>55</v>
      </c>
      <c r="L455" s="20" t="s">
        <v>56</v>
      </c>
      <c r="M455" s="20" t="s">
        <v>57</v>
      </c>
      <c r="N455" s="20" t="s">
        <v>333</v>
      </c>
      <c r="O455" s="20" t="s">
        <v>1596</v>
      </c>
      <c r="P455" s="20" t="s">
        <v>1682</v>
      </c>
      <c r="Q455" s="20" t="s">
        <v>59</v>
      </c>
      <c r="R455" s="20" t="s">
        <v>333</v>
      </c>
      <c r="S455" s="20" t="s">
        <v>333</v>
      </c>
      <c r="T455" s="20"/>
      <c r="U455" s="20"/>
      <c r="V455" s="20" t="s">
        <v>344</v>
      </c>
      <c r="W455" s="20" t="s">
        <v>333</v>
      </c>
      <c r="X455" s="20" t="s">
        <v>333</v>
      </c>
      <c r="Y455" s="20" t="s">
        <v>333</v>
      </c>
      <c r="Z455" s="20" t="s">
        <v>333</v>
      </c>
      <c r="AA455" s="20" t="s">
        <v>333</v>
      </c>
      <c r="AB455" s="20" t="s">
        <v>333</v>
      </c>
      <c r="AC455" s="20"/>
      <c r="AD455" s="20" t="s">
        <v>333</v>
      </c>
      <c r="AE455" s="20" t="s">
        <v>333</v>
      </c>
      <c r="AF455" s="20" t="s">
        <v>333</v>
      </c>
      <c r="AG455" s="20" t="s">
        <v>344</v>
      </c>
      <c r="AH455" s="20" t="s">
        <v>344</v>
      </c>
      <c r="AI455" s="20" t="s">
        <v>333</v>
      </c>
      <c r="AJ455" s="20"/>
      <c r="AK455" s="20" t="s">
        <v>1717</v>
      </c>
      <c r="AL455" s="20" t="s">
        <v>1245</v>
      </c>
      <c r="AM455" s="20" t="s">
        <v>1717</v>
      </c>
      <c r="AN455" s="20" t="s">
        <v>349</v>
      </c>
      <c r="AO455" s="20"/>
      <c r="AP455" s="20" t="s">
        <v>1596</v>
      </c>
      <c r="AQ455" s="20" t="s">
        <v>1682</v>
      </c>
      <c r="AR455" s="20"/>
      <c r="AS455" s="20"/>
    </row>
    <row r="456">
      <c r="A456" s="20" t="s">
        <v>4356</v>
      </c>
      <c r="B456" s="20" t="s">
        <v>2322</v>
      </c>
      <c r="C456" s="20" t="s">
        <v>2323</v>
      </c>
      <c r="D456" s="20"/>
      <c r="E456" s="20" t="s">
        <v>49</v>
      </c>
      <c r="F456" s="20"/>
      <c r="G456" s="20"/>
      <c r="H456" s="20" t="s">
        <v>123</v>
      </c>
      <c r="I456" s="20" t="s">
        <v>124</v>
      </c>
      <c r="J456" s="20" t="s">
        <v>74</v>
      </c>
      <c r="K456" s="20" t="s">
        <v>55</v>
      </c>
      <c r="L456" s="20" t="s">
        <v>56</v>
      </c>
      <c r="M456" s="20" t="s">
        <v>57</v>
      </c>
      <c r="N456" s="20" t="s">
        <v>333</v>
      </c>
      <c r="O456" s="20" t="s">
        <v>1238</v>
      </c>
      <c r="P456" s="20" t="s">
        <v>1669</v>
      </c>
      <c r="Q456" s="20" t="s">
        <v>59</v>
      </c>
      <c r="R456" s="20" t="s">
        <v>333</v>
      </c>
      <c r="S456" s="20" t="s">
        <v>333</v>
      </c>
      <c r="T456" s="20"/>
      <c r="U456" s="20"/>
      <c r="V456" s="20" t="s">
        <v>344</v>
      </c>
      <c r="W456" s="20" t="s">
        <v>333</v>
      </c>
      <c r="X456" s="20" t="s">
        <v>333</v>
      </c>
      <c r="Y456" s="20" t="s">
        <v>333</v>
      </c>
      <c r="Z456" s="20" t="s">
        <v>333</v>
      </c>
      <c r="AA456" s="20" t="s">
        <v>333</v>
      </c>
      <c r="AB456" s="20" t="s">
        <v>333</v>
      </c>
      <c r="AC456" s="20"/>
      <c r="AD456" s="20" t="s">
        <v>333</v>
      </c>
      <c r="AE456" s="20" t="s">
        <v>333</v>
      </c>
      <c r="AF456" s="20" t="s">
        <v>333</v>
      </c>
      <c r="AG456" s="20" t="s">
        <v>344</v>
      </c>
      <c r="AH456" s="20" t="s">
        <v>344</v>
      </c>
      <c r="AI456" s="20" t="s">
        <v>333</v>
      </c>
      <c r="AJ456" s="20"/>
      <c r="AK456" s="20" t="s">
        <v>1244</v>
      </c>
      <c r="AL456" s="20" t="s">
        <v>349</v>
      </c>
      <c r="AM456" s="20" t="s">
        <v>1244</v>
      </c>
      <c r="AN456" s="20" t="s">
        <v>349</v>
      </c>
      <c r="AO456" s="20"/>
      <c r="AP456" s="20" t="s">
        <v>1238</v>
      </c>
      <c r="AQ456" s="20" t="s">
        <v>1669</v>
      </c>
      <c r="AR456" s="20"/>
      <c r="AS456" s="20"/>
    </row>
    <row r="457">
      <c r="A457" s="20" t="s">
        <v>4360</v>
      </c>
      <c r="B457" s="20" t="s">
        <v>3684</v>
      </c>
      <c r="C457" s="20" t="s">
        <v>3685</v>
      </c>
      <c r="D457" s="20" t="s">
        <v>3686</v>
      </c>
      <c r="E457" s="20" t="s">
        <v>49</v>
      </c>
      <c r="F457" s="20"/>
      <c r="G457" s="20"/>
      <c r="H457" s="20" t="s">
        <v>2659</v>
      </c>
      <c r="I457" s="20" t="s">
        <v>2660</v>
      </c>
      <c r="J457" s="20" t="s">
        <v>74</v>
      </c>
      <c r="K457" s="20" t="s">
        <v>55</v>
      </c>
      <c r="L457" s="20" t="s">
        <v>56</v>
      </c>
      <c r="M457" s="20" t="s">
        <v>57</v>
      </c>
      <c r="N457" s="20" t="s">
        <v>333</v>
      </c>
      <c r="O457" s="20" t="s">
        <v>1720</v>
      </c>
      <c r="P457" s="20"/>
      <c r="Q457" s="20" t="s">
        <v>59</v>
      </c>
      <c r="R457" s="20" t="s">
        <v>333</v>
      </c>
      <c r="S457" s="20" t="s">
        <v>333</v>
      </c>
      <c r="T457" s="20"/>
      <c r="U457" s="20"/>
      <c r="V457" s="20" t="s">
        <v>344</v>
      </c>
      <c r="W457" s="20" t="s">
        <v>333</v>
      </c>
      <c r="X457" s="20" t="s">
        <v>333</v>
      </c>
      <c r="Y457" s="20" t="s">
        <v>333</v>
      </c>
      <c r="Z457" s="20" t="s">
        <v>333</v>
      </c>
      <c r="AA457" s="20" t="s">
        <v>333</v>
      </c>
      <c r="AB457" s="20" t="s">
        <v>333</v>
      </c>
      <c r="AC457" s="20"/>
      <c r="AD457" s="20" t="s">
        <v>333</v>
      </c>
      <c r="AE457" s="20" t="s">
        <v>333</v>
      </c>
      <c r="AF457" s="20" t="s">
        <v>333</v>
      </c>
      <c r="AG457" s="20" t="s">
        <v>344</v>
      </c>
      <c r="AH457" s="20" t="s">
        <v>344</v>
      </c>
      <c r="AI457" s="20" t="s">
        <v>333</v>
      </c>
      <c r="AJ457" s="20"/>
      <c r="AK457" s="20" t="s">
        <v>1581</v>
      </c>
      <c r="AL457" s="20" t="s">
        <v>348</v>
      </c>
      <c r="AM457" s="20" t="s">
        <v>1581</v>
      </c>
      <c r="AN457" s="20" t="s">
        <v>349</v>
      </c>
      <c r="AO457" s="20"/>
      <c r="AP457" s="20" t="s">
        <v>1720</v>
      </c>
      <c r="AQ457" s="20" t="s">
        <v>349</v>
      </c>
      <c r="AR457" s="20"/>
      <c r="AS457" s="20"/>
    </row>
    <row r="458">
      <c r="A458" s="20" t="s">
        <v>4363</v>
      </c>
      <c r="B458" s="20" t="s">
        <v>3200</v>
      </c>
      <c r="C458" s="20" t="s">
        <v>3201</v>
      </c>
      <c r="D458" s="20"/>
      <c r="E458" s="20" t="s">
        <v>49</v>
      </c>
      <c r="F458" s="20"/>
      <c r="G458" s="20"/>
      <c r="H458" s="20" t="s">
        <v>513</v>
      </c>
      <c r="I458" s="20" t="s">
        <v>514</v>
      </c>
      <c r="J458" s="20" t="s">
        <v>74</v>
      </c>
      <c r="K458" s="20" t="s">
        <v>55</v>
      </c>
      <c r="L458" s="20" t="s">
        <v>56</v>
      </c>
      <c r="M458" s="20" t="s">
        <v>57</v>
      </c>
      <c r="N458" s="20" t="s">
        <v>333</v>
      </c>
      <c r="O458" s="20" t="s">
        <v>1559</v>
      </c>
      <c r="P458" s="20" t="s">
        <v>1586</v>
      </c>
      <c r="Q458" s="20" t="s">
        <v>59</v>
      </c>
      <c r="R458" s="20" t="s">
        <v>333</v>
      </c>
      <c r="S458" s="20" t="s">
        <v>333</v>
      </c>
      <c r="T458" s="20"/>
      <c r="U458" s="20"/>
      <c r="V458" s="20" t="s">
        <v>344</v>
      </c>
      <c r="W458" s="20" t="s">
        <v>333</v>
      </c>
      <c r="X458" s="20" t="s">
        <v>333</v>
      </c>
      <c r="Y458" s="20" t="s">
        <v>333</v>
      </c>
      <c r="Z458" s="20" t="s">
        <v>333</v>
      </c>
      <c r="AA458" s="20" t="s">
        <v>333</v>
      </c>
      <c r="AB458" s="20" t="s">
        <v>333</v>
      </c>
      <c r="AC458" s="20"/>
      <c r="AD458" s="20" t="s">
        <v>333</v>
      </c>
      <c r="AE458" s="20" t="s">
        <v>333</v>
      </c>
      <c r="AF458" s="20" t="s">
        <v>333</v>
      </c>
      <c r="AG458" s="20" t="s">
        <v>344</v>
      </c>
      <c r="AH458" s="20" t="s">
        <v>344</v>
      </c>
      <c r="AI458" s="20" t="s">
        <v>333</v>
      </c>
      <c r="AJ458" s="20"/>
      <c r="AK458" s="20" t="s">
        <v>1587</v>
      </c>
      <c r="AL458" s="20" t="s">
        <v>1596</v>
      </c>
      <c r="AM458" s="20" t="s">
        <v>1587</v>
      </c>
      <c r="AN458" s="20" t="s">
        <v>349</v>
      </c>
      <c r="AO458" s="20"/>
      <c r="AP458" s="20" t="s">
        <v>1559</v>
      </c>
      <c r="AQ458" s="20" t="s">
        <v>1586</v>
      </c>
      <c r="AR458" s="20"/>
      <c r="AS458" s="20"/>
    </row>
    <row r="459">
      <c r="A459" s="20" t="s">
        <v>4367</v>
      </c>
      <c r="B459" s="20" t="s">
        <v>4243</v>
      </c>
      <c r="C459" s="20" t="s">
        <v>4244</v>
      </c>
      <c r="D459" s="20"/>
      <c r="E459" s="20" t="s">
        <v>49</v>
      </c>
      <c r="F459" s="20"/>
      <c r="G459" s="20" t="s">
        <v>4368</v>
      </c>
      <c r="H459" s="20" t="s">
        <v>123</v>
      </c>
      <c r="I459" s="20" t="s">
        <v>124</v>
      </c>
      <c r="J459" s="20" t="s">
        <v>74</v>
      </c>
      <c r="K459" s="20" t="s">
        <v>55</v>
      </c>
      <c r="L459" s="20" t="s">
        <v>56</v>
      </c>
      <c r="M459" s="20" t="s">
        <v>57</v>
      </c>
      <c r="N459" s="20" t="s">
        <v>333</v>
      </c>
      <c r="O459" s="20" t="s">
        <v>348</v>
      </c>
      <c r="P459" s="20" t="s">
        <v>2409</v>
      </c>
      <c r="Q459" s="20" t="s">
        <v>59</v>
      </c>
      <c r="R459" s="20" t="s">
        <v>333</v>
      </c>
      <c r="S459" s="20" t="s">
        <v>333</v>
      </c>
      <c r="T459" s="20"/>
      <c r="U459" s="20"/>
      <c r="V459" s="20" t="s">
        <v>344</v>
      </c>
      <c r="W459" s="20" t="s">
        <v>333</v>
      </c>
      <c r="X459" s="20" t="s">
        <v>333</v>
      </c>
      <c r="Y459" s="20" t="s">
        <v>333</v>
      </c>
      <c r="Z459" s="20" t="s">
        <v>333</v>
      </c>
      <c r="AA459" s="20" t="s">
        <v>333</v>
      </c>
      <c r="AB459" s="20" t="s">
        <v>333</v>
      </c>
      <c r="AC459" s="20"/>
      <c r="AD459" s="20" t="s">
        <v>333</v>
      </c>
      <c r="AE459" s="20" t="s">
        <v>333</v>
      </c>
      <c r="AF459" s="20" t="s">
        <v>333</v>
      </c>
      <c r="AG459" s="20" t="s">
        <v>344</v>
      </c>
      <c r="AH459" s="20" t="s">
        <v>344</v>
      </c>
      <c r="AI459" s="20" t="s">
        <v>333</v>
      </c>
      <c r="AJ459" s="20"/>
      <c r="AK459" s="20" t="s">
        <v>1587</v>
      </c>
      <c r="AL459" s="20" t="s">
        <v>1581</v>
      </c>
      <c r="AM459" s="20" t="s">
        <v>1587</v>
      </c>
      <c r="AN459" s="20" t="s">
        <v>349</v>
      </c>
      <c r="AO459" s="20"/>
      <c r="AP459" s="20" t="s">
        <v>348</v>
      </c>
      <c r="AQ459" s="20" t="s">
        <v>2409</v>
      </c>
      <c r="AR459" s="20"/>
      <c r="AS459" s="20"/>
    </row>
    <row r="460">
      <c r="A460" s="20" t="s">
        <v>4371</v>
      </c>
      <c r="B460" s="20" t="s">
        <v>705</v>
      </c>
      <c r="C460" s="20" t="s">
        <v>707</v>
      </c>
      <c r="D460" s="20"/>
      <c r="E460" s="20" t="s">
        <v>49</v>
      </c>
      <c r="F460" s="20"/>
      <c r="G460" s="20"/>
      <c r="H460" s="20" t="s">
        <v>147</v>
      </c>
      <c r="I460" s="20" t="s">
        <v>148</v>
      </c>
      <c r="J460" s="20" t="s">
        <v>148</v>
      </c>
      <c r="K460" s="20" t="s">
        <v>55</v>
      </c>
      <c r="L460" s="20" t="s">
        <v>56</v>
      </c>
      <c r="M460" s="20" t="s">
        <v>57</v>
      </c>
      <c r="N460" s="20" t="s">
        <v>333</v>
      </c>
      <c r="O460" s="20" t="s">
        <v>1238</v>
      </c>
      <c r="P460" s="20" t="s">
        <v>1239</v>
      </c>
      <c r="Q460" s="20" t="s">
        <v>59</v>
      </c>
      <c r="R460" s="20" t="s">
        <v>333</v>
      </c>
      <c r="S460" s="20" t="s">
        <v>333</v>
      </c>
      <c r="T460" s="20"/>
      <c r="U460" s="20"/>
      <c r="V460" s="20" t="s">
        <v>344</v>
      </c>
      <c r="W460" s="20" t="s">
        <v>333</v>
      </c>
      <c r="X460" s="20" t="s">
        <v>333</v>
      </c>
      <c r="Y460" s="20" t="s">
        <v>333</v>
      </c>
      <c r="Z460" s="20" t="s">
        <v>333</v>
      </c>
      <c r="AA460" s="20" t="s">
        <v>333</v>
      </c>
      <c r="AB460" s="20" t="s">
        <v>333</v>
      </c>
      <c r="AC460" s="20"/>
      <c r="AD460" s="20" t="s">
        <v>333</v>
      </c>
      <c r="AE460" s="20" t="s">
        <v>333</v>
      </c>
      <c r="AF460" s="20" t="s">
        <v>333</v>
      </c>
      <c r="AG460" s="20" t="s">
        <v>344</v>
      </c>
      <c r="AH460" s="20" t="s">
        <v>344</v>
      </c>
      <c r="AI460" s="20" t="s">
        <v>333</v>
      </c>
      <c r="AJ460" s="20"/>
      <c r="AK460" s="20" t="s">
        <v>347</v>
      </c>
      <c r="AL460" s="20" t="s">
        <v>1581</v>
      </c>
      <c r="AM460" s="20" t="s">
        <v>347</v>
      </c>
      <c r="AN460" s="20" t="s">
        <v>349</v>
      </c>
      <c r="AO460" s="20"/>
      <c r="AP460" s="20" t="s">
        <v>1238</v>
      </c>
      <c r="AQ460" s="20" t="s">
        <v>1239</v>
      </c>
      <c r="AR460" s="20"/>
      <c r="AS460" s="20"/>
    </row>
    <row r="461">
      <c r="A461" s="20" t="s">
        <v>4374</v>
      </c>
      <c r="B461" s="20" t="s">
        <v>2178</v>
      </c>
      <c r="C461" s="20" t="s">
        <v>2179</v>
      </c>
      <c r="D461" s="20"/>
      <c r="E461" s="20" t="s">
        <v>49</v>
      </c>
      <c r="F461" s="20"/>
      <c r="G461" s="20"/>
      <c r="H461" s="20" t="s">
        <v>738</v>
      </c>
      <c r="I461" s="20" t="s">
        <v>739</v>
      </c>
      <c r="J461" s="20" t="s">
        <v>74</v>
      </c>
      <c r="K461" s="20" t="s">
        <v>55</v>
      </c>
      <c r="L461" s="20" t="s">
        <v>56</v>
      </c>
      <c r="M461" s="20" t="s">
        <v>57</v>
      </c>
      <c r="N461" s="20" t="s">
        <v>333</v>
      </c>
      <c r="O461" s="20" t="s">
        <v>1720</v>
      </c>
      <c r="P461" s="20" t="s">
        <v>2006</v>
      </c>
      <c r="Q461" s="20" t="s">
        <v>59</v>
      </c>
      <c r="R461" s="20" t="s">
        <v>333</v>
      </c>
      <c r="S461" s="20" t="s">
        <v>333</v>
      </c>
      <c r="T461" s="20"/>
      <c r="U461" s="20"/>
      <c r="V461" s="20" t="s">
        <v>344</v>
      </c>
      <c r="W461" s="20" t="s">
        <v>333</v>
      </c>
      <c r="X461" s="20" t="s">
        <v>333</v>
      </c>
      <c r="Y461" s="20" t="s">
        <v>333</v>
      </c>
      <c r="Z461" s="20" t="s">
        <v>333</v>
      </c>
      <c r="AA461" s="20" t="s">
        <v>333</v>
      </c>
      <c r="AB461" s="20" t="s">
        <v>333</v>
      </c>
      <c r="AC461" s="20"/>
      <c r="AD461" s="20" t="s">
        <v>333</v>
      </c>
      <c r="AE461" s="20" t="s">
        <v>333</v>
      </c>
      <c r="AF461" s="20" t="s">
        <v>333</v>
      </c>
      <c r="AG461" s="20" t="s">
        <v>344</v>
      </c>
      <c r="AH461" s="20" t="s">
        <v>344</v>
      </c>
      <c r="AI461" s="20" t="s">
        <v>333</v>
      </c>
      <c r="AJ461" s="20"/>
      <c r="AK461" s="20" t="s">
        <v>1274</v>
      </c>
      <c r="AL461" s="20" t="s">
        <v>1795</v>
      </c>
      <c r="AM461" s="20" t="s">
        <v>1274</v>
      </c>
      <c r="AN461" s="20" t="s">
        <v>349</v>
      </c>
      <c r="AO461" s="20"/>
      <c r="AP461" s="20" t="s">
        <v>1720</v>
      </c>
      <c r="AQ461" s="20" t="s">
        <v>2006</v>
      </c>
      <c r="AR461" s="20"/>
      <c r="AS461" s="20"/>
    </row>
    <row r="462">
      <c r="A462" s="20" t="s">
        <v>4378</v>
      </c>
      <c r="B462" s="20" t="s">
        <v>4182</v>
      </c>
      <c r="C462" s="20" t="s">
        <v>4183</v>
      </c>
      <c r="D462" s="20"/>
      <c r="E462" s="20" t="s">
        <v>49</v>
      </c>
      <c r="F462" s="20"/>
      <c r="G462" s="20" t="s">
        <v>4379</v>
      </c>
      <c r="H462" s="20" t="s">
        <v>1020</v>
      </c>
      <c r="I462" s="20" t="s">
        <v>587</v>
      </c>
      <c r="J462" s="20" t="s">
        <v>74</v>
      </c>
      <c r="K462" s="20" t="s">
        <v>55</v>
      </c>
      <c r="L462" s="20" t="s">
        <v>56</v>
      </c>
      <c r="M462" s="20" t="s">
        <v>57</v>
      </c>
      <c r="N462" s="20" t="s">
        <v>333</v>
      </c>
      <c r="O462" s="20" t="s">
        <v>1736</v>
      </c>
      <c r="P462" s="20" t="s">
        <v>1736</v>
      </c>
      <c r="Q462" s="20" t="s">
        <v>59</v>
      </c>
      <c r="R462" s="20" t="s">
        <v>333</v>
      </c>
      <c r="S462" s="20" t="s">
        <v>333</v>
      </c>
      <c r="T462" s="20"/>
      <c r="U462" s="20"/>
      <c r="V462" s="20" t="s">
        <v>344</v>
      </c>
      <c r="W462" s="20" t="s">
        <v>333</v>
      </c>
      <c r="X462" s="20" t="s">
        <v>333</v>
      </c>
      <c r="Y462" s="20" t="s">
        <v>333</v>
      </c>
      <c r="Z462" s="20" t="s">
        <v>333</v>
      </c>
      <c r="AA462" s="20" t="s">
        <v>333</v>
      </c>
      <c r="AB462" s="20" t="s">
        <v>333</v>
      </c>
      <c r="AC462" s="20"/>
      <c r="AD462" s="20" t="s">
        <v>333</v>
      </c>
      <c r="AE462" s="20" t="s">
        <v>333</v>
      </c>
      <c r="AF462" s="20" t="s">
        <v>333</v>
      </c>
      <c r="AG462" s="20" t="s">
        <v>344</v>
      </c>
      <c r="AH462" s="20" t="s">
        <v>344</v>
      </c>
      <c r="AI462" s="20" t="s">
        <v>333</v>
      </c>
      <c r="AJ462" s="20"/>
      <c r="AK462" s="20" t="s">
        <v>1587</v>
      </c>
      <c r="AL462" s="20" t="s">
        <v>1556</v>
      </c>
      <c r="AM462" s="20" t="s">
        <v>1587</v>
      </c>
      <c r="AN462" s="20" t="s">
        <v>349</v>
      </c>
      <c r="AO462" s="20"/>
      <c r="AP462" s="20" t="s">
        <v>1736</v>
      </c>
      <c r="AQ462" s="20" t="s">
        <v>1736</v>
      </c>
      <c r="AR462" s="20"/>
      <c r="AS462" s="20"/>
    </row>
    <row r="463">
      <c r="A463" s="20" t="s">
        <v>4380</v>
      </c>
      <c r="B463" s="20" t="s">
        <v>916</v>
      </c>
      <c r="C463" s="20" t="s">
        <v>918</v>
      </c>
      <c r="D463" s="20" t="s">
        <v>920</v>
      </c>
      <c r="E463" s="20" t="s">
        <v>49</v>
      </c>
      <c r="F463" s="20"/>
      <c r="G463" s="20"/>
      <c r="H463" s="20" t="s">
        <v>899</v>
      </c>
      <c r="I463" s="20" t="s">
        <v>900</v>
      </c>
      <c r="J463" s="20" t="s">
        <v>900</v>
      </c>
      <c r="K463" s="20" t="s">
        <v>55</v>
      </c>
      <c r="L463" s="20" t="s">
        <v>56</v>
      </c>
      <c r="M463" s="20" t="s">
        <v>57</v>
      </c>
      <c r="N463" s="20" t="s">
        <v>333</v>
      </c>
      <c r="O463" s="20" t="s">
        <v>2325</v>
      </c>
      <c r="P463" s="20" t="s">
        <v>2325</v>
      </c>
      <c r="Q463" s="20" t="s">
        <v>59</v>
      </c>
      <c r="R463" s="20" t="s">
        <v>333</v>
      </c>
      <c r="S463" s="20" t="s">
        <v>333</v>
      </c>
      <c r="T463" s="20" t="s">
        <v>275</v>
      </c>
      <c r="U463" s="20"/>
      <c r="V463" s="20" t="s">
        <v>344</v>
      </c>
      <c r="W463" s="20" t="s">
        <v>333</v>
      </c>
      <c r="X463" s="20" t="s">
        <v>333</v>
      </c>
      <c r="Y463" s="20" t="s">
        <v>333</v>
      </c>
      <c r="Z463" s="20" t="s">
        <v>333</v>
      </c>
      <c r="AA463" s="20" t="s">
        <v>333</v>
      </c>
      <c r="AB463" s="20" t="s">
        <v>333</v>
      </c>
      <c r="AC463" s="20"/>
      <c r="AD463" s="20" t="s">
        <v>333</v>
      </c>
      <c r="AE463" s="20" t="s">
        <v>333</v>
      </c>
      <c r="AF463" s="20" t="s">
        <v>333</v>
      </c>
      <c r="AG463" s="20" t="s">
        <v>344</v>
      </c>
      <c r="AH463" s="20" t="s">
        <v>344</v>
      </c>
      <c r="AI463" s="20" t="s">
        <v>333</v>
      </c>
      <c r="AJ463" s="20"/>
      <c r="AK463" s="20" t="s">
        <v>1673</v>
      </c>
      <c r="AL463" s="20" t="s">
        <v>347</v>
      </c>
      <c r="AM463" s="20" t="s">
        <v>1673</v>
      </c>
      <c r="AN463" s="20" t="s">
        <v>349</v>
      </c>
      <c r="AO463" s="20"/>
      <c r="AP463" s="20" t="s">
        <v>2325</v>
      </c>
      <c r="AQ463" s="20" t="s">
        <v>2325</v>
      </c>
      <c r="AR463" s="20"/>
      <c r="AS463" s="20"/>
    </row>
    <row r="464">
      <c r="A464" s="20" t="s">
        <v>4381</v>
      </c>
      <c r="B464" s="20" t="s">
        <v>2995</v>
      </c>
      <c r="C464" s="20" t="s">
        <v>2996</v>
      </c>
      <c r="D464" s="20" t="s">
        <v>4274</v>
      </c>
      <c r="E464" s="20" t="s">
        <v>49</v>
      </c>
      <c r="F464" s="20"/>
      <c r="G464" s="20"/>
      <c r="H464" s="20" t="s">
        <v>586</v>
      </c>
      <c r="I464" s="20" t="s">
        <v>587</v>
      </c>
      <c r="J464" s="20" t="s">
        <v>74</v>
      </c>
      <c r="K464" s="20" t="s">
        <v>55</v>
      </c>
      <c r="L464" s="20" t="s">
        <v>56</v>
      </c>
      <c r="M464" s="20" t="s">
        <v>57</v>
      </c>
      <c r="N464" s="20" t="s">
        <v>333</v>
      </c>
      <c r="O464" s="20" t="s">
        <v>1596</v>
      </c>
      <c r="P464" s="20" t="s">
        <v>1596</v>
      </c>
      <c r="Q464" s="20" t="s">
        <v>59</v>
      </c>
      <c r="R464" s="20" t="s">
        <v>333</v>
      </c>
      <c r="S464" s="20" t="s">
        <v>333</v>
      </c>
      <c r="T464" s="20" t="s">
        <v>4276</v>
      </c>
      <c r="U464" s="20" t="s">
        <v>275</v>
      </c>
      <c r="V464" s="20" t="s">
        <v>344</v>
      </c>
      <c r="W464" s="20" t="s">
        <v>333</v>
      </c>
      <c r="X464" s="20" t="s">
        <v>333</v>
      </c>
      <c r="Y464" s="20" t="s">
        <v>333</v>
      </c>
      <c r="Z464" s="20" t="s">
        <v>333</v>
      </c>
      <c r="AA464" s="20" t="s">
        <v>333</v>
      </c>
      <c r="AB464" s="20" t="s">
        <v>333</v>
      </c>
      <c r="AC464" s="20"/>
      <c r="AD464" s="20" t="s">
        <v>333</v>
      </c>
      <c r="AE464" s="20" t="s">
        <v>333</v>
      </c>
      <c r="AF464" s="20" t="s">
        <v>333</v>
      </c>
      <c r="AG464" s="20" t="s">
        <v>344</v>
      </c>
      <c r="AH464" s="20" t="s">
        <v>344</v>
      </c>
      <c r="AI464" s="20" t="s">
        <v>333</v>
      </c>
      <c r="AJ464" s="20"/>
      <c r="AK464" s="20" t="s">
        <v>1663</v>
      </c>
      <c r="AL464" s="20" t="s">
        <v>1245</v>
      </c>
      <c r="AM464" s="20" t="s">
        <v>1663</v>
      </c>
      <c r="AN464" s="20" t="s">
        <v>349</v>
      </c>
      <c r="AO464" s="20"/>
      <c r="AP464" s="20" t="s">
        <v>1596</v>
      </c>
      <c r="AQ464" s="20" t="s">
        <v>1596</v>
      </c>
      <c r="AR464" s="20"/>
      <c r="AS464" s="20"/>
    </row>
    <row r="465">
      <c r="A465" s="20" t="s">
        <v>4382</v>
      </c>
      <c r="B465" s="20" t="s">
        <v>640</v>
      </c>
      <c r="C465" s="20" t="s">
        <v>641</v>
      </c>
      <c r="D465" s="20"/>
      <c r="E465" s="20" t="s">
        <v>49</v>
      </c>
      <c r="F465" s="20"/>
      <c r="G465" s="20"/>
      <c r="H465" s="20" t="s">
        <v>147</v>
      </c>
      <c r="I465" s="20" t="s">
        <v>148</v>
      </c>
      <c r="J465" s="20" t="s">
        <v>148</v>
      </c>
      <c r="K465" s="20" t="s">
        <v>55</v>
      </c>
      <c r="L465" s="20" t="s">
        <v>56</v>
      </c>
      <c r="M465" s="20" t="s">
        <v>57</v>
      </c>
      <c r="N465" s="20" t="s">
        <v>333</v>
      </c>
      <c r="O465" s="20" t="s">
        <v>1736</v>
      </c>
      <c r="P465" s="20" t="s">
        <v>1571</v>
      </c>
      <c r="Q465" s="20" t="s">
        <v>59</v>
      </c>
      <c r="R465" s="20" t="s">
        <v>333</v>
      </c>
      <c r="S465" s="20" t="s">
        <v>333</v>
      </c>
      <c r="T465" s="20"/>
      <c r="U465" s="20"/>
      <c r="V465" s="20" t="s">
        <v>344</v>
      </c>
      <c r="W465" s="20" t="s">
        <v>333</v>
      </c>
      <c r="X465" s="20" t="s">
        <v>333</v>
      </c>
      <c r="Y465" s="20" t="s">
        <v>333</v>
      </c>
      <c r="Z465" s="20" t="s">
        <v>333</v>
      </c>
      <c r="AA465" s="20" t="s">
        <v>333</v>
      </c>
      <c r="AB465" s="20" t="s">
        <v>333</v>
      </c>
      <c r="AC465" s="20"/>
      <c r="AD465" s="20" t="s">
        <v>333</v>
      </c>
      <c r="AE465" s="20" t="s">
        <v>333</v>
      </c>
      <c r="AF465" s="20" t="s">
        <v>333</v>
      </c>
      <c r="AG465" s="20" t="s">
        <v>344</v>
      </c>
      <c r="AH465" s="20" t="s">
        <v>344</v>
      </c>
      <c r="AI465" s="20" t="s">
        <v>333</v>
      </c>
      <c r="AJ465" s="20"/>
      <c r="AK465" s="20" t="s">
        <v>1244</v>
      </c>
      <c r="AL465" s="20" t="s">
        <v>1556</v>
      </c>
      <c r="AM465" s="20" t="s">
        <v>1244</v>
      </c>
      <c r="AN465" s="20" t="s">
        <v>349</v>
      </c>
      <c r="AO465" s="20"/>
      <c r="AP465" s="20" t="s">
        <v>1736</v>
      </c>
      <c r="AQ465" s="20" t="s">
        <v>1571</v>
      </c>
      <c r="AR465" s="20"/>
      <c r="AS465" s="20"/>
    </row>
    <row r="466">
      <c r="A466" s="20" t="s">
        <v>4383</v>
      </c>
      <c r="B466" s="20" t="s">
        <v>2749</v>
      </c>
      <c r="C466" s="20" t="s">
        <v>2750</v>
      </c>
      <c r="D466" s="20"/>
      <c r="E466" s="20" t="s">
        <v>49</v>
      </c>
      <c r="F466" s="20"/>
      <c r="G466" s="20"/>
      <c r="H466" s="20" t="s">
        <v>285</v>
      </c>
      <c r="I466" s="20" t="s">
        <v>286</v>
      </c>
      <c r="J466" s="20" t="s">
        <v>74</v>
      </c>
      <c r="K466" s="20" t="s">
        <v>55</v>
      </c>
      <c r="L466" s="20" t="s">
        <v>56</v>
      </c>
      <c r="M466" s="20" t="s">
        <v>57</v>
      </c>
      <c r="N466" s="20" t="s">
        <v>333</v>
      </c>
      <c r="O466" s="20" t="s">
        <v>348</v>
      </c>
      <c r="P466" s="20"/>
      <c r="Q466" s="20" t="s">
        <v>59</v>
      </c>
      <c r="R466" s="20" t="s">
        <v>333</v>
      </c>
      <c r="S466" s="20" t="s">
        <v>333</v>
      </c>
      <c r="T466" s="20"/>
      <c r="U466" s="20"/>
      <c r="V466" s="20" t="s">
        <v>344</v>
      </c>
      <c r="W466" s="20" t="s">
        <v>333</v>
      </c>
      <c r="X466" s="20" t="s">
        <v>333</v>
      </c>
      <c r="Y466" s="20" t="s">
        <v>333</v>
      </c>
      <c r="Z466" s="20" t="s">
        <v>333</v>
      </c>
      <c r="AA466" s="20" t="s">
        <v>333</v>
      </c>
      <c r="AB466" s="20" t="s">
        <v>333</v>
      </c>
      <c r="AC466" s="20"/>
      <c r="AD466" s="20" t="s">
        <v>333</v>
      </c>
      <c r="AE466" s="20" t="s">
        <v>333</v>
      </c>
      <c r="AF466" s="20" t="s">
        <v>333</v>
      </c>
      <c r="AG466" s="20" t="s">
        <v>344</v>
      </c>
      <c r="AH466" s="20" t="s">
        <v>344</v>
      </c>
      <c r="AI466" s="20" t="s">
        <v>333</v>
      </c>
      <c r="AJ466" s="20"/>
      <c r="AK466" s="20" t="s">
        <v>1586</v>
      </c>
      <c r="AL466" s="20" t="s">
        <v>1586</v>
      </c>
      <c r="AM466" s="20" t="s">
        <v>1586</v>
      </c>
      <c r="AN466" s="20" t="s">
        <v>349</v>
      </c>
      <c r="AO466" s="20"/>
      <c r="AP466" s="20" t="s">
        <v>348</v>
      </c>
      <c r="AQ466" s="20" t="s">
        <v>349</v>
      </c>
      <c r="AR466" s="20"/>
      <c r="AS466" s="20"/>
    </row>
    <row r="467">
      <c r="A467" s="20" t="s">
        <v>4384</v>
      </c>
      <c r="B467" s="20" t="s">
        <v>2255</v>
      </c>
      <c r="C467" s="20" t="s">
        <v>2256</v>
      </c>
      <c r="D467" s="20"/>
      <c r="E467" s="20" t="s">
        <v>49</v>
      </c>
      <c r="F467" s="20"/>
      <c r="G467" s="20"/>
      <c r="H467" s="20" t="s">
        <v>123</v>
      </c>
      <c r="I467" s="20" t="s">
        <v>124</v>
      </c>
      <c r="J467" s="20" t="s">
        <v>74</v>
      </c>
      <c r="K467" s="20" t="s">
        <v>55</v>
      </c>
      <c r="L467" s="20" t="s">
        <v>56</v>
      </c>
      <c r="M467" s="20" t="s">
        <v>57</v>
      </c>
      <c r="N467" s="20" t="s">
        <v>333</v>
      </c>
      <c r="O467" s="20" t="s">
        <v>1682</v>
      </c>
      <c r="P467" s="20" t="s">
        <v>1556</v>
      </c>
      <c r="Q467" s="20" t="s">
        <v>59</v>
      </c>
      <c r="R467" s="20" t="s">
        <v>333</v>
      </c>
      <c r="S467" s="20" t="s">
        <v>333</v>
      </c>
      <c r="T467" s="20"/>
      <c r="U467" s="20"/>
      <c r="V467" s="20" t="s">
        <v>344</v>
      </c>
      <c r="W467" s="20" t="s">
        <v>333</v>
      </c>
      <c r="X467" s="20" t="s">
        <v>333</v>
      </c>
      <c r="Y467" s="20" t="s">
        <v>333</v>
      </c>
      <c r="Z467" s="20" t="s">
        <v>333</v>
      </c>
      <c r="AA467" s="20" t="s">
        <v>333</v>
      </c>
      <c r="AB467" s="20" t="s">
        <v>333</v>
      </c>
      <c r="AC467" s="20"/>
      <c r="AD467" s="20" t="s">
        <v>333</v>
      </c>
      <c r="AE467" s="20" t="s">
        <v>333</v>
      </c>
      <c r="AF467" s="20" t="s">
        <v>333</v>
      </c>
      <c r="AG467" s="20" t="s">
        <v>344</v>
      </c>
      <c r="AH467" s="20" t="s">
        <v>344</v>
      </c>
      <c r="AI467" s="20" t="s">
        <v>333</v>
      </c>
      <c r="AJ467" s="20"/>
      <c r="AK467" s="20" t="s">
        <v>1244</v>
      </c>
      <c r="AL467" s="20" t="s">
        <v>1673</v>
      </c>
      <c r="AM467" s="20" t="s">
        <v>1244</v>
      </c>
      <c r="AN467" s="20" t="s">
        <v>349</v>
      </c>
      <c r="AO467" s="20"/>
      <c r="AP467" s="20" t="s">
        <v>1682</v>
      </c>
      <c r="AQ467" s="20" t="s">
        <v>1556</v>
      </c>
      <c r="AR467" s="20"/>
      <c r="AS467" s="20"/>
    </row>
    <row r="468">
      <c r="A468" s="20" t="s">
        <v>4385</v>
      </c>
      <c r="B468" s="20" t="s">
        <v>3646</v>
      </c>
      <c r="C468" s="20" t="s">
        <v>3647</v>
      </c>
      <c r="D468" s="20" t="s">
        <v>3648</v>
      </c>
      <c r="E468" s="20" t="s">
        <v>49</v>
      </c>
      <c r="F468" s="20"/>
      <c r="G468" s="20"/>
      <c r="H468" s="20" t="s">
        <v>2953</v>
      </c>
      <c r="I468" s="20" t="s">
        <v>116</v>
      </c>
      <c r="J468" s="20" t="s">
        <v>74</v>
      </c>
      <c r="K468" s="20" t="s">
        <v>55</v>
      </c>
      <c r="L468" s="20" t="s">
        <v>56</v>
      </c>
      <c r="M468" s="20" t="s">
        <v>57</v>
      </c>
      <c r="N468" s="20" t="s">
        <v>333</v>
      </c>
      <c r="O468" s="20" t="s">
        <v>1596</v>
      </c>
      <c r="P468" s="20"/>
      <c r="Q468" s="20" t="s">
        <v>59</v>
      </c>
      <c r="R468" s="20" t="s">
        <v>333</v>
      </c>
      <c r="S468" s="20" t="s">
        <v>333</v>
      </c>
      <c r="T468" s="20" t="s">
        <v>275</v>
      </c>
      <c r="U468" s="20"/>
      <c r="V468" s="20" t="s">
        <v>344</v>
      </c>
      <c r="W468" s="20" t="s">
        <v>333</v>
      </c>
      <c r="X468" s="20" t="s">
        <v>333</v>
      </c>
      <c r="Y468" s="20" t="s">
        <v>333</v>
      </c>
      <c r="Z468" s="20" t="s">
        <v>333</v>
      </c>
      <c r="AA468" s="20" t="s">
        <v>333</v>
      </c>
      <c r="AB468" s="20" t="s">
        <v>333</v>
      </c>
      <c r="AC468" s="20"/>
      <c r="AD468" s="20" t="s">
        <v>333</v>
      </c>
      <c r="AE468" s="20" t="s">
        <v>333</v>
      </c>
      <c r="AF468" s="20" t="s">
        <v>333</v>
      </c>
      <c r="AG468" s="20" t="s">
        <v>344</v>
      </c>
      <c r="AH468" s="20" t="s">
        <v>344</v>
      </c>
      <c r="AI468" s="20" t="s">
        <v>333</v>
      </c>
      <c r="AJ468" s="20"/>
      <c r="AK468" s="20" t="s">
        <v>1244</v>
      </c>
      <c r="AL468" s="20" t="s">
        <v>1245</v>
      </c>
      <c r="AM468" s="20" t="s">
        <v>1244</v>
      </c>
      <c r="AN468" s="20" t="s">
        <v>349</v>
      </c>
      <c r="AO468" s="20"/>
      <c r="AP468" s="20" t="s">
        <v>1596</v>
      </c>
      <c r="AQ468" s="20" t="s">
        <v>349</v>
      </c>
      <c r="AR468" s="20"/>
      <c r="AS468" s="20"/>
    </row>
    <row r="469">
      <c r="A469" s="20" t="s">
        <v>4386</v>
      </c>
      <c r="B469" s="20" t="s">
        <v>1276</v>
      </c>
      <c r="C469" s="20" t="s">
        <v>1277</v>
      </c>
      <c r="D469" s="20"/>
      <c r="E469" s="20" t="s">
        <v>49</v>
      </c>
      <c r="F469" s="20"/>
      <c r="G469" s="20"/>
      <c r="H469" s="20" t="s">
        <v>1281</v>
      </c>
      <c r="I469" s="20" t="s">
        <v>1283</v>
      </c>
      <c r="J469" s="20" t="s">
        <v>1283</v>
      </c>
      <c r="K469" s="20" t="s">
        <v>55</v>
      </c>
      <c r="L469" s="20" t="s">
        <v>56</v>
      </c>
      <c r="M469" s="20" t="s">
        <v>57</v>
      </c>
      <c r="N469" s="20" t="s">
        <v>333</v>
      </c>
      <c r="O469" s="20" t="s">
        <v>1559</v>
      </c>
      <c r="P469" s="20" t="s">
        <v>1586</v>
      </c>
      <c r="Q469" s="20" t="s">
        <v>59</v>
      </c>
      <c r="R469" s="20" t="s">
        <v>333</v>
      </c>
      <c r="S469" s="20" t="s">
        <v>333</v>
      </c>
      <c r="T469" s="20"/>
      <c r="U469" s="20"/>
      <c r="V469" s="20" t="s">
        <v>344</v>
      </c>
      <c r="W469" s="20" t="s">
        <v>333</v>
      </c>
      <c r="X469" s="20" t="s">
        <v>333</v>
      </c>
      <c r="Y469" s="20" t="s">
        <v>333</v>
      </c>
      <c r="Z469" s="20" t="s">
        <v>333</v>
      </c>
      <c r="AA469" s="20" t="s">
        <v>333</v>
      </c>
      <c r="AB469" s="20" t="s">
        <v>333</v>
      </c>
      <c r="AC469" s="20"/>
      <c r="AD469" s="20" t="s">
        <v>333</v>
      </c>
      <c r="AE469" s="20" t="s">
        <v>333</v>
      </c>
      <c r="AF469" s="20" t="s">
        <v>333</v>
      </c>
      <c r="AG469" s="20" t="s">
        <v>344</v>
      </c>
      <c r="AH469" s="20" t="s">
        <v>344</v>
      </c>
      <c r="AI469" s="20" t="s">
        <v>333</v>
      </c>
      <c r="AJ469" s="20"/>
      <c r="AK469" s="20" t="s">
        <v>1244</v>
      </c>
      <c r="AL469" s="20" t="s">
        <v>348</v>
      </c>
      <c r="AM469" s="20" t="s">
        <v>1244</v>
      </c>
      <c r="AN469" s="20" t="s">
        <v>349</v>
      </c>
      <c r="AO469" s="20"/>
      <c r="AP469" s="20" t="s">
        <v>1559</v>
      </c>
      <c r="AQ469" s="20" t="s">
        <v>1586</v>
      </c>
      <c r="AR469" s="20"/>
      <c r="AS469" s="20"/>
    </row>
    <row r="470">
      <c r="A470" s="32" t="s">
        <v>4387</v>
      </c>
      <c r="B470" s="32" t="s">
        <v>2712</v>
      </c>
      <c r="C470" s="32" t="s">
        <v>2713</v>
      </c>
      <c r="D470" s="48" t="s">
        <v>2715</v>
      </c>
      <c r="E470" s="32" t="s">
        <v>49</v>
      </c>
      <c r="F470" s="32" t="s">
        <v>4388</v>
      </c>
      <c r="G470" s="32" t="s">
        <v>4389</v>
      </c>
      <c r="H470" s="32" t="s">
        <v>285</v>
      </c>
      <c r="I470" s="32" t="s">
        <v>286</v>
      </c>
      <c r="J470" s="32" t="s">
        <v>74</v>
      </c>
      <c r="K470" s="32" t="s">
        <v>55</v>
      </c>
      <c r="L470" s="32" t="s">
        <v>56</v>
      </c>
      <c r="M470" s="32" t="s">
        <v>57</v>
      </c>
      <c r="N470" s="32" t="s">
        <v>333</v>
      </c>
      <c r="O470" s="32" t="s">
        <v>1591</v>
      </c>
      <c r="P470" s="32" t="s">
        <v>2262</v>
      </c>
      <c r="Q470" s="32" t="s">
        <v>59</v>
      </c>
      <c r="R470" s="32" t="s">
        <v>333</v>
      </c>
      <c r="S470" s="32" t="s">
        <v>333</v>
      </c>
      <c r="T470" s="32"/>
      <c r="U470" s="32"/>
      <c r="V470" s="32" t="s">
        <v>344</v>
      </c>
      <c r="W470" s="32" t="s">
        <v>333</v>
      </c>
      <c r="X470" s="32" t="s">
        <v>333</v>
      </c>
      <c r="Y470" s="32" t="s">
        <v>333</v>
      </c>
      <c r="Z470" s="32" t="s">
        <v>333</v>
      </c>
      <c r="AA470" s="32" t="s">
        <v>333</v>
      </c>
      <c r="AB470" s="32" t="s">
        <v>333</v>
      </c>
      <c r="AC470" s="32"/>
      <c r="AD470" s="32" t="s">
        <v>333</v>
      </c>
      <c r="AE470" s="32" t="s">
        <v>333</v>
      </c>
      <c r="AF470" s="32" t="s">
        <v>333</v>
      </c>
      <c r="AG470" s="32" t="s">
        <v>344</v>
      </c>
      <c r="AH470" s="32" t="s">
        <v>344</v>
      </c>
      <c r="AI470" s="32" t="s">
        <v>333</v>
      </c>
      <c r="AJ470" s="32"/>
      <c r="AK470" s="32" t="s">
        <v>1244</v>
      </c>
      <c r="AL470" s="32" t="s">
        <v>1673</v>
      </c>
      <c r="AM470" s="32" t="s">
        <v>1244</v>
      </c>
      <c r="AN470" s="32" t="s">
        <v>349</v>
      </c>
      <c r="AO470" s="32"/>
      <c r="AP470" s="32" t="s">
        <v>1591</v>
      </c>
      <c r="AQ470" s="32" t="s">
        <v>2262</v>
      </c>
      <c r="AR470" s="21" t="s">
        <v>1931</v>
      </c>
      <c r="AS470" s="21">
        <v>2.0</v>
      </c>
    </row>
    <row r="471">
      <c r="A471" s="20" t="s">
        <v>4390</v>
      </c>
      <c r="B471" s="20" t="s">
        <v>4391</v>
      </c>
      <c r="C471" s="20" t="s">
        <v>4392</v>
      </c>
      <c r="D471" s="20"/>
      <c r="E471" s="20" t="s">
        <v>49</v>
      </c>
      <c r="F471" s="20"/>
      <c r="G471" s="20"/>
      <c r="H471" s="20" t="s">
        <v>570</v>
      </c>
      <c r="I471" s="20" t="s">
        <v>571</v>
      </c>
      <c r="J471" s="20" t="s">
        <v>571</v>
      </c>
      <c r="K471" s="20" t="s">
        <v>55</v>
      </c>
      <c r="L471" s="20" t="s">
        <v>56</v>
      </c>
      <c r="M471" s="20" t="s">
        <v>57</v>
      </c>
      <c r="N471" s="20" t="s">
        <v>333</v>
      </c>
      <c r="O471" s="20" t="s">
        <v>4393</v>
      </c>
      <c r="P471" s="20" t="s">
        <v>1591</v>
      </c>
      <c r="Q471" s="20" t="s">
        <v>59</v>
      </c>
      <c r="R471" s="20" t="s">
        <v>333</v>
      </c>
      <c r="S471" s="20" t="s">
        <v>333</v>
      </c>
      <c r="T471" s="20"/>
      <c r="U471" s="20"/>
      <c r="V471" s="20" t="s">
        <v>344</v>
      </c>
      <c r="W471" s="20" t="s">
        <v>333</v>
      </c>
      <c r="X471" s="20" t="s">
        <v>333</v>
      </c>
      <c r="Y471" s="20" t="s">
        <v>333</v>
      </c>
      <c r="Z471" s="20" t="s">
        <v>333</v>
      </c>
      <c r="AA471" s="20" t="s">
        <v>333</v>
      </c>
      <c r="AB471" s="20" t="s">
        <v>333</v>
      </c>
      <c r="AC471" s="20"/>
      <c r="AD471" s="20" t="s">
        <v>333</v>
      </c>
      <c r="AE471" s="20" t="s">
        <v>333</v>
      </c>
      <c r="AF471" s="20" t="s">
        <v>333</v>
      </c>
      <c r="AG471" s="20" t="s">
        <v>344</v>
      </c>
      <c r="AH471" s="20" t="s">
        <v>344</v>
      </c>
      <c r="AI471" s="20" t="s">
        <v>333</v>
      </c>
      <c r="AJ471" s="20"/>
      <c r="AK471" s="20" t="s">
        <v>1245</v>
      </c>
      <c r="AL471" s="20" t="s">
        <v>347</v>
      </c>
      <c r="AM471" s="20" t="s">
        <v>1245</v>
      </c>
      <c r="AN471" s="20" t="s">
        <v>349</v>
      </c>
      <c r="AO471" s="20"/>
      <c r="AP471" s="20" t="s">
        <v>4393</v>
      </c>
      <c r="AQ471" s="20" t="s">
        <v>1591</v>
      </c>
      <c r="AR471" s="20"/>
      <c r="AS471" s="20"/>
    </row>
    <row r="472">
      <c r="A472" s="20" t="s">
        <v>4394</v>
      </c>
      <c r="B472" s="20" t="s">
        <v>3846</v>
      </c>
      <c r="C472" s="20" t="s">
        <v>3847</v>
      </c>
      <c r="D472" s="20" t="s">
        <v>4395</v>
      </c>
      <c r="E472" s="20" t="s">
        <v>49</v>
      </c>
      <c r="F472" s="20"/>
      <c r="G472" s="20"/>
      <c r="H472" s="20" t="s">
        <v>860</v>
      </c>
      <c r="I472" s="20" t="s">
        <v>861</v>
      </c>
      <c r="J472" s="20" t="s">
        <v>74</v>
      </c>
      <c r="K472" s="20" t="s">
        <v>55</v>
      </c>
      <c r="L472" s="20" t="s">
        <v>56</v>
      </c>
      <c r="M472" s="20" t="s">
        <v>57</v>
      </c>
      <c r="N472" s="20" t="s">
        <v>333</v>
      </c>
      <c r="O472" s="20" t="s">
        <v>2544</v>
      </c>
      <c r="P472" s="20" t="s">
        <v>2717</v>
      </c>
      <c r="Q472" s="20" t="s">
        <v>59</v>
      </c>
      <c r="R472" s="20" t="s">
        <v>333</v>
      </c>
      <c r="S472" s="20" t="s">
        <v>333</v>
      </c>
      <c r="T472" s="20" t="s">
        <v>3852</v>
      </c>
      <c r="U472" s="20" t="s">
        <v>3852</v>
      </c>
      <c r="V472" s="20" t="s">
        <v>344</v>
      </c>
      <c r="W472" s="20" t="s">
        <v>333</v>
      </c>
      <c r="X472" s="20" t="s">
        <v>333</v>
      </c>
      <c r="Y472" s="20" t="s">
        <v>333</v>
      </c>
      <c r="Z472" s="20" t="s">
        <v>333</v>
      </c>
      <c r="AA472" s="20" t="s">
        <v>333</v>
      </c>
      <c r="AB472" s="20" t="s">
        <v>333</v>
      </c>
      <c r="AC472" s="20"/>
      <c r="AD472" s="20" t="s">
        <v>333</v>
      </c>
      <c r="AE472" s="20" t="s">
        <v>344</v>
      </c>
      <c r="AF472" s="20" t="s">
        <v>333</v>
      </c>
      <c r="AG472" s="20" t="s">
        <v>344</v>
      </c>
      <c r="AH472" s="20" t="s">
        <v>344</v>
      </c>
      <c r="AI472" s="20" t="s">
        <v>333</v>
      </c>
      <c r="AJ472" s="20"/>
      <c r="AK472" s="20" t="s">
        <v>1581</v>
      </c>
      <c r="AL472" s="20" t="s">
        <v>1596</v>
      </c>
      <c r="AM472" s="20" t="s">
        <v>1581</v>
      </c>
      <c r="AN472" s="20" t="s">
        <v>349</v>
      </c>
      <c r="AO472" s="20"/>
      <c r="AP472" s="20" t="s">
        <v>2544</v>
      </c>
      <c r="AQ472" s="20" t="s">
        <v>2717</v>
      </c>
      <c r="AR472" s="20"/>
      <c r="AS472" s="20"/>
    </row>
    <row r="473">
      <c r="A473" s="20" t="s">
        <v>4396</v>
      </c>
      <c r="B473" s="20" t="s">
        <v>2574</v>
      </c>
      <c r="C473" s="20" t="s">
        <v>2575</v>
      </c>
      <c r="D473" s="20"/>
      <c r="E473" s="20" t="s">
        <v>49</v>
      </c>
      <c r="F473" s="20"/>
      <c r="G473" s="20"/>
      <c r="H473" s="20" t="s">
        <v>802</v>
      </c>
      <c r="I473" s="20" t="s">
        <v>803</v>
      </c>
      <c r="J473" s="20" t="s">
        <v>74</v>
      </c>
      <c r="K473" s="20" t="s">
        <v>55</v>
      </c>
      <c r="L473" s="20" t="s">
        <v>56</v>
      </c>
      <c r="M473" s="20" t="s">
        <v>57</v>
      </c>
      <c r="N473" s="20" t="s">
        <v>333</v>
      </c>
      <c r="O473" s="20" t="s">
        <v>1596</v>
      </c>
      <c r="P473" s="20" t="s">
        <v>1596</v>
      </c>
      <c r="Q473" s="20" t="s">
        <v>59</v>
      </c>
      <c r="R473" s="20" t="s">
        <v>333</v>
      </c>
      <c r="S473" s="20" t="s">
        <v>333</v>
      </c>
      <c r="T473" s="20"/>
      <c r="U473" s="20"/>
      <c r="V473" s="20" t="s">
        <v>344</v>
      </c>
      <c r="W473" s="20" t="s">
        <v>333</v>
      </c>
      <c r="X473" s="20" t="s">
        <v>333</v>
      </c>
      <c r="Y473" s="20" t="s">
        <v>333</v>
      </c>
      <c r="Z473" s="20" t="s">
        <v>333</v>
      </c>
      <c r="AA473" s="20" t="s">
        <v>333</v>
      </c>
      <c r="AB473" s="20" t="s">
        <v>333</v>
      </c>
      <c r="AC473" s="20"/>
      <c r="AD473" s="20" t="s">
        <v>333</v>
      </c>
      <c r="AE473" s="20" t="s">
        <v>333</v>
      </c>
      <c r="AF473" s="20" t="s">
        <v>333</v>
      </c>
      <c r="AG473" s="20" t="s">
        <v>344</v>
      </c>
      <c r="AH473" s="20" t="s">
        <v>344</v>
      </c>
      <c r="AI473" s="20" t="s">
        <v>333</v>
      </c>
      <c r="AJ473" s="20"/>
      <c r="AK473" s="20" t="s">
        <v>347</v>
      </c>
      <c r="AL473" s="20" t="s">
        <v>1673</v>
      </c>
      <c r="AM473" s="20" t="s">
        <v>347</v>
      </c>
      <c r="AN473" s="20" t="s">
        <v>349</v>
      </c>
      <c r="AO473" s="20"/>
      <c r="AP473" s="20" t="s">
        <v>1596</v>
      </c>
      <c r="AQ473" s="20" t="s">
        <v>1596</v>
      </c>
      <c r="AR473" s="20"/>
      <c r="AS473" s="20"/>
    </row>
    <row r="474">
      <c r="A474" s="20" t="s">
        <v>4397</v>
      </c>
      <c r="B474" s="20" t="s">
        <v>2102</v>
      </c>
      <c r="C474" s="20" t="s">
        <v>2103</v>
      </c>
      <c r="D474" s="20"/>
      <c r="E474" s="20" t="s">
        <v>49</v>
      </c>
      <c r="F474" s="20"/>
      <c r="G474" s="20"/>
      <c r="H474" s="20" t="s">
        <v>472</v>
      </c>
      <c r="I474" s="20" t="s">
        <v>473</v>
      </c>
      <c r="J474" s="20" t="s">
        <v>74</v>
      </c>
      <c r="K474" s="20" t="s">
        <v>55</v>
      </c>
      <c r="L474" s="20" t="s">
        <v>56</v>
      </c>
      <c r="M474" s="20" t="s">
        <v>57</v>
      </c>
      <c r="N474" s="20" t="s">
        <v>333</v>
      </c>
      <c r="O474" s="20" t="s">
        <v>1239</v>
      </c>
      <c r="P474" s="20" t="s">
        <v>1586</v>
      </c>
      <c r="Q474" s="20" t="s">
        <v>59</v>
      </c>
      <c r="R474" s="20" t="s">
        <v>333</v>
      </c>
      <c r="S474" s="20" t="s">
        <v>333</v>
      </c>
      <c r="T474" s="20"/>
      <c r="U474" s="20"/>
      <c r="V474" s="20" t="s">
        <v>344</v>
      </c>
      <c r="W474" s="20" t="s">
        <v>333</v>
      </c>
      <c r="X474" s="20" t="s">
        <v>333</v>
      </c>
      <c r="Y474" s="20" t="s">
        <v>333</v>
      </c>
      <c r="Z474" s="20" t="s">
        <v>333</v>
      </c>
      <c r="AA474" s="20" t="s">
        <v>333</v>
      </c>
      <c r="AB474" s="20" t="s">
        <v>333</v>
      </c>
      <c r="AC474" s="20"/>
      <c r="AD474" s="20" t="s">
        <v>333</v>
      </c>
      <c r="AE474" s="20" t="s">
        <v>333</v>
      </c>
      <c r="AF474" s="20" t="s">
        <v>333</v>
      </c>
      <c r="AG474" s="20" t="s">
        <v>344</v>
      </c>
      <c r="AH474" s="20" t="s">
        <v>344</v>
      </c>
      <c r="AI474" s="20" t="s">
        <v>333</v>
      </c>
      <c r="AJ474" s="20"/>
      <c r="AK474" s="20" t="s">
        <v>1244</v>
      </c>
      <c r="AL474" s="20" t="s">
        <v>1245</v>
      </c>
      <c r="AM474" s="20" t="s">
        <v>1244</v>
      </c>
      <c r="AN474" s="20" t="s">
        <v>349</v>
      </c>
      <c r="AO474" s="20"/>
      <c r="AP474" s="20" t="s">
        <v>1239</v>
      </c>
      <c r="AQ474" s="20" t="s">
        <v>1586</v>
      </c>
      <c r="AR474" s="20"/>
      <c r="AS474" s="20"/>
    </row>
    <row r="475">
      <c r="A475" s="20" t="s">
        <v>4398</v>
      </c>
      <c r="B475" s="20" t="s">
        <v>3473</v>
      </c>
      <c r="C475" s="20" t="s">
        <v>3474</v>
      </c>
      <c r="D475" s="20"/>
      <c r="E475" s="20" t="s">
        <v>49</v>
      </c>
      <c r="F475" s="20"/>
      <c r="G475" s="20"/>
      <c r="H475" s="20" t="s">
        <v>586</v>
      </c>
      <c r="I475" s="20" t="s">
        <v>587</v>
      </c>
      <c r="J475" s="20" t="s">
        <v>74</v>
      </c>
      <c r="K475" s="20" t="s">
        <v>55</v>
      </c>
      <c r="L475" s="20" t="s">
        <v>56</v>
      </c>
      <c r="M475" s="20" t="s">
        <v>57</v>
      </c>
      <c r="N475" s="20" t="s">
        <v>333</v>
      </c>
      <c r="O475" s="20" t="s">
        <v>1556</v>
      </c>
      <c r="P475" s="20"/>
      <c r="Q475" s="20" t="s">
        <v>59</v>
      </c>
      <c r="R475" s="20" t="s">
        <v>333</v>
      </c>
      <c r="S475" s="20" t="s">
        <v>333</v>
      </c>
      <c r="T475" s="20"/>
      <c r="U475" s="20"/>
      <c r="V475" s="20" t="s">
        <v>344</v>
      </c>
      <c r="W475" s="20" t="s">
        <v>333</v>
      </c>
      <c r="X475" s="20" t="s">
        <v>333</v>
      </c>
      <c r="Y475" s="20" t="s">
        <v>333</v>
      </c>
      <c r="Z475" s="20" t="s">
        <v>333</v>
      </c>
      <c r="AA475" s="20" t="s">
        <v>333</v>
      </c>
      <c r="AB475" s="20" t="s">
        <v>333</v>
      </c>
      <c r="AC475" s="20"/>
      <c r="AD475" s="20" t="s">
        <v>333</v>
      </c>
      <c r="AE475" s="20" t="s">
        <v>333</v>
      </c>
      <c r="AF475" s="20" t="s">
        <v>333</v>
      </c>
      <c r="AG475" s="20" t="s">
        <v>344</v>
      </c>
      <c r="AH475" s="20" t="s">
        <v>344</v>
      </c>
      <c r="AI475" s="20" t="s">
        <v>333</v>
      </c>
      <c r="AJ475" s="20"/>
      <c r="AK475" s="20" t="s">
        <v>1736</v>
      </c>
      <c r="AL475" s="20" t="s">
        <v>348</v>
      </c>
      <c r="AM475" s="20" t="s">
        <v>1736</v>
      </c>
      <c r="AN475" s="20" t="s">
        <v>349</v>
      </c>
      <c r="AO475" s="20"/>
      <c r="AP475" s="20" t="s">
        <v>1556</v>
      </c>
      <c r="AQ475" s="20" t="s">
        <v>349</v>
      </c>
      <c r="AR475" s="20"/>
      <c r="AS475" s="20"/>
    </row>
    <row r="476">
      <c r="A476" s="20" t="s">
        <v>2461</v>
      </c>
      <c r="B476" s="20" t="s">
        <v>242</v>
      </c>
      <c r="C476" s="20" t="s">
        <v>244</v>
      </c>
      <c r="D476" s="20"/>
      <c r="E476" s="20" t="s">
        <v>49</v>
      </c>
      <c r="F476" s="20"/>
      <c r="G476" s="20"/>
      <c r="H476" s="20" t="s">
        <v>147</v>
      </c>
      <c r="I476" s="20" t="s">
        <v>148</v>
      </c>
      <c r="J476" s="20" t="s">
        <v>148</v>
      </c>
      <c r="K476" s="20" t="s">
        <v>55</v>
      </c>
      <c r="L476" s="20" t="s">
        <v>56</v>
      </c>
      <c r="M476" s="20" t="s">
        <v>57</v>
      </c>
      <c r="N476" s="20" t="s">
        <v>333</v>
      </c>
      <c r="O476" s="20" t="s">
        <v>1682</v>
      </c>
      <c r="P476" s="20" t="s">
        <v>1556</v>
      </c>
      <c r="Q476" s="20" t="s">
        <v>59</v>
      </c>
      <c r="R476" s="20" t="s">
        <v>333</v>
      </c>
      <c r="S476" s="20" t="s">
        <v>333</v>
      </c>
      <c r="T476" s="20"/>
      <c r="U476" s="20"/>
      <c r="V476" s="20" t="s">
        <v>344</v>
      </c>
      <c r="W476" s="20" t="s">
        <v>333</v>
      </c>
      <c r="X476" s="20" t="s">
        <v>333</v>
      </c>
      <c r="Y476" s="20" t="s">
        <v>333</v>
      </c>
      <c r="Z476" s="20" t="s">
        <v>333</v>
      </c>
      <c r="AA476" s="20" t="s">
        <v>333</v>
      </c>
      <c r="AB476" s="20" t="s">
        <v>333</v>
      </c>
      <c r="AC476" s="20"/>
      <c r="AD476" s="20" t="s">
        <v>333</v>
      </c>
      <c r="AE476" s="20" t="s">
        <v>333</v>
      </c>
      <c r="AF476" s="20" t="s">
        <v>333</v>
      </c>
      <c r="AG476" s="20" t="s">
        <v>344</v>
      </c>
      <c r="AH476" s="20" t="s">
        <v>344</v>
      </c>
      <c r="AI476" s="20" t="s">
        <v>333</v>
      </c>
      <c r="AJ476" s="20"/>
      <c r="AK476" s="20" t="s">
        <v>1940</v>
      </c>
      <c r="AL476" s="20" t="s">
        <v>1238</v>
      </c>
      <c r="AM476" s="20" t="s">
        <v>1940</v>
      </c>
      <c r="AN476" s="20" t="s">
        <v>349</v>
      </c>
      <c r="AO476" s="20"/>
      <c r="AP476" s="20" t="s">
        <v>1682</v>
      </c>
      <c r="AQ476" s="20" t="s">
        <v>1556</v>
      </c>
      <c r="AR476" s="20"/>
      <c r="AS476" s="20"/>
    </row>
    <row r="477">
      <c r="A477" s="20" t="s">
        <v>4399</v>
      </c>
      <c r="B477" s="20" t="s">
        <v>4140</v>
      </c>
      <c r="C477" s="20" t="s">
        <v>4141</v>
      </c>
      <c r="D477" s="20" t="s">
        <v>4142</v>
      </c>
      <c r="E477" s="20" t="s">
        <v>49</v>
      </c>
      <c r="F477" s="20"/>
      <c r="G477" s="20"/>
      <c r="H477" s="20" t="s">
        <v>303</v>
      </c>
      <c r="I477" s="20" t="s">
        <v>303</v>
      </c>
      <c r="J477" s="20" t="s">
        <v>74</v>
      </c>
      <c r="K477" s="20" t="s">
        <v>55</v>
      </c>
      <c r="L477" s="20" t="s">
        <v>56</v>
      </c>
      <c r="M477" s="20" t="s">
        <v>57</v>
      </c>
      <c r="N477" s="20" t="s">
        <v>333</v>
      </c>
      <c r="O477" s="20" t="s">
        <v>1688</v>
      </c>
      <c r="P477" s="20" t="s">
        <v>1586</v>
      </c>
      <c r="Q477" s="20" t="s">
        <v>59</v>
      </c>
      <c r="R477" s="20" t="s">
        <v>333</v>
      </c>
      <c r="S477" s="20" t="s">
        <v>333</v>
      </c>
      <c r="T477" s="20" t="s">
        <v>4144</v>
      </c>
      <c r="U477" s="20"/>
      <c r="V477" s="20" t="s">
        <v>344</v>
      </c>
      <c r="W477" s="20" t="s">
        <v>333</v>
      </c>
      <c r="X477" s="20" t="s">
        <v>333</v>
      </c>
      <c r="Y477" s="20" t="s">
        <v>333</v>
      </c>
      <c r="Z477" s="20" t="s">
        <v>333</v>
      </c>
      <c r="AA477" s="20" t="s">
        <v>333</v>
      </c>
      <c r="AB477" s="20" t="s">
        <v>333</v>
      </c>
      <c r="AC477" s="20"/>
      <c r="AD477" s="20" t="s">
        <v>333</v>
      </c>
      <c r="AE477" s="20" t="s">
        <v>333</v>
      </c>
      <c r="AF477" s="20" t="s">
        <v>333</v>
      </c>
      <c r="AG477" s="20" t="s">
        <v>344</v>
      </c>
      <c r="AH477" s="20" t="s">
        <v>344</v>
      </c>
      <c r="AI477" s="20" t="s">
        <v>333</v>
      </c>
      <c r="AJ477" s="20"/>
      <c r="AK477" s="20" t="s">
        <v>1717</v>
      </c>
      <c r="AL477" s="20" t="s">
        <v>1245</v>
      </c>
      <c r="AM477" s="20" t="s">
        <v>1717</v>
      </c>
      <c r="AN477" s="20" t="s">
        <v>349</v>
      </c>
      <c r="AO477" s="20"/>
      <c r="AP477" s="20" t="s">
        <v>1688</v>
      </c>
      <c r="AQ477" s="20" t="s">
        <v>1586</v>
      </c>
      <c r="AR477" s="20"/>
      <c r="AS477" s="20"/>
    </row>
    <row r="478">
      <c r="A478" s="20" t="s">
        <v>4400</v>
      </c>
      <c r="B478" s="20" t="s">
        <v>3108</v>
      </c>
      <c r="C478" s="20" t="s">
        <v>3109</v>
      </c>
      <c r="D478" s="20"/>
      <c r="E478" s="20" t="s">
        <v>49</v>
      </c>
      <c r="F478" s="20"/>
      <c r="G478" s="20"/>
      <c r="H478" s="20" t="s">
        <v>72</v>
      </c>
      <c r="I478" s="20" t="s">
        <v>73</v>
      </c>
      <c r="J478" s="20" t="s">
        <v>74</v>
      </c>
      <c r="K478" s="20" t="s">
        <v>55</v>
      </c>
      <c r="L478" s="20" t="s">
        <v>56</v>
      </c>
      <c r="M478" s="20" t="s">
        <v>57</v>
      </c>
      <c r="N478" s="20" t="s">
        <v>333</v>
      </c>
      <c r="O478" s="20" t="s">
        <v>1720</v>
      </c>
      <c r="P478" s="20" t="s">
        <v>1688</v>
      </c>
      <c r="Q478" s="20" t="s">
        <v>59</v>
      </c>
      <c r="R478" s="20" t="s">
        <v>333</v>
      </c>
      <c r="S478" s="20" t="s">
        <v>333</v>
      </c>
      <c r="T478" s="20"/>
      <c r="U478" s="20"/>
      <c r="V478" s="20" t="s">
        <v>344</v>
      </c>
      <c r="W478" s="20" t="s">
        <v>333</v>
      </c>
      <c r="X478" s="20" t="s">
        <v>333</v>
      </c>
      <c r="Y478" s="20" t="s">
        <v>333</v>
      </c>
      <c r="Z478" s="20" t="s">
        <v>333</v>
      </c>
      <c r="AA478" s="20" t="s">
        <v>333</v>
      </c>
      <c r="AB478" s="20" t="s">
        <v>333</v>
      </c>
      <c r="AC478" s="20"/>
      <c r="AD478" s="20" t="s">
        <v>333</v>
      </c>
      <c r="AE478" s="20" t="s">
        <v>333</v>
      </c>
      <c r="AF478" s="20" t="s">
        <v>333</v>
      </c>
      <c r="AG478" s="20" t="s">
        <v>344</v>
      </c>
      <c r="AH478" s="20" t="s">
        <v>344</v>
      </c>
      <c r="AI478" s="20" t="s">
        <v>333</v>
      </c>
      <c r="AJ478" s="20"/>
      <c r="AK478" s="20" t="s">
        <v>1717</v>
      </c>
      <c r="AL478" s="20" t="s">
        <v>1261</v>
      </c>
      <c r="AM478" s="20" t="s">
        <v>1717</v>
      </c>
      <c r="AN478" s="20" t="s">
        <v>349</v>
      </c>
      <c r="AO478" s="20"/>
      <c r="AP478" s="20" t="s">
        <v>1720</v>
      </c>
      <c r="AQ478" s="20" t="s">
        <v>1688</v>
      </c>
      <c r="AR478" s="20"/>
      <c r="AS478" s="20"/>
    </row>
    <row r="479">
      <c r="A479" s="20" t="s">
        <v>4401</v>
      </c>
      <c r="B479" s="20" t="s">
        <v>3675</v>
      </c>
      <c r="C479" s="20" t="s">
        <v>3676</v>
      </c>
      <c r="D479" s="20"/>
      <c r="E479" s="20" t="s">
        <v>49</v>
      </c>
      <c r="F479" s="20"/>
      <c r="G479" s="20" t="s">
        <v>3678</v>
      </c>
      <c r="H479" s="20" t="s">
        <v>513</v>
      </c>
      <c r="I479" s="20" t="s">
        <v>514</v>
      </c>
      <c r="J479" s="20" t="s">
        <v>74</v>
      </c>
      <c r="K479" s="20" t="s">
        <v>55</v>
      </c>
      <c r="L479" s="20" t="s">
        <v>56</v>
      </c>
      <c r="M479" s="20" t="s">
        <v>57</v>
      </c>
      <c r="N479" s="20" t="s">
        <v>333</v>
      </c>
      <c r="O479" s="20" t="s">
        <v>1682</v>
      </c>
      <c r="P479" s="20" t="s">
        <v>1556</v>
      </c>
      <c r="Q479" s="20" t="s">
        <v>59</v>
      </c>
      <c r="R479" s="20" t="s">
        <v>333</v>
      </c>
      <c r="S479" s="20" t="s">
        <v>333</v>
      </c>
      <c r="T479" s="20"/>
      <c r="U479" s="20"/>
      <c r="V479" s="20" t="s">
        <v>344</v>
      </c>
      <c r="W479" s="20" t="s">
        <v>333</v>
      </c>
      <c r="X479" s="20" t="s">
        <v>333</v>
      </c>
      <c r="Y479" s="20" t="s">
        <v>333</v>
      </c>
      <c r="Z479" s="20" t="s">
        <v>333</v>
      </c>
      <c r="AA479" s="20" t="s">
        <v>333</v>
      </c>
      <c r="AB479" s="20" t="s">
        <v>333</v>
      </c>
      <c r="AC479" s="20"/>
      <c r="AD479" s="20" t="s">
        <v>333</v>
      </c>
      <c r="AE479" s="20" t="s">
        <v>333</v>
      </c>
      <c r="AF479" s="20" t="s">
        <v>333</v>
      </c>
      <c r="AG479" s="20" t="s">
        <v>344</v>
      </c>
      <c r="AH479" s="20" t="s">
        <v>344</v>
      </c>
      <c r="AI479" s="20" t="s">
        <v>333</v>
      </c>
      <c r="AJ479" s="20"/>
      <c r="AK479" s="20" t="s">
        <v>1717</v>
      </c>
      <c r="AL479" s="20" t="s">
        <v>1245</v>
      </c>
      <c r="AM479" s="20" t="s">
        <v>1717</v>
      </c>
      <c r="AN479" s="20" t="s">
        <v>349</v>
      </c>
      <c r="AO479" s="20"/>
      <c r="AP479" s="20" t="s">
        <v>1682</v>
      </c>
      <c r="AQ479" s="20" t="s">
        <v>1556</v>
      </c>
      <c r="AR479" s="20"/>
      <c r="AS479" s="20"/>
    </row>
    <row r="480">
      <c r="A480" s="20" t="s">
        <v>4402</v>
      </c>
      <c r="B480" s="20" t="s">
        <v>565</v>
      </c>
      <c r="C480" s="20" t="s">
        <v>566</v>
      </c>
      <c r="D480" s="20"/>
      <c r="E480" s="20" t="s">
        <v>49</v>
      </c>
      <c r="F480" s="20"/>
      <c r="G480" s="20"/>
      <c r="H480" s="20" t="s">
        <v>570</v>
      </c>
      <c r="I480" s="20" t="s">
        <v>571</v>
      </c>
      <c r="J480" s="20" t="s">
        <v>571</v>
      </c>
      <c r="K480" s="20" t="s">
        <v>55</v>
      </c>
      <c r="L480" s="20" t="s">
        <v>56</v>
      </c>
      <c r="M480" s="20" t="s">
        <v>57</v>
      </c>
      <c r="N480" s="20" t="s">
        <v>333</v>
      </c>
      <c r="O480" s="20" t="s">
        <v>1695</v>
      </c>
      <c r="P480" s="20"/>
      <c r="Q480" s="20" t="s">
        <v>59</v>
      </c>
      <c r="R480" s="20" t="s">
        <v>333</v>
      </c>
      <c r="S480" s="20" t="s">
        <v>333</v>
      </c>
      <c r="T480" s="20"/>
      <c r="U480" s="20"/>
      <c r="V480" s="20" t="s">
        <v>344</v>
      </c>
      <c r="W480" s="20" t="s">
        <v>333</v>
      </c>
      <c r="X480" s="20" t="s">
        <v>333</v>
      </c>
      <c r="Y480" s="20" t="s">
        <v>333</v>
      </c>
      <c r="Z480" s="20" t="s">
        <v>333</v>
      </c>
      <c r="AA480" s="20" t="s">
        <v>333</v>
      </c>
      <c r="AB480" s="20" t="s">
        <v>333</v>
      </c>
      <c r="AC480" s="20"/>
      <c r="AD480" s="20" t="s">
        <v>333</v>
      </c>
      <c r="AE480" s="20" t="s">
        <v>333</v>
      </c>
      <c r="AF480" s="20" t="s">
        <v>333</v>
      </c>
      <c r="AG480" s="20" t="s">
        <v>344</v>
      </c>
      <c r="AH480" s="20" t="s">
        <v>344</v>
      </c>
      <c r="AI480" s="20" t="s">
        <v>333</v>
      </c>
      <c r="AJ480" s="20"/>
      <c r="AK480" s="20" t="s">
        <v>347</v>
      </c>
      <c r="AL480" s="20" t="s">
        <v>1556</v>
      </c>
      <c r="AM480" s="20" t="s">
        <v>347</v>
      </c>
      <c r="AN480" s="20" t="s">
        <v>349</v>
      </c>
      <c r="AO480" s="20"/>
      <c r="AP480" s="20" t="s">
        <v>1695</v>
      </c>
      <c r="AQ480" s="20" t="s">
        <v>349</v>
      </c>
      <c r="AR480" s="20"/>
      <c r="AS480" s="20"/>
    </row>
    <row r="481">
      <c r="A481" s="20" t="s">
        <v>4403</v>
      </c>
      <c r="B481" s="20" t="s">
        <v>3174</v>
      </c>
      <c r="C481" s="20" t="s">
        <v>3175</v>
      </c>
      <c r="D481" s="20"/>
      <c r="E481" s="20" t="s">
        <v>49</v>
      </c>
      <c r="F481" s="20"/>
      <c r="G481" s="20"/>
      <c r="H481" s="20" t="s">
        <v>1599</v>
      </c>
      <c r="I481" s="20" t="s">
        <v>1601</v>
      </c>
      <c r="J481" s="20" t="s">
        <v>74</v>
      </c>
      <c r="K481" s="20" t="s">
        <v>55</v>
      </c>
      <c r="L481" s="20" t="s">
        <v>56</v>
      </c>
      <c r="M481" s="20" t="s">
        <v>57</v>
      </c>
      <c r="N481" s="20" t="s">
        <v>333</v>
      </c>
      <c r="O481" s="20" t="s">
        <v>1596</v>
      </c>
      <c r="P481" s="20"/>
      <c r="Q481" s="20" t="s">
        <v>59</v>
      </c>
      <c r="R481" s="20" t="s">
        <v>333</v>
      </c>
      <c r="S481" s="20" t="s">
        <v>333</v>
      </c>
      <c r="T481" s="20"/>
      <c r="U481" s="20"/>
      <c r="V481" s="20" t="s">
        <v>344</v>
      </c>
      <c r="W481" s="20" t="s">
        <v>333</v>
      </c>
      <c r="X481" s="20" t="s">
        <v>333</v>
      </c>
      <c r="Y481" s="20" t="s">
        <v>333</v>
      </c>
      <c r="Z481" s="20" t="s">
        <v>333</v>
      </c>
      <c r="AA481" s="20" t="s">
        <v>333</v>
      </c>
      <c r="AB481" s="20" t="s">
        <v>333</v>
      </c>
      <c r="AC481" s="20"/>
      <c r="AD481" s="20" t="s">
        <v>333</v>
      </c>
      <c r="AE481" s="20" t="s">
        <v>333</v>
      </c>
      <c r="AF481" s="20" t="s">
        <v>333</v>
      </c>
      <c r="AG481" s="20" t="s">
        <v>344</v>
      </c>
      <c r="AH481" s="20" t="s">
        <v>344</v>
      </c>
      <c r="AI481" s="20" t="s">
        <v>333</v>
      </c>
      <c r="AJ481" s="20"/>
      <c r="AK481" s="20" t="s">
        <v>347</v>
      </c>
      <c r="AL481" s="20" t="s">
        <v>1800</v>
      </c>
      <c r="AM481" s="20" t="s">
        <v>347</v>
      </c>
      <c r="AN481" s="20" t="s">
        <v>349</v>
      </c>
      <c r="AO481" s="20"/>
      <c r="AP481" s="20" t="s">
        <v>1596</v>
      </c>
      <c r="AQ481" s="20" t="s">
        <v>349</v>
      </c>
      <c r="AR481" s="20"/>
      <c r="AS481" s="20"/>
    </row>
    <row r="482">
      <c r="A482" s="20" t="s">
        <v>4404</v>
      </c>
      <c r="B482" s="20" t="s">
        <v>4066</v>
      </c>
      <c r="C482" s="20" t="s">
        <v>4067</v>
      </c>
      <c r="D482" s="20"/>
      <c r="E482" s="20" t="s">
        <v>49</v>
      </c>
      <c r="F482" s="20"/>
      <c r="G482" s="20"/>
      <c r="H482" s="20" t="s">
        <v>285</v>
      </c>
      <c r="I482" s="20" t="s">
        <v>286</v>
      </c>
      <c r="J482" s="20" t="s">
        <v>74</v>
      </c>
      <c r="K482" s="20" t="s">
        <v>55</v>
      </c>
      <c r="L482" s="20" t="s">
        <v>56</v>
      </c>
      <c r="M482" s="20" t="s">
        <v>57</v>
      </c>
      <c r="N482" s="20" t="s">
        <v>333</v>
      </c>
      <c r="O482" s="20" t="s">
        <v>1269</v>
      </c>
      <c r="P482" s="20" t="s">
        <v>1261</v>
      </c>
      <c r="Q482" s="20" t="s">
        <v>59</v>
      </c>
      <c r="R482" s="20" t="s">
        <v>333</v>
      </c>
      <c r="S482" s="20" t="s">
        <v>333</v>
      </c>
      <c r="T482" s="20"/>
      <c r="U482" s="20"/>
      <c r="V482" s="20" t="s">
        <v>344</v>
      </c>
      <c r="W482" s="20" t="s">
        <v>333</v>
      </c>
      <c r="X482" s="20" t="s">
        <v>333</v>
      </c>
      <c r="Y482" s="20" t="s">
        <v>333</v>
      </c>
      <c r="Z482" s="20" t="s">
        <v>333</v>
      </c>
      <c r="AA482" s="20" t="s">
        <v>333</v>
      </c>
      <c r="AB482" s="20" t="s">
        <v>333</v>
      </c>
      <c r="AC482" s="20"/>
      <c r="AD482" s="20" t="s">
        <v>333</v>
      </c>
      <c r="AE482" s="20" t="s">
        <v>333</v>
      </c>
      <c r="AF482" s="20" t="s">
        <v>333</v>
      </c>
      <c r="AG482" s="20" t="s">
        <v>344</v>
      </c>
      <c r="AH482" s="20" t="s">
        <v>344</v>
      </c>
      <c r="AI482" s="20" t="s">
        <v>333</v>
      </c>
      <c r="AJ482" s="20"/>
      <c r="AK482" s="20" t="s">
        <v>347</v>
      </c>
      <c r="AL482" s="20" t="s">
        <v>2819</v>
      </c>
      <c r="AM482" s="20" t="s">
        <v>347</v>
      </c>
      <c r="AN482" s="20" t="s">
        <v>349</v>
      </c>
      <c r="AO482" s="20"/>
      <c r="AP482" s="20" t="s">
        <v>1269</v>
      </c>
      <c r="AQ482" s="20" t="s">
        <v>1261</v>
      </c>
      <c r="AR482" s="20"/>
      <c r="AS482" s="20"/>
    </row>
    <row r="483">
      <c r="A483" s="20" t="s">
        <v>4405</v>
      </c>
      <c r="B483" s="20" t="s">
        <v>1882</v>
      </c>
      <c r="C483" s="20" t="s">
        <v>1883</v>
      </c>
      <c r="D483" s="20"/>
      <c r="E483" s="20" t="s">
        <v>49</v>
      </c>
      <c r="F483" s="20"/>
      <c r="G483" s="20"/>
      <c r="H483" s="20" t="s">
        <v>1888</v>
      </c>
      <c r="I483" s="20" t="s">
        <v>1889</v>
      </c>
      <c r="J483" s="20" t="s">
        <v>74</v>
      </c>
      <c r="K483" s="20" t="s">
        <v>55</v>
      </c>
      <c r="L483" s="20" t="s">
        <v>56</v>
      </c>
      <c r="M483" s="20" t="s">
        <v>57</v>
      </c>
      <c r="N483" s="20" t="s">
        <v>333</v>
      </c>
      <c r="O483" s="20" t="s">
        <v>1586</v>
      </c>
      <c r="P483" s="20"/>
      <c r="Q483" s="20" t="s">
        <v>59</v>
      </c>
      <c r="R483" s="20" t="s">
        <v>333</v>
      </c>
      <c r="S483" s="20" t="s">
        <v>333</v>
      </c>
      <c r="T483" s="20"/>
      <c r="U483" s="20"/>
      <c r="V483" s="20" t="s">
        <v>344</v>
      </c>
      <c r="W483" s="20" t="s">
        <v>333</v>
      </c>
      <c r="X483" s="20" t="s">
        <v>333</v>
      </c>
      <c r="Y483" s="20" t="s">
        <v>333</v>
      </c>
      <c r="Z483" s="20" t="s">
        <v>333</v>
      </c>
      <c r="AA483" s="20" t="s">
        <v>333</v>
      </c>
      <c r="AB483" s="20" t="s">
        <v>333</v>
      </c>
      <c r="AC483" s="20"/>
      <c r="AD483" s="20" t="s">
        <v>333</v>
      </c>
      <c r="AE483" s="20" t="s">
        <v>333</v>
      </c>
      <c r="AF483" s="20" t="s">
        <v>333</v>
      </c>
      <c r="AG483" s="20" t="s">
        <v>344</v>
      </c>
      <c r="AH483" s="20" t="s">
        <v>344</v>
      </c>
      <c r="AI483" s="20" t="s">
        <v>333</v>
      </c>
      <c r="AJ483" s="20"/>
      <c r="AK483" s="20" t="s">
        <v>1745</v>
      </c>
      <c r="AL483" s="20" t="s">
        <v>1245</v>
      </c>
      <c r="AM483" s="20" t="s">
        <v>1745</v>
      </c>
      <c r="AN483" s="20" t="s">
        <v>349</v>
      </c>
      <c r="AO483" s="20"/>
      <c r="AP483" s="20" t="s">
        <v>1586</v>
      </c>
      <c r="AQ483" s="20" t="s">
        <v>349</v>
      </c>
      <c r="AR483" s="20"/>
      <c r="AS483" s="20"/>
    </row>
    <row r="484">
      <c r="A484" s="20" t="s">
        <v>4406</v>
      </c>
      <c r="B484" s="20" t="s">
        <v>1965</v>
      </c>
      <c r="C484" s="20" t="s">
        <v>1966</v>
      </c>
      <c r="D484" s="20" t="s">
        <v>1967</v>
      </c>
      <c r="E484" s="20" t="s">
        <v>49</v>
      </c>
      <c r="F484" s="20"/>
      <c r="G484" s="20" t="s">
        <v>1969</v>
      </c>
      <c r="H484" s="20" t="s">
        <v>1971</v>
      </c>
      <c r="I484" s="20" t="s">
        <v>1972</v>
      </c>
      <c r="J484" s="20" t="s">
        <v>74</v>
      </c>
      <c r="K484" s="20" t="s">
        <v>55</v>
      </c>
      <c r="L484" s="20" t="s">
        <v>56</v>
      </c>
      <c r="M484" s="20" t="s">
        <v>57</v>
      </c>
      <c r="N484" s="20" t="s">
        <v>333</v>
      </c>
      <c r="O484" s="20" t="s">
        <v>1941</v>
      </c>
      <c r="P484" s="20" t="s">
        <v>348</v>
      </c>
      <c r="Q484" s="20" t="s">
        <v>59</v>
      </c>
      <c r="R484" s="20" t="s">
        <v>333</v>
      </c>
      <c r="S484" s="20" t="s">
        <v>333</v>
      </c>
      <c r="T484" s="20" t="s">
        <v>948</v>
      </c>
      <c r="U484" s="20"/>
      <c r="V484" s="20" t="s">
        <v>344</v>
      </c>
      <c r="W484" s="20" t="s">
        <v>333</v>
      </c>
      <c r="X484" s="20" t="s">
        <v>333</v>
      </c>
      <c r="Y484" s="20" t="s">
        <v>333</v>
      </c>
      <c r="Z484" s="20" t="s">
        <v>333</v>
      </c>
      <c r="AA484" s="20" t="s">
        <v>333</v>
      </c>
      <c r="AB484" s="20" t="s">
        <v>333</v>
      </c>
      <c r="AC484" s="20"/>
      <c r="AD484" s="20" t="s">
        <v>333</v>
      </c>
      <c r="AE484" s="20" t="s">
        <v>333</v>
      </c>
      <c r="AF484" s="20" t="s">
        <v>333</v>
      </c>
      <c r="AG484" s="20" t="s">
        <v>344</v>
      </c>
      <c r="AH484" s="20" t="s">
        <v>344</v>
      </c>
      <c r="AI484" s="20" t="s">
        <v>333</v>
      </c>
      <c r="AJ484" s="20"/>
      <c r="AK484" s="20" t="s">
        <v>347</v>
      </c>
      <c r="AL484" s="20" t="s">
        <v>348</v>
      </c>
      <c r="AM484" s="20" t="s">
        <v>347</v>
      </c>
      <c r="AN484" s="20" t="s">
        <v>349</v>
      </c>
      <c r="AO484" s="20"/>
      <c r="AP484" s="20" t="s">
        <v>1941</v>
      </c>
      <c r="AQ484" s="20" t="s">
        <v>348</v>
      </c>
      <c r="AR484" s="20"/>
      <c r="AS484" s="20"/>
    </row>
    <row r="485">
      <c r="A485" s="20" t="s">
        <v>4407</v>
      </c>
      <c r="B485" s="20" t="s">
        <v>773</v>
      </c>
      <c r="C485" s="20" t="s">
        <v>775</v>
      </c>
      <c r="D485" s="20"/>
      <c r="E485" s="20" t="s">
        <v>49</v>
      </c>
      <c r="F485" s="20"/>
      <c r="G485" s="20"/>
      <c r="H485" s="20" t="s">
        <v>147</v>
      </c>
      <c r="I485" s="20" t="s">
        <v>148</v>
      </c>
      <c r="J485" s="20" t="s">
        <v>148</v>
      </c>
      <c r="K485" s="20" t="s">
        <v>55</v>
      </c>
      <c r="L485" s="20" t="s">
        <v>56</v>
      </c>
      <c r="M485" s="20" t="s">
        <v>57</v>
      </c>
      <c r="N485" s="20" t="s">
        <v>333</v>
      </c>
      <c r="O485" s="20"/>
      <c r="P485" s="20"/>
      <c r="Q485" s="20" t="s">
        <v>59</v>
      </c>
      <c r="R485" s="20" t="s">
        <v>333</v>
      </c>
      <c r="S485" s="20" t="s">
        <v>333</v>
      </c>
      <c r="T485" s="20"/>
      <c r="U485" s="20"/>
      <c r="V485" s="20" t="s">
        <v>344</v>
      </c>
      <c r="W485" s="20" t="s">
        <v>333</v>
      </c>
      <c r="X485" s="20" t="s">
        <v>333</v>
      </c>
      <c r="Y485" s="20" t="s">
        <v>333</v>
      </c>
      <c r="Z485" s="20" t="s">
        <v>333</v>
      </c>
      <c r="AA485" s="20" t="s">
        <v>333</v>
      </c>
      <c r="AB485" s="20" t="s">
        <v>333</v>
      </c>
      <c r="AC485" s="20"/>
      <c r="AD485" s="20" t="s">
        <v>333</v>
      </c>
      <c r="AE485" s="20" t="s">
        <v>333</v>
      </c>
      <c r="AF485" s="20" t="s">
        <v>333</v>
      </c>
      <c r="AG485" s="20" t="s">
        <v>344</v>
      </c>
      <c r="AH485" s="20" t="s">
        <v>344</v>
      </c>
      <c r="AI485" s="20" t="s">
        <v>333</v>
      </c>
      <c r="AJ485" s="20"/>
      <c r="AK485" s="20" t="s">
        <v>349</v>
      </c>
      <c r="AL485" s="20" t="s">
        <v>349</v>
      </c>
      <c r="AM485" s="20" t="s">
        <v>349</v>
      </c>
      <c r="AN485" s="20" t="s">
        <v>349</v>
      </c>
      <c r="AO485" s="20"/>
      <c r="AP485" s="20" t="s">
        <v>349</v>
      </c>
      <c r="AQ485" s="20" t="s">
        <v>349</v>
      </c>
      <c r="AR485" s="20"/>
      <c r="AS485" s="20"/>
    </row>
    <row r="486">
      <c r="A486" s="20" t="s">
        <v>4408</v>
      </c>
      <c r="B486" s="20" t="s">
        <v>3993</v>
      </c>
      <c r="C486" s="20" t="s">
        <v>3994</v>
      </c>
      <c r="D486" s="20" t="s">
        <v>3995</v>
      </c>
      <c r="E486" s="20" t="s">
        <v>49</v>
      </c>
      <c r="F486" s="20"/>
      <c r="G486" s="20"/>
      <c r="H486" s="20" t="s">
        <v>303</v>
      </c>
      <c r="I486" s="20" t="s">
        <v>303</v>
      </c>
      <c r="J486" s="20" t="s">
        <v>74</v>
      </c>
      <c r="K486" s="20" t="s">
        <v>55</v>
      </c>
      <c r="L486" s="20" t="s">
        <v>56</v>
      </c>
      <c r="M486" s="20" t="s">
        <v>57</v>
      </c>
      <c r="N486" s="20" t="s">
        <v>333</v>
      </c>
      <c r="O486" s="20" t="s">
        <v>1682</v>
      </c>
      <c r="P486" s="20" t="s">
        <v>1239</v>
      </c>
      <c r="Q486" s="20" t="s">
        <v>59</v>
      </c>
      <c r="R486" s="20" t="s">
        <v>333</v>
      </c>
      <c r="S486" s="20" t="s">
        <v>333</v>
      </c>
      <c r="T486" s="20" t="s">
        <v>3999</v>
      </c>
      <c r="U486" s="20"/>
      <c r="V486" s="20" t="s">
        <v>344</v>
      </c>
      <c r="W486" s="20" t="s">
        <v>333</v>
      </c>
      <c r="X486" s="20" t="s">
        <v>333</v>
      </c>
      <c r="Y486" s="20" t="s">
        <v>333</v>
      </c>
      <c r="Z486" s="20" t="s">
        <v>333</v>
      </c>
      <c r="AA486" s="20" t="s">
        <v>333</v>
      </c>
      <c r="AB486" s="20" t="s">
        <v>333</v>
      </c>
      <c r="AC486" s="20"/>
      <c r="AD486" s="20" t="s">
        <v>333</v>
      </c>
      <c r="AE486" s="20" t="s">
        <v>333</v>
      </c>
      <c r="AF486" s="20" t="s">
        <v>333</v>
      </c>
      <c r="AG486" s="20" t="s">
        <v>344</v>
      </c>
      <c r="AH486" s="20" t="s">
        <v>344</v>
      </c>
      <c r="AI486" s="20" t="s">
        <v>333</v>
      </c>
      <c r="AJ486" s="20"/>
      <c r="AK486" s="20" t="s">
        <v>1595</v>
      </c>
      <c r="AL486" s="20" t="s">
        <v>1245</v>
      </c>
      <c r="AM486" s="20" t="s">
        <v>1595</v>
      </c>
      <c r="AN486" s="20" t="s">
        <v>349</v>
      </c>
      <c r="AO486" s="20"/>
      <c r="AP486" s="20" t="s">
        <v>1682</v>
      </c>
      <c r="AQ486" s="20" t="s">
        <v>1239</v>
      </c>
      <c r="AR486" s="20"/>
      <c r="AS486" s="20"/>
    </row>
    <row r="487">
      <c r="A487" s="32" t="s">
        <v>4409</v>
      </c>
      <c r="B487" s="32" t="s">
        <v>957</v>
      </c>
      <c r="C487" s="32" t="s">
        <v>958</v>
      </c>
      <c r="D487" s="48" t="s">
        <v>959</v>
      </c>
      <c r="E487" s="32" t="s">
        <v>49</v>
      </c>
      <c r="F487" s="32" t="s">
        <v>4410</v>
      </c>
      <c r="G487" s="32" t="s">
        <v>4411</v>
      </c>
      <c r="H487" s="32" t="s">
        <v>75</v>
      </c>
      <c r="I487" s="32" t="s">
        <v>76</v>
      </c>
      <c r="J487" s="32" t="s">
        <v>76</v>
      </c>
      <c r="K487" s="32" t="s">
        <v>55</v>
      </c>
      <c r="L487" s="32" t="s">
        <v>56</v>
      </c>
      <c r="M487" s="32" t="s">
        <v>57</v>
      </c>
      <c r="N487" s="32" t="s">
        <v>333</v>
      </c>
      <c r="O487" s="32" t="s">
        <v>1682</v>
      </c>
      <c r="P487" s="32" t="s">
        <v>1556</v>
      </c>
      <c r="Q487" s="32" t="s">
        <v>59</v>
      </c>
      <c r="R487" s="32" t="s">
        <v>333</v>
      </c>
      <c r="S487" s="32" t="s">
        <v>333</v>
      </c>
      <c r="T487" s="32"/>
      <c r="U487" s="32"/>
      <c r="V487" s="32" t="s">
        <v>344</v>
      </c>
      <c r="W487" s="32" t="s">
        <v>333</v>
      </c>
      <c r="X487" s="32" t="s">
        <v>333</v>
      </c>
      <c r="Y487" s="32" t="s">
        <v>333</v>
      </c>
      <c r="Z487" s="32" t="s">
        <v>333</v>
      </c>
      <c r="AA487" s="32" t="s">
        <v>333</v>
      </c>
      <c r="AB487" s="32" t="s">
        <v>333</v>
      </c>
      <c r="AC487" s="32"/>
      <c r="AD487" s="32" t="s">
        <v>333</v>
      </c>
      <c r="AE487" s="32" t="s">
        <v>333</v>
      </c>
      <c r="AF487" s="32" t="s">
        <v>333</v>
      </c>
      <c r="AG487" s="32" t="s">
        <v>344</v>
      </c>
      <c r="AH487" s="32" t="s">
        <v>344</v>
      </c>
      <c r="AI487" s="32" t="s">
        <v>333</v>
      </c>
      <c r="AJ487" s="32"/>
      <c r="AK487" s="32" t="s">
        <v>1595</v>
      </c>
      <c r="AL487" s="32" t="s">
        <v>348</v>
      </c>
      <c r="AM487" s="32" t="s">
        <v>1595</v>
      </c>
      <c r="AN487" s="32" t="s">
        <v>349</v>
      </c>
      <c r="AO487" s="32"/>
      <c r="AP487" s="32" t="s">
        <v>1682</v>
      </c>
      <c r="AQ487" s="32" t="s">
        <v>1556</v>
      </c>
      <c r="AR487" s="21" t="s">
        <v>1931</v>
      </c>
      <c r="AS487" s="21">
        <v>2.0</v>
      </c>
    </row>
    <row r="488">
      <c r="A488" s="20" t="s">
        <v>4412</v>
      </c>
      <c r="B488" s="20" t="s">
        <v>2074</v>
      </c>
      <c r="C488" s="20" t="s">
        <v>2075</v>
      </c>
      <c r="D488" s="20"/>
      <c r="E488" s="20" t="s">
        <v>49</v>
      </c>
      <c r="F488" s="20"/>
      <c r="G488" s="20"/>
      <c r="H488" s="20" t="s">
        <v>449</v>
      </c>
      <c r="I488" s="20" t="s">
        <v>450</v>
      </c>
      <c r="J488" s="20" t="s">
        <v>74</v>
      </c>
      <c r="K488" s="20" t="s">
        <v>55</v>
      </c>
      <c r="L488" s="20" t="s">
        <v>56</v>
      </c>
      <c r="M488" s="20" t="s">
        <v>57</v>
      </c>
      <c r="N488" s="20" t="s">
        <v>333</v>
      </c>
      <c r="O488" s="20" t="s">
        <v>1682</v>
      </c>
      <c r="P488" s="20" t="s">
        <v>1556</v>
      </c>
      <c r="Q488" s="20" t="s">
        <v>59</v>
      </c>
      <c r="R488" s="20" t="s">
        <v>333</v>
      </c>
      <c r="S488" s="20" t="s">
        <v>333</v>
      </c>
      <c r="T488" s="20"/>
      <c r="U488" s="20"/>
      <c r="V488" s="20" t="s">
        <v>344</v>
      </c>
      <c r="W488" s="20" t="s">
        <v>333</v>
      </c>
      <c r="X488" s="20" t="s">
        <v>333</v>
      </c>
      <c r="Y488" s="20" t="s">
        <v>333</v>
      </c>
      <c r="Z488" s="20" t="s">
        <v>333</v>
      </c>
      <c r="AA488" s="20" t="s">
        <v>333</v>
      </c>
      <c r="AB488" s="20" t="s">
        <v>333</v>
      </c>
      <c r="AC488" s="20"/>
      <c r="AD488" s="20" t="s">
        <v>333</v>
      </c>
      <c r="AE488" s="20" t="s">
        <v>333</v>
      </c>
      <c r="AF488" s="20" t="s">
        <v>333</v>
      </c>
      <c r="AG488" s="20" t="s">
        <v>344</v>
      </c>
      <c r="AH488" s="20" t="s">
        <v>344</v>
      </c>
      <c r="AI488" s="20" t="s">
        <v>333</v>
      </c>
      <c r="AJ488" s="20"/>
      <c r="AK488" s="20" t="s">
        <v>1908</v>
      </c>
      <c r="AL488" s="20" t="s">
        <v>1673</v>
      </c>
      <c r="AM488" s="20" t="s">
        <v>1908</v>
      </c>
      <c r="AN488" s="20" t="s">
        <v>349</v>
      </c>
      <c r="AO488" s="20"/>
      <c r="AP488" s="20" t="s">
        <v>1682</v>
      </c>
      <c r="AQ488" s="20" t="s">
        <v>1556</v>
      </c>
      <c r="AR488" s="20"/>
      <c r="AS488" s="20"/>
    </row>
    <row r="489">
      <c r="A489" s="20" t="s">
        <v>4413</v>
      </c>
      <c r="B489" s="20" t="s">
        <v>4414</v>
      </c>
      <c r="C489" s="20" t="s">
        <v>4415</v>
      </c>
      <c r="D489" s="20"/>
      <c r="E489" s="20" t="s">
        <v>49</v>
      </c>
      <c r="F489" s="20"/>
      <c r="G489" s="20"/>
      <c r="H489" s="20" t="s">
        <v>123</v>
      </c>
      <c r="I489" s="20" t="s">
        <v>124</v>
      </c>
      <c r="J489" s="20" t="s">
        <v>74</v>
      </c>
      <c r="K489" s="20" t="s">
        <v>55</v>
      </c>
      <c r="L489" s="20" t="s">
        <v>56</v>
      </c>
      <c r="M489" s="20" t="s">
        <v>57</v>
      </c>
      <c r="N489" s="20" t="s">
        <v>333</v>
      </c>
      <c r="O489" s="20" t="s">
        <v>1596</v>
      </c>
      <c r="P489" s="20" t="s">
        <v>1695</v>
      </c>
      <c r="Q489" s="20" t="s">
        <v>59</v>
      </c>
      <c r="R489" s="20" t="s">
        <v>333</v>
      </c>
      <c r="S489" s="20" t="s">
        <v>333</v>
      </c>
      <c r="T489" s="20"/>
      <c r="U489" s="20"/>
      <c r="V489" s="20" t="s">
        <v>344</v>
      </c>
      <c r="W489" s="20" t="s">
        <v>333</v>
      </c>
      <c r="X489" s="20" t="s">
        <v>333</v>
      </c>
      <c r="Y489" s="20" t="s">
        <v>333</v>
      </c>
      <c r="Z489" s="20" t="s">
        <v>333</v>
      </c>
      <c r="AA489" s="20" t="s">
        <v>333</v>
      </c>
      <c r="AB489" s="20" t="s">
        <v>333</v>
      </c>
      <c r="AC489" s="20"/>
      <c r="AD489" s="20" t="s">
        <v>333</v>
      </c>
      <c r="AE489" s="20" t="s">
        <v>333</v>
      </c>
      <c r="AF489" s="20" t="s">
        <v>333</v>
      </c>
      <c r="AG489" s="20" t="s">
        <v>344</v>
      </c>
      <c r="AH489" s="20" t="s">
        <v>344</v>
      </c>
      <c r="AI489" s="20" t="s">
        <v>333</v>
      </c>
      <c r="AJ489" s="20"/>
      <c r="AK489" s="20" t="s">
        <v>1663</v>
      </c>
      <c r="AL489" s="20" t="s">
        <v>1261</v>
      </c>
      <c r="AM489" s="20" t="s">
        <v>1663</v>
      </c>
      <c r="AN489" s="20" t="s">
        <v>349</v>
      </c>
      <c r="AO489" s="20"/>
      <c r="AP489" s="20" t="s">
        <v>1596</v>
      </c>
      <c r="AQ489" s="20" t="s">
        <v>1695</v>
      </c>
      <c r="AR489" s="20"/>
      <c r="AS489" s="20"/>
    </row>
    <row r="490">
      <c r="A490" s="20" t="s">
        <v>4416</v>
      </c>
      <c r="B490" s="20" t="s">
        <v>2281</v>
      </c>
      <c r="C490" s="20" t="s">
        <v>2282</v>
      </c>
      <c r="D490" s="20"/>
      <c r="E490" s="20" t="s">
        <v>49</v>
      </c>
      <c r="F490" s="20"/>
      <c r="G490" s="20"/>
      <c r="H490" s="20" t="s">
        <v>72</v>
      </c>
      <c r="I490" s="20" t="s">
        <v>73</v>
      </c>
      <c r="J490" s="20" t="s">
        <v>74</v>
      </c>
      <c r="K490" s="20" t="s">
        <v>55</v>
      </c>
      <c r="L490" s="20" t="s">
        <v>56</v>
      </c>
      <c r="M490" s="20" t="s">
        <v>57</v>
      </c>
      <c r="N490" s="20" t="s">
        <v>333</v>
      </c>
      <c r="O490" s="20" t="s">
        <v>1736</v>
      </c>
      <c r="P490" s="20" t="s">
        <v>1745</v>
      </c>
      <c r="Q490" s="20" t="s">
        <v>59</v>
      </c>
      <c r="R490" s="20" t="s">
        <v>333</v>
      </c>
      <c r="S490" s="20" t="s">
        <v>333</v>
      </c>
      <c r="T490" s="20"/>
      <c r="U490" s="20"/>
      <c r="V490" s="20" t="s">
        <v>344</v>
      </c>
      <c r="W490" s="20" t="s">
        <v>333</v>
      </c>
      <c r="X490" s="20" t="s">
        <v>333</v>
      </c>
      <c r="Y490" s="20" t="s">
        <v>333</v>
      </c>
      <c r="Z490" s="20" t="s">
        <v>333</v>
      </c>
      <c r="AA490" s="20" t="s">
        <v>333</v>
      </c>
      <c r="AB490" s="20" t="s">
        <v>333</v>
      </c>
      <c r="AC490" s="20"/>
      <c r="AD490" s="20" t="s">
        <v>333</v>
      </c>
      <c r="AE490" s="20" t="s">
        <v>333</v>
      </c>
      <c r="AF490" s="20" t="s">
        <v>333</v>
      </c>
      <c r="AG490" s="20" t="s">
        <v>344</v>
      </c>
      <c r="AH490" s="20" t="s">
        <v>344</v>
      </c>
      <c r="AI490" s="20" t="s">
        <v>333</v>
      </c>
      <c r="AJ490" s="20"/>
      <c r="AK490" s="20" t="s">
        <v>347</v>
      </c>
      <c r="AL490" s="20" t="s">
        <v>1245</v>
      </c>
      <c r="AM490" s="20" t="s">
        <v>347</v>
      </c>
      <c r="AN490" s="20" t="s">
        <v>349</v>
      </c>
      <c r="AO490" s="20"/>
      <c r="AP490" s="20" t="s">
        <v>1736</v>
      </c>
      <c r="AQ490" s="20" t="s">
        <v>1745</v>
      </c>
      <c r="AR490" s="20"/>
      <c r="AS490" s="20"/>
    </row>
    <row r="491">
      <c r="A491" s="20" t="s">
        <v>4417</v>
      </c>
      <c r="B491" s="20" t="s">
        <v>1832</v>
      </c>
      <c r="C491" s="20" t="s">
        <v>1833</v>
      </c>
      <c r="D491" s="20" t="s">
        <v>1834</v>
      </c>
      <c r="E491" s="20" t="s">
        <v>49</v>
      </c>
      <c r="F491" s="20"/>
      <c r="G491" s="20"/>
      <c r="H491" s="20" t="s">
        <v>72</v>
      </c>
      <c r="I491" s="20" t="s">
        <v>73</v>
      </c>
      <c r="J491" s="20" t="s">
        <v>74</v>
      </c>
      <c r="K491" s="20" t="s">
        <v>55</v>
      </c>
      <c r="L491" s="20" t="s">
        <v>56</v>
      </c>
      <c r="M491" s="20" t="s">
        <v>57</v>
      </c>
      <c r="N491" s="20" t="s">
        <v>333</v>
      </c>
      <c r="O491" s="20" t="s">
        <v>1581</v>
      </c>
      <c r="P491" s="20" t="s">
        <v>1244</v>
      </c>
      <c r="Q491" s="20" t="s">
        <v>59</v>
      </c>
      <c r="R491" s="20" t="s">
        <v>333</v>
      </c>
      <c r="S491" s="20" t="s">
        <v>333</v>
      </c>
      <c r="T491" s="20" t="s">
        <v>4418</v>
      </c>
      <c r="U491" s="20"/>
      <c r="V491" s="20" t="s">
        <v>344</v>
      </c>
      <c r="W491" s="20" t="s">
        <v>333</v>
      </c>
      <c r="X491" s="20" t="s">
        <v>333</v>
      </c>
      <c r="Y491" s="20" t="s">
        <v>333</v>
      </c>
      <c r="Z491" s="20" t="s">
        <v>333</v>
      </c>
      <c r="AA491" s="20" t="s">
        <v>333</v>
      </c>
      <c r="AB491" s="20" t="s">
        <v>333</v>
      </c>
      <c r="AC491" s="20"/>
      <c r="AD491" s="20" t="s">
        <v>333</v>
      </c>
      <c r="AE491" s="20" t="s">
        <v>333</v>
      </c>
      <c r="AF491" s="20" t="s">
        <v>333</v>
      </c>
      <c r="AG491" s="20" t="s">
        <v>344</v>
      </c>
      <c r="AH491" s="20" t="s">
        <v>344</v>
      </c>
      <c r="AI491" s="20" t="s">
        <v>333</v>
      </c>
      <c r="AJ491" s="20"/>
      <c r="AK491" s="20" t="s">
        <v>1244</v>
      </c>
      <c r="AL491" s="20" t="s">
        <v>349</v>
      </c>
      <c r="AM491" s="20" t="s">
        <v>1244</v>
      </c>
      <c r="AN491" s="20" t="s">
        <v>349</v>
      </c>
      <c r="AO491" s="20"/>
      <c r="AP491" s="20" t="s">
        <v>1581</v>
      </c>
      <c r="AQ491" s="20" t="s">
        <v>1244</v>
      </c>
      <c r="AR491" s="20"/>
      <c r="AS491" s="20"/>
    </row>
    <row r="492">
      <c r="A492" s="32" t="s">
        <v>4419</v>
      </c>
      <c r="B492" s="32" t="s">
        <v>628</v>
      </c>
      <c r="C492" s="32" t="s">
        <v>629</v>
      </c>
      <c r="D492" s="48" t="s">
        <v>630</v>
      </c>
      <c r="E492" s="32" t="s">
        <v>49</v>
      </c>
      <c r="F492" s="32" t="s">
        <v>4420</v>
      </c>
      <c r="G492" s="32" t="s">
        <v>4421</v>
      </c>
      <c r="H492" s="32" t="s">
        <v>147</v>
      </c>
      <c r="I492" s="32" t="s">
        <v>148</v>
      </c>
      <c r="J492" s="32" t="s">
        <v>148</v>
      </c>
      <c r="K492" s="32" t="s">
        <v>55</v>
      </c>
      <c r="L492" s="32" t="s">
        <v>56</v>
      </c>
      <c r="M492" s="32" t="s">
        <v>57</v>
      </c>
      <c r="N492" s="32" t="s">
        <v>333</v>
      </c>
      <c r="O492" s="32" t="s">
        <v>1256</v>
      </c>
      <c r="P492" s="32" t="s">
        <v>1556</v>
      </c>
      <c r="Q492" s="32" t="s">
        <v>59</v>
      </c>
      <c r="R492" s="32" t="s">
        <v>333</v>
      </c>
      <c r="S492" s="32" t="s">
        <v>333</v>
      </c>
      <c r="T492" s="32"/>
      <c r="U492" s="32"/>
      <c r="V492" s="32" t="s">
        <v>344</v>
      </c>
      <c r="W492" s="32" t="s">
        <v>333</v>
      </c>
      <c r="X492" s="32" t="s">
        <v>333</v>
      </c>
      <c r="Y492" s="32" t="s">
        <v>333</v>
      </c>
      <c r="Z492" s="32" t="s">
        <v>333</v>
      </c>
      <c r="AA492" s="32" t="s">
        <v>333</v>
      </c>
      <c r="AB492" s="32" t="s">
        <v>333</v>
      </c>
      <c r="AC492" s="32"/>
      <c r="AD492" s="32" t="s">
        <v>333</v>
      </c>
      <c r="AE492" s="32" t="s">
        <v>333</v>
      </c>
      <c r="AF492" s="32" t="s">
        <v>333</v>
      </c>
      <c r="AG492" s="32" t="s">
        <v>344</v>
      </c>
      <c r="AH492" s="32" t="s">
        <v>344</v>
      </c>
      <c r="AI492" s="32" t="s">
        <v>333</v>
      </c>
      <c r="AJ492" s="32"/>
      <c r="AK492" s="32" t="s">
        <v>1581</v>
      </c>
      <c r="AL492" s="32" t="s">
        <v>1261</v>
      </c>
      <c r="AM492" s="32" t="s">
        <v>1581</v>
      </c>
      <c r="AN492" s="32" t="s">
        <v>349</v>
      </c>
      <c r="AO492" s="32"/>
      <c r="AP492" s="32" t="s">
        <v>1256</v>
      </c>
      <c r="AQ492" s="32" t="s">
        <v>1556</v>
      </c>
      <c r="AR492" s="21" t="s">
        <v>1931</v>
      </c>
      <c r="AS492" s="21">
        <v>2.0</v>
      </c>
    </row>
    <row r="493">
      <c r="A493" s="20" t="s">
        <v>4422</v>
      </c>
      <c r="B493" s="20" t="s">
        <v>1077</v>
      </c>
      <c r="C493" s="20" t="s">
        <v>1078</v>
      </c>
      <c r="D493" s="20"/>
      <c r="E493" s="20" t="s">
        <v>49</v>
      </c>
      <c r="F493" s="20"/>
      <c r="G493" s="20"/>
      <c r="H493" s="20" t="s">
        <v>123</v>
      </c>
      <c r="I493" s="20" t="s">
        <v>124</v>
      </c>
      <c r="J493" s="20" t="s">
        <v>74</v>
      </c>
      <c r="K493" s="20" t="s">
        <v>55</v>
      </c>
      <c r="L493" s="20" t="s">
        <v>56</v>
      </c>
      <c r="M493" s="20" t="s">
        <v>57</v>
      </c>
      <c r="N493" s="20" t="s">
        <v>333</v>
      </c>
      <c r="O493" s="20" t="s">
        <v>1239</v>
      </c>
      <c r="P493" s="20" t="s">
        <v>1559</v>
      </c>
      <c r="Q493" s="20" t="s">
        <v>59</v>
      </c>
      <c r="R493" s="20" t="s">
        <v>333</v>
      </c>
      <c r="S493" s="20" t="s">
        <v>333</v>
      </c>
      <c r="T493" s="20"/>
      <c r="U493" s="20"/>
      <c r="V493" s="20" t="s">
        <v>344</v>
      </c>
      <c r="W493" s="20" t="s">
        <v>333</v>
      </c>
      <c r="X493" s="20" t="s">
        <v>333</v>
      </c>
      <c r="Y493" s="20" t="s">
        <v>333</v>
      </c>
      <c r="Z493" s="20" t="s">
        <v>333</v>
      </c>
      <c r="AA493" s="20" t="s">
        <v>333</v>
      </c>
      <c r="AB493" s="20" t="s">
        <v>333</v>
      </c>
      <c r="AC493" s="20"/>
      <c r="AD493" s="20" t="s">
        <v>333</v>
      </c>
      <c r="AE493" s="20" t="s">
        <v>333</v>
      </c>
      <c r="AF493" s="20" t="s">
        <v>333</v>
      </c>
      <c r="AG493" s="20" t="s">
        <v>344</v>
      </c>
      <c r="AH493" s="20" t="s">
        <v>344</v>
      </c>
      <c r="AI493" s="20" t="s">
        <v>333</v>
      </c>
      <c r="AJ493" s="20"/>
      <c r="AK493" s="20" t="s">
        <v>1260</v>
      </c>
      <c r="AL493" s="20" t="s">
        <v>1556</v>
      </c>
      <c r="AM493" s="20" t="s">
        <v>1260</v>
      </c>
      <c r="AN493" s="20" t="s">
        <v>349</v>
      </c>
      <c r="AO493" s="20"/>
      <c r="AP493" s="20" t="s">
        <v>1239</v>
      </c>
      <c r="AQ493" s="20" t="s">
        <v>1559</v>
      </c>
      <c r="AR493" s="20"/>
      <c r="AS493" s="20"/>
    </row>
    <row r="494">
      <c r="A494" s="20" t="s">
        <v>4423</v>
      </c>
      <c r="B494" s="20" t="s">
        <v>2413</v>
      </c>
      <c r="C494" s="20" t="s">
        <v>2414</v>
      </c>
      <c r="D494" s="20"/>
      <c r="E494" s="20" t="s">
        <v>49</v>
      </c>
      <c r="F494" s="20"/>
      <c r="G494" s="20"/>
      <c r="H494" s="20" t="s">
        <v>123</v>
      </c>
      <c r="I494" s="20" t="s">
        <v>124</v>
      </c>
      <c r="J494" s="20" t="s">
        <v>74</v>
      </c>
      <c r="K494" s="20" t="s">
        <v>55</v>
      </c>
      <c r="L494" s="20" t="s">
        <v>56</v>
      </c>
      <c r="M494" s="20" t="s">
        <v>57</v>
      </c>
      <c r="N494" s="20" t="s">
        <v>333</v>
      </c>
      <c r="O494" s="20" t="s">
        <v>1581</v>
      </c>
      <c r="P494" s="20" t="s">
        <v>1244</v>
      </c>
      <c r="Q494" s="20" t="s">
        <v>59</v>
      </c>
      <c r="R494" s="20" t="s">
        <v>333</v>
      </c>
      <c r="S494" s="20" t="s">
        <v>333</v>
      </c>
      <c r="T494" s="20"/>
      <c r="U494" s="20"/>
      <c r="V494" s="20" t="s">
        <v>344</v>
      </c>
      <c r="W494" s="20" t="s">
        <v>333</v>
      </c>
      <c r="X494" s="20" t="s">
        <v>333</v>
      </c>
      <c r="Y494" s="20" t="s">
        <v>333</v>
      </c>
      <c r="Z494" s="20" t="s">
        <v>333</v>
      </c>
      <c r="AA494" s="20" t="s">
        <v>333</v>
      </c>
      <c r="AB494" s="20" t="s">
        <v>333</v>
      </c>
      <c r="AC494" s="20"/>
      <c r="AD494" s="20" t="s">
        <v>333</v>
      </c>
      <c r="AE494" s="20" t="s">
        <v>333</v>
      </c>
      <c r="AF494" s="20" t="s">
        <v>333</v>
      </c>
      <c r="AG494" s="20" t="s">
        <v>344</v>
      </c>
      <c r="AH494" s="20" t="s">
        <v>344</v>
      </c>
      <c r="AI494" s="20" t="s">
        <v>333</v>
      </c>
      <c r="AJ494" s="20"/>
      <c r="AK494" s="20" t="s">
        <v>347</v>
      </c>
      <c r="AL494" s="20" t="s">
        <v>1596</v>
      </c>
      <c r="AM494" s="20" t="s">
        <v>347</v>
      </c>
      <c r="AN494" s="20" t="s">
        <v>349</v>
      </c>
      <c r="AO494" s="20"/>
      <c r="AP494" s="20" t="s">
        <v>1581</v>
      </c>
      <c r="AQ494" s="20" t="s">
        <v>1244</v>
      </c>
      <c r="AR494" s="20"/>
      <c r="AS494" s="20"/>
    </row>
    <row r="495">
      <c r="A495" s="20" t="s">
        <v>4424</v>
      </c>
      <c r="B495" s="20" t="s">
        <v>3533</v>
      </c>
      <c r="C495" s="20" t="s">
        <v>3534</v>
      </c>
      <c r="D495" s="20"/>
      <c r="E495" s="20" t="s">
        <v>49</v>
      </c>
      <c r="F495" s="20"/>
      <c r="G495" s="20"/>
      <c r="H495" s="20" t="s">
        <v>586</v>
      </c>
      <c r="I495" s="20" t="s">
        <v>587</v>
      </c>
      <c r="J495" s="20" t="s">
        <v>74</v>
      </c>
      <c r="K495" s="20" t="s">
        <v>55</v>
      </c>
      <c r="L495" s="20" t="s">
        <v>56</v>
      </c>
      <c r="M495" s="20" t="s">
        <v>57</v>
      </c>
      <c r="N495" s="20" t="s">
        <v>333</v>
      </c>
      <c r="O495" s="20"/>
      <c r="P495" s="20"/>
      <c r="Q495" s="20" t="s">
        <v>59</v>
      </c>
      <c r="R495" s="20" t="s">
        <v>333</v>
      </c>
      <c r="S495" s="20" t="s">
        <v>333</v>
      </c>
      <c r="T495" s="20"/>
      <c r="U495" s="20"/>
      <c r="V495" s="20" t="s">
        <v>344</v>
      </c>
      <c r="W495" s="20" t="s">
        <v>333</v>
      </c>
      <c r="X495" s="20" t="s">
        <v>333</v>
      </c>
      <c r="Y495" s="20" t="s">
        <v>333</v>
      </c>
      <c r="Z495" s="20" t="s">
        <v>333</v>
      </c>
      <c r="AA495" s="20" t="s">
        <v>333</v>
      </c>
      <c r="AB495" s="20" t="s">
        <v>333</v>
      </c>
      <c r="AC495" s="20"/>
      <c r="AD495" s="20" t="s">
        <v>333</v>
      </c>
      <c r="AE495" s="20" t="s">
        <v>333</v>
      </c>
      <c r="AF495" s="20" t="s">
        <v>333</v>
      </c>
      <c r="AG495" s="20" t="s">
        <v>344</v>
      </c>
      <c r="AH495" s="20" t="s">
        <v>344</v>
      </c>
      <c r="AI495" s="20" t="s">
        <v>333</v>
      </c>
      <c r="AJ495" s="20"/>
      <c r="AK495" s="20" t="s">
        <v>349</v>
      </c>
      <c r="AL495" s="20" t="s">
        <v>349</v>
      </c>
      <c r="AM495" s="20" t="s">
        <v>349</v>
      </c>
      <c r="AN495" s="20" t="s">
        <v>349</v>
      </c>
      <c r="AO495" s="20"/>
      <c r="AP495" s="20" t="s">
        <v>349</v>
      </c>
      <c r="AQ495" s="20" t="s">
        <v>349</v>
      </c>
      <c r="AR495" s="20"/>
      <c r="AS495" s="20"/>
    </row>
    <row r="496">
      <c r="A496" s="32" t="s">
        <v>4425</v>
      </c>
      <c r="B496" s="32" t="s">
        <v>3435</v>
      </c>
      <c r="C496" s="32" t="s">
        <v>3436</v>
      </c>
      <c r="D496" s="48" t="s">
        <v>4426</v>
      </c>
      <c r="E496" s="32" t="s">
        <v>49</v>
      </c>
      <c r="F496" s="32" t="s">
        <v>4427</v>
      </c>
      <c r="G496" s="32" t="s">
        <v>4428</v>
      </c>
      <c r="H496" s="32" t="s">
        <v>586</v>
      </c>
      <c r="I496" s="32" t="s">
        <v>587</v>
      </c>
      <c r="J496" s="32" t="s">
        <v>74</v>
      </c>
      <c r="K496" s="32" t="s">
        <v>55</v>
      </c>
      <c r="L496" s="32" t="s">
        <v>56</v>
      </c>
      <c r="M496" s="32" t="s">
        <v>57</v>
      </c>
      <c r="N496" s="32" t="s">
        <v>333</v>
      </c>
      <c r="O496" s="32" t="s">
        <v>1795</v>
      </c>
      <c r="P496" s="32"/>
      <c r="Q496" s="32" t="s">
        <v>59</v>
      </c>
      <c r="R496" s="32" t="s">
        <v>333</v>
      </c>
      <c r="S496" s="32" t="s">
        <v>333</v>
      </c>
      <c r="T496" s="32"/>
      <c r="U496" s="32"/>
      <c r="V496" s="32" t="s">
        <v>344</v>
      </c>
      <c r="W496" s="32" t="s">
        <v>333</v>
      </c>
      <c r="X496" s="32" t="s">
        <v>333</v>
      </c>
      <c r="Y496" s="32" t="s">
        <v>333</v>
      </c>
      <c r="Z496" s="32" t="s">
        <v>333</v>
      </c>
      <c r="AA496" s="32" t="s">
        <v>333</v>
      </c>
      <c r="AB496" s="32" t="s">
        <v>333</v>
      </c>
      <c r="AC496" s="32"/>
      <c r="AD496" s="32" t="s">
        <v>333</v>
      </c>
      <c r="AE496" s="32" t="s">
        <v>333</v>
      </c>
      <c r="AF496" s="32" t="s">
        <v>333</v>
      </c>
      <c r="AG496" s="32" t="s">
        <v>344</v>
      </c>
      <c r="AH496" s="32" t="s">
        <v>344</v>
      </c>
      <c r="AI496" s="32" t="s">
        <v>333</v>
      </c>
      <c r="AJ496" s="32"/>
      <c r="AK496" s="32" t="s">
        <v>1587</v>
      </c>
      <c r="AL496" s="32" t="s">
        <v>1244</v>
      </c>
      <c r="AM496" s="32" t="s">
        <v>1587</v>
      </c>
      <c r="AN496" s="32" t="s">
        <v>349</v>
      </c>
      <c r="AO496" s="32"/>
      <c r="AP496" s="32" t="s">
        <v>1795</v>
      </c>
      <c r="AQ496" s="32" t="s">
        <v>349</v>
      </c>
      <c r="AR496" s="21" t="s">
        <v>1931</v>
      </c>
      <c r="AS496" s="21">
        <v>2.0</v>
      </c>
    </row>
    <row r="497">
      <c r="A497" s="20" t="s">
        <v>4429</v>
      </c>
      <c r="B497" s="20" t="s">
        <v>728</v>
      </c>
      <c r="C497" s="20" t="s">
        <v>730</v>
      </c>
      <c r="D497" s="20"/>
      <c r="E497" s="20" t="s">
        <v>49</v>
      </c>
      <c r="F497" s="20"/>
      <c r="G497" s="20"/>
      <c r="H497" s="20" t="s">
        <v>733</v>
      </c>
      <c r="I497" s="20" t="s">
        <v>571</v>
      </c>
      <c r="J497" s="20" t="s">
        <v>571</v>
      </c>
      <c r="K497" s="20" t="s">
        <v>55</v>
      </c>
      <c r="L497" s="20" t="s">
        <v>56</v>
      </c>
      <c r="M497" s="20" t="s">
        <v>57</v>
      </c>
      <c r="N497" s="20" t="s">
        <v>333</v>
      </c>
      <c r="O497" s="20" t="s">
        <v>1559</v>
      </c>
      <c r="P497" s="20" t="s">
        <v>1586</v>
      </c>
      <c r="Q497" s="20" t="s">
        <v>59</v>
      </c>
      <c r="R497" s="20" t="s">
        <v>333</v>
      </c>
      <c r="S497" s="20" t="s">
        <v>333</v>
      </c>
      <c r="T497" s="20"/>
      <c r="U497" s="20"/>
      <c r="V497" s="20" t="s">
        <v>344</v>
      </c>
      <c r="W497" s="20" t="s">
        <v>333</v>
      </c>
      <c r="X497" s="20" t="s">
        <v>333</v>
      </c>
      <c r="Y497" s="20" t="s">
        <v>333</v>
      </c>
      <c r="Z497" s="20" t="s">
        <v>333</v>
      </c>
      <c r="AA497" s="20" t="s">
        <v>333</v>
      </c>
      <c r="AB497" s="20" t="s">
        <v>333</v>
      </c>
      <c r="AC497" s="20"/>
      <c r="AD497" s="20" t="s">
        <v>333</v>
      </c>
      <c r="AE497" s="20" t="s">
        <v>333</v>
      </c>
      <c r="AF497" s="20" t="s">
        <v>333</v>
      </c>
      <c r="AG497" s="20" t="s">
        <v>344</v>
      </c>
      <c r="AH497" s="20" t="s">
        <v>344</v>
      </c>
      <c r="AI497" s="20" t="s">
        <v>333</v>
      </c>
      <c r="AJ497" s="20"/>
      <c r="AK497" s="20" t="s">
        <v>1244</v>
      </c>
      <c r="AL497" s="20" t="s">
        <v>1556</v>
      </c>
      <c r="AM497" s="20" t="s">
        <v>1244</v>
      </c>
      <c r="AN497" s="20" t="s">
        <v>349</v>
      </c>
      <c r="AO497" s="20"/>
      <c r="AP497" s="20" t="s">
        <v>1559</v>
      </c>
      <c r="AQ497" s="20" t="s">
        <v>1586</v>
      </c>
      <c r="AR497" s="20"/>
      <c r="AS497" s="20"/>
    </row>
    <row r="498">
      <c r="A498" s="20" t="s">
        <v>4430</v>
      </c>
      <c r="B498" s="20" t="s">
        <v>3293</v>
      </c>
      <c r="C498" s="20" t="s">
        <v>3294</v>
      </c>
      <c r="D498" s="20"/>
      <c r="E498" s="20" t="s">
        <v>49</v>
      </c>
      <c r="F498" s="20"/>
      <c r="G498" s="20"/>
      <c r="H498" s="20" t="s">
        <v>1475</v>
      </c>
      <c r="I498" s="20" t="s">
        <v>1476</v>
      </c>
      <c r="J498" s="20" t="s">
        <v>74</v>
      </c>
      <c r="K498" s="20" t="s">
        <v>55</v>
      </c>
      <c r="L498" s="20" t="s">
        <v>56</v>
      </c>
      <c r="M498" s="20" t="s">
        <v>57</v>
      </c>
      <c r="N498" s="20" t="s">
        <v>333</v>
      </c>
      <c r="O498" s="20" t="s">
        <v>1591</v>
      </c>
      <c r="P498" s="20" t="s">
        <v>1559</v>
      </c>
      <c r="Q498" s="20" t="s">
        <v>59</v>
      </c>
      <c r="R498" s="20" t="s">
        <v>333</v>
      </c>
      <c r="S498" s="20" t="s">
        <v>333</v>
      </c>
      <c r="T498" s="20"/>
      <c r="U498" s="20"/>
      <c r="V498" s="20" t="s">
        <v>344</v>
      </c>
      <c r="W498" s="20" t="s">
        <v>333</v>
      </c>
      <c r="X498" s="20" t="s">
        <v>333</v>
      </c>
      <c r="Y498" s="20" t="s">
        <v>333</v>
      </c>
      <c r="Z498" s="20" t="s">
        <v>333</v>
      </c>
      <c r="AA498" s="20" t="s">
        <v>333</v>
      </c>
      <c r="AB498" s="20" t="s">
        <v>333</v>
      </c>
      <c r="AC498" s="20"/>
      <c r="AD498" s="20" t="s">
        <v>333</v>
      </c>
      <c r="AE498" s="20" t="s">
        <v>333</v>
      </c>
      <c r="AF498" s="20" t="s">
        <v>333</v>
      </c>
      <c r="AG498" s="20" t="s">
        <v>344</v>
      </c>
      <c r="AH498" s="20" t="s">
        <v>344</v>
      </c>
      <c r="AI498" s="20" t="s">
        <v>333</v>
      </c>
      <c r="AJ498" s="20"/>
      <c r="AK498" s="20" t="s">
        <v>347</v>
      </c>
      <c r="AL498" s="20" t="s">
        <v>1556</v>
      </c>
      <c r="AM498" s="20" t="s">
        <v>347</v>
      </c>
      <c r="AN498" s="20" t="s">
        <v>349</v>
      </c>
      <c r="AO498" s="20"/>
      <c r="AP498" s="20" t="s">
        <v>1591</v>
      </c>
      <c r="AQ498" s="20" t="s">
        <v>1559</v>
      </c>
      <c r="AR498" s="20"/>
      <c r="AS498" s="20"/>
    </row>
    <row r="499">
      <c r="A499" s="20" t="s">
        <v>4431</v>
      </c>
      <c r="B499" s="20" t="s">
        <v>2521</v>
      </c>
      <c r="C499" s="20" t="s">
        <v>2522</v>
      </c>
      <c r="D499" s="20"/>
      <c r="E499" s="20" t="s">
        <v>49</v>
      </c>
      <c r="F499" s="20"/>
      <c r="G499" s="20"/>
      <c r="H499" s="20" t="s">
        <v>303</v>
      </c>
      <c r="I499" s="20" t="s">
        <v>303</v>
      </c>
      <c r="J499" s="20" t="s">
        <v>74</v>
      </c>
      <c r="K499" s="20" t="s">
        <v>55</v>
      </c>
      <c r="L499" s="20" t="s">
        <v>56</v>
      </c>
      <c r="M499" s="20" t="s">
        <v>57</v>
      </c>
      <c r="N499" s="20" t="s">
        <v>333</v>
      </c>
      <c r="O499" s="20" t="s">
        <v>1556</v>
      </c>
      <c r="P499" s="20" t="s">
        <v>1559</v>
      </c>
      <c r="Q499" s="20" t="s">
        <v>59</v>
      </c>
      <c r="R499" s="20" t="s">
        <v>333</v>
      </c>
      <c r="S499" s="20" t="s">
        <v>333</v>
      </c>
      <c r="T499" s="20"/>
      <c r="U499" s="20"/>
      <c r="V499" s="20" t="s">
        <v>344</v>
      </c>
      <c r="W499" s="20" t="s">
        <v>333</v>
      </c>
      <c r="X499" s="20" t="s">
        <v>333</v>
      </c>
      <c r="Y499" s="20" t="s">
        <v>333</v>
      </c>
      <c r="Z499" s="20" t="s">
        <v>333</v>
      </c>
      <c r="AA499" s="20" t="s">
        <v>333</v>
      </c>
      <c r="AB499" s="20" t="s">
        <v>333</v>
      </c>
      <c r="AC499" s="20"/>
      <c r="AD499" s="20" t="s">
        <v>333</v>
      </c>
      <c r="AE499" s="20" t="s">
        <v>333</v>
      </c>
      <c r="AF499" s="20" t="s">
        <v>333</v>
      </c>
      <c r="AG499" s="20" t="s">
        <v>344</v>
      </c>
      <c r="AH499" s="20" t="s">
        <v>344</v>
      </c>
      <c r="AI499" s="20" t="s">
        <v>333</v>
      </c>
      <c r="AJ499" s="20"/>
      <c r="AK499" s="20" t="s">
        <v>1581</v>
      </c>
      <c r="AL499" s="20" t="s">
        <v>3207</v>
      </c>
      <c r="AM499" s="20" t="s">
        <v>1581</v>
      </c>
      <c r="AN499" s="20" t="s">
        <v>349</v>
      </c>
      <c r="AO499" s="20"/>
      <c r="AP499" s="20" t="s">
        <v>1556</v>
      </c>
      <c r="AQ499" s="20" t="s">
        <v>1559</v>
      </c>
      <c r="AR499" s="20"/>
      <c r="AS499" s="20"/>
    </row>
    <row r="500">
      <c r="A500" s="20" t="s">
        <v>4432</v>
      </c>
      <c r="B500" s="20" t="s">
        <v>2143</v>
      </c>
      <c r="C500" s="20" t="s">
        <v>2144</v>
      </c>
      <c r="D500" s="20"/>
      <c r="E500" s="20" t="s">
        <v>49</v>
      </c>
      <c r="F500" s="20"/>
      <c r="G500" s="20"/>
      <c r="H500" s="20" t="s">
        <v>586</v>
      </c>
      <c r="I500" s="20" t="s">
        <v>587</v>
      </c>
      <c r="J500" s="20" t="s">
        <v>74</v>
      </c>
      <c r="K500" s="20" t="s">
        <v>55</v>
      </c>
      <c r="L500" s="20" t="s">
        <v>56</v>
      </c>
      <c r="M500" s="20" t="s">
        <v>57</v>
      </c>
      <c r="N500" s="20" t="s">
        <v>333</v>
      </c>
      <c r="O500" s="20" t="s">
        <v>1596</v>
      </c>
      <c r="P500" s="20" t="s">
        <v>1586</v>
      </c>
      <c r="Q500" s="20" t="s">
        <v>59</v>
      </c>
      <c r="R500" s="20" t="s">
        <v>333</v>
      </c>
      <c r="S500" s="20" t="s">
        <v>333</v>
      </c>
      <c r="T500" s="20"/>
      <c r="U500" s="20"/>
      <c r="V500" s="20" t="s">
        <v>344</v>
      </c>
      <c r="W500" s="20" t="s">
        <v>333</v>
      </c>
      <c r="X500" s="20" t="s">
        <v>333</v>
      </c>
      <c r="Y500" s="20" t="s">
        <v>333</v>
      </c>
      <c r="Z500" s="20" t="s">
        <v>333</v>
      </c>
      <c r="AA500" s="20" t="s">
        <v>333</v>
      </c>
      <c r="AB500" s="20" t="s">
        <v>333</v>
      </c>
      <c r="AC500" s="20"/>
      <c r="AD500" s="20" t="s">
        <v>333</v>
      </c>
      <c r="AE500" s="20" t="s">
        <v>333</v>
      </c>
      <c r="AF500" s="20" t="s">
        <v>333</v>
      </c>
      <c r="AG500" s="20" t="s">
        <v>344</v>
      </c>
      <c r="AH500" s="20" t="s">
        <v>344</v>
      </c>
      <c r="AI500" s="20" t="s">
        <v>333</v>
      </c>
      <c r="AJ500" s="20"/>
      <c r="AK500" s="20" t="s">
        <v>347</v>
      </c>
      <c r="AL500" s="20" t="s">
        <v>1261</v>
      </c>
      <c r="AM500" s="20" t="s">
        <v>347</v>
      </c>
      <c r="AN500" s="20" t="s">
        <v>349</v>
      </c>
      <c r="AO500" s="20"/>
      <c r="AP500" s="20" t="s">
        <v>1596</v>
      </c>
      <c r="AQ500" s="20" t="s">
        <v>1586</v>
      </c>
      <c r="AR500" s="20"/>
      <c r="AS500" s="20"/>
    </row>
    <row r="501">
      <c r="A501" s="32" t="s">
        <v>4433</v>
      </c>
      <c r="B501" s="32" t="s">
        <v>1935</v>
      </c>
      <c r="C501" s="32" t="s">
        <v>1936</v>
      </c>
      <c r="D501" s="48" t="s">
        <v>1937</v>
      </c>
      <c r="E501" s="32" t="s">
        <v>49</v>
      </c>
      <c r="F501" s="32" t="s">
        <v>774</v>
      </c>
      <c r="G501" s="32" t="s">
        <v>4434</v>
      </c>
      <c r="H501" s="32" t="s">
        <v>513</v>
      </c>
      <c r="I501" s="32" t="s">
        <v>514</v>
      </c>
      <c r="J501" s="32" t="s">
        <v>74</v>
      </c>
      <c r="K501" s="32" t="s">
        <v>55</v>
      </c>
      <c r="L501" s="32" t="s">
        <v>56</v>
      </c>
      <c r="M501" s="32" t="s">
        <v>57</v>
      </c>
      <c r="N501" s="32" t="s">
        <v>333</v>
      </c>
      <c r="O501" s="32" t="s">
        <v>1571</v>
      </c>
      <c r="P501" s="32" t="s">
        <v>1253</v>
      </c>
      <c r="Q501" s="32" t="s">
        <v>59</v>
      </c>
      <c r="R501" s="32" t="s">
        <v>333</v>
      </c>
      <c r="S501" s="32" t="s">
        <v>333</v>
      </c>
      <c r="T501" s="32"/>
      <c r="U501" s="32"/>
      <c r="V501" s="32" t="s">
        <v>344</v>
      </c>
      <c r="W501" s="32" t="s">
        <v>333</v>
      </c>
      <c r="X501" s="32" t="s">
        <v>333</v>
      </c>
      <c r="Y501" s="32" t="s">
        <v>333</v>
      </c>
      <c r="Z501" s="32" t="s">
        <v>333</v>
      </c>
      <c r="AA501" s="32" t="s">
        <v>333</v>
      </c>
      <c r="AB501" s="32" t="s">
        <v>333</v>
      </c>
      <c r="AC501" s="32"/>
      <c r="AD501" s="32" t="s">
        <v>333</v>
      </c>
      <c r="AE501" s="32" t="s">
        <v>333</v>
      </c>
      <c r="AF501" s="32" t="s">
        <v>333</v>
      </c>
      <c r="AG501" s="32" t="s">
        <v>344</v>
      </c>
      <c r="AH501" s="32" t="s">
        <v>344</v>
      </c>
      <c r="AI501" s="32" t="s">
        <v>333</v>
      </c>
      <c r="AJ501" s="32"/>
      <c r="AK501" s="32" t="s">
        <v>1556</v>
      </c>
      <c r="AL501" s="32" t="s">
        <v>1244</v>
      </c>
      <c r="AM501" s="32" t="s">
        <v>1556</v>
      </c>
      <c r="AN501" s="32" t="s">
        <v>349</v>
      </c>
      <c r="AO501" s="32"/>
      <c r="AP501" s="32" t="s">
        <v>1571</v>
      </c>
      <c r="AQ501" s="32" t="s">
        <v>1253</v>
      </c>
      <c r="AR501" s="21" t="s">
        <v>1931</v>
      </c>
      <c r="AS501" s="21">
        <v>2.0</v>
      </c>
    </row>
    <row r="502">
      <c r="A502" s="20" t="s">
        <v>4435</v>
      </c>
      <c r="B502" s="20" t="s">
        <v>2755</v>
      </c>
      <c r="C502" s="20" t="s">
        <v>2756</v>
      </c>
      <c r="D502" s="20"/>
      <c r="E502" s="20" t="s">
        <v>49</v>
      </c>
      <c r="F502" s="20"/>
      <c r="G502" s="20"/>
      <c r="H502" s="20" t="s">
        <v>303</v>
      </c>
      <c r="I502" s="20" t="s">
        <v>303</v>
      </c>
      <c r="J502" s="20" t="s">
        <v>74</v>
      </c>
      <c r="K502" s="20" t="s">
        <v>55</v>
      </c>
      <c r="L502" s="20" t="s">
        <v>56</v>
      </c>
      <c r="M502" s="20" t="s">
        <v>57</v>
      </c>
      <c r="N502" s="20" t="s">
        <v>333</v>
      </c>
      <c r="O502" s="20" t="s">
        <v>1596</v>
      </c>
      <c r="P502" s="20"/>
      <c r="Q502" s="20" t="s">
        <v>59</v>
      </c>
      <c r="R502" s="20" t="s">
        <v>333</v>
      </c>
      <c r="S502" s="20" t="s">
        <v>333</v>
      </c>
      <c r="T502" s="20"/>
      <c r="U502" s="20"/>
      <c r="V502" s="20" t="s">
        <v>344</v>
      </c>
      <c r="W502" s="20" t="s">
        <v>333</v>
      </c>
      <c r="X502" s="20" t="s">
        <v>333</v>
      </c>
      <c r="Y502" s="20" t="s">
        <v>333</v>
      </c>
      <c r="Z502" s="20" t="s">
        <v>333</v>
      </c>
      <c r="AA502" s="20" t="s">
        <v>333</v>
      </c>
      <c r="AB502" s="20" t="s">
        <v>333</v>
      </c>
      <c r="AC502" s="20"/>
      <c r="AD502" s="20" t="s">
        <v>333</v>
      </c>
      <c r="AE502" s="20" t="s">
        <v>333</v>
      </c>
      <c r="AF502" s="20" t="s">
        <v>333</v>
      </c>
      <c r="AG502" s="20" t="s">
        <v>344</v>
      </c>
      <c r="AH502" s="20" t="s">
        <v>344</v>
      </c>
      <c r="AI502" s="20" t="s">
        <v>333</v>
      </c>
      <c r="AJ502" s="20"/>
      <c r="AK502" s="20" t="s">
        <v>1244</v>
      </c>
      <c r="AL502" s="20" t="s">
        <v>1556</v>
      </c>
      <c r="AM502" s="20" t="s">
        <v>1244</v>
      </c>
      <c r="AN502" s="20" t="s">
        <v>349</v>
      </c>
      <c r="AO502" s="20"/>
      <c r="AP502" s="20" t="s">
        <v>1596</v>
      </c>
      <c r="AQ502" s="20" t="s">
        <v>349</v>
      </c>
      <c r="AR502" s="20"/>
      <c r="AS502" s="20"/>
    </row>
    <row r="503">
      <c r="A503" s="32" t="s">
        <v>4436</v>
      </c>
      <c r="B503" s="32" t="s">
        <v>255</v>
      </c>
      <c r="C503" s="32" t="s">
        <v>256</v>
      </c>
      <c r="D503" s="48" t="s">
        <v>1954</v>
      </c>
      <c r="E503" s="32" t="s">
        <v>49</v>
      </c>
      <c r="F503" s="32" t="s">
        <v>260</v>
      </c>
      <c r="G503" s="32" t="s">
        <v>272</v>
      </c>
      <c r="H503" s="32" t="s">
        <v>273</v>
      </c>
      <c r="I503" s="32" t="s">
        <v>274</v>
      </c>
      <c r="J503" s="32" t="s">
        <v>274</v>
      </c>
      <c r="K503" s="32" t="s">
        <v>55</v>
      </c>
      <c r="L503" s="32" t="s">
        <v>56</v>
      </c>
      <c r="M503" s="32" t="s">
        <v>57</v>
      </c>
      <c r="N503" s="32" t="s">
        <v>333</v>
      </c>
      <c r="O503" s="32" t="s">
        <v>1682</v>
      </c>
      <c r="P503" s="32" t="s">
        <v>1559</v>
      </c>
      <c r="Q503" s="32" t="s">
        <v>59</v>
      </c>
      <c r="R503" s="32" t="s">
        <v>333</v>
      </c>
      <c r="S503" s="32" t="s">
        <v>333</v>
      </c>
      <c r="T503" s="32"/>
      <c r="U503" s="32"/>
      <c r="V503" s="32" t="s">
        <v>344</v>
      </c>
      <c r="W503" s="32" t="s">
        <v>333</v>
      </c>
      <c r="X503" s="32" t="s">
        <v>333</v>
      </c>
      <c r="Y503" s="32" t="s">
        <v>333</v>
      </c>
      <c r="Z503" s="32" t="s">
        <v>333</v>
      </c>
      <c r="AA503" s="32" t="s">
        <v>333</v>
      </c>
      <c r="AB503" s="32" t="s">
        <v>333</v>
      </c>
      <c r="AC503" s="32"/>
      <c r="AD503" s="32" t="s">
        <v>333</v>
      </c>
      <c r="AE503" s="32" t="s">
        <v>333</v>
      </c>
      <c r="AF503" s="32" t="s">
        <v>333</v>
      </c>
      <c r="AG503" s="32" t="s">
        <v>344</v>
      </c>
      <c r="AH503" s="32" t="s">
        <v>344</v>
      </c>
      <c r="AI503" s="32" t="s">
        <v>333</v>
      </c>
      <c r="AJ503" s="32"/>
      <c r="AK503" s="32" t="s">
        <v>1663</v>
      </c>
      <c r="AL503" s="32" t="s">
        <v>2019</v>
      </c>
      <c r="AM503" s="32" t="s">
        <v>1663</v>
      </c>
      <c r="AN503" s="32" t="s">
        <v>349</v>
      </c>
      <c r="AO503" s="32"/>
      <c r="AP503" s="32" t="s">
        <v>1682</v>
      </c>
      <c r="AQ503" s="32" t="s">
        <v>1559</v>
      </c>
      <c r="AR503" s="21" t="s">
        <v>1931</v>
      </c>
      <c r="AS503" s="21">
        <v>2.0</v>
      </c>
    </row>
    <row r="504">
      <c r="A504" s="20" t="s">
        <v>4437</v>
      </c>
      <c r="B504" s="20" t="s">
        <v>3003</v>
      </c>
      <c r="C504" s="20" t="s">
        <v>3004</v>
      </c>
      <c r="D504" s="20" t="s">
        <v>3005</v>
      </c>
      <c r="E504" s="20" t="s">
        <v>49</v>
      </c>
      <c r="F504" s="20"/>
      <c r="G504" s="20"/>
      <c r="H504" s="20" t="s">
        <v>303</v>
      </c>
      <c r="I504" s="20" t="s">
        <v>303</v>
      </c>
      <c r="J504" s="20" t="s">
        <v>74</v>
      </c>
      <c r="K504" s="20" t="s">
        <v>55</v>
      </c>
      <c r="L504" s="20" t="s">
        <v>56</v>
      </c>
      <c r="M504" s="20" t="s">
        <v>57</v>
      </c>
      <c r="N504" s="20" t="s">
        <v>333</v>
      </c>
      <c r="O504" s="20" t="s">
        <v>1591</v>
      </c>
      <c r="P504" s="20" t="s">
        <v>1559</v>
      </c>
      <c r="Q504" s="20" t="s">
        <v>59</v>
      </c>
      <c r="R504" s="20" t="s">
        <v>333</v>
      </c>
      <c r="S504" s="20" t="s">
        <v>333</v>
      </c>
      <c r="T504" s="20" t="s">
        <v>948</v>
      </c>
      <c r="U504" s="20"/>
      <c r="V504" s="20" t="s">
        <v>344</v>
      </c>
      <c r="W504" s="20" t="s">
        <v>333</v>
      </c>
      <c r="X504" s="20" t="s">
        <v>333</v>
      </c>
      <c r="Y504" s="20" t="s">
        <v>333</v>
      </c>
      <c r="Z504" s="20" t="s">
        <v>333</v>
      </c>
      <c r="AA504" s="20" t="s">
        <v>333</v>
      </c>
      <c r="AB504" s="20" t="s">
        <v>333</v>
      </c>
      <c r="AC504" s="20"/>
      <c r="AD504" s="20" t="s">
        <v>333</v>
      </c>
      <c r="AE504" s="20" t="s">
        <v>333</v>
      </c>
      <c r="AF504" s="20" t="s">
        <v>333</v>
      </c>
      <c r="AG504" s="20" t="s">
        <v>344</v>
      </c>
      <c r="AH504" s="20" t="s">
        <v>344</v>
      </c>
      <c r="AI504" s="20" t="s">
        <v>333</v>
      </c>
      <c r="AJ504" s="20"/>
      <c r="AK504" s="20" t="s">
        <v>349</v>
      </c>
      <c r="AL504" s="20" t="s">
        <v>349</v>
      </c>
      <c r="AM504" s="20" t="s">
        <v>349</v>
      </c>
      <c r="AN504" s="20" t="s">
        <v>349</v>
      </c>
      <c r="AO504" s="20"/>
      <c r="AP504" s="20" t="s">
        <v>1591</v>
      </c>
      <c r="AQ504" s="20" t="s">
        <v>1559</v>
      </c>
      <c r="AR504" s="20"/>
      <c r="AS504" s="20"/>
    </row>
    <row r="505">
      <c r="A505" s="32" t="s">
        <v>4438</v>
      </c>
      <c r="B505" s="32" t="s">
        <v>3730</v>
      </c>
      <c r="C505" s="32" t="s">
        <v>1306</v>
      </c>
      <c r="D505" s="48" t="s">
        <v>2753</v>
      </c>
      <c r="E505" s="32" t="s">
        <v>49</v>
      </c>
      <c r="F505" s="32" t="s">
        <v>4439</v>
      </c>
      <c r="G505" s="32" t="s">
        <v>4440</v>
      </c>
      <c r="H505" s="32" t="s">
        <v>72</v>
      </c>
      <c r="I505" s="32" t="s">
        <v>73</v>
      </c>
      <c r="J505" s="32" t="s">
        <v>74</v>
      </c>
      <c r="K505" s="32" t="s">
        <v>55</v>
      </c>
      <c r="L505" s="32" t="s">
        <v>56</v>
      </c>
      <c r="M505" s="32" t="s">
        <v>57</v>
      </c>
      <c r="N505" s="32" t="s">
        <v>333</v>
      </c>
      <c r="O505" s="32" t="s">
        <v>4441</v>
      </c>
      <c r="P505" s="32" t="s">
        <v>1261</v>
      </c>
      <c r="Q505" s="32" t="s">
        <v>59</v>
      </c>
      <c r="R505" s="32" t="s">
        <v>333</v>
      </c>
      <c r="S505" s="32" t="s">
        <v>333</v>
      </c>
      <c r="T505" s="32"/>
      <c r="U505" s="32"/>
      <c r="V505" s="32" t="s">
        <v>344</v>
      </c>
      <c r="W505" s="32" t="s">
        <v>333</v>
      </c>
      <c r="X505" s="32" t="s">
        <v>333</v>
      </c>
      <c r="Y505" s="32" t="s">
        <v>333</v>
      </c>
      <c r="Z505" s="32" t="s">
        <v>333</v>
      </c>
      <c r="AA505" s="32" t="s">
        <v>333</v>
      </c>
      <c r="AB505" s="32" t="s">
        <v>333</v>
      </c>
      <c r="AC505" s="32"/>
      <c r="AD505" s="32" t="s">
        <v>333</v>
      </c>
      <c r="AE505" s="32" t="s">
        <v>333</v>
      </c>
      <c r="AF505" s="32" t="s">
        <v>333</v>
      </c>
      <c r="AG505" s="32" t="s">
        <v>344</v>
      </c>
      <c r="AH505" s="32" t="s">
        <v>344</v>
      </c>
      <c r="AI505" s="32" t="s">
        <v>333</v>
      </c>
      <c r="AJ505" s="32"/>
      <c r="AK505" s="32" t="s">
        <v>1244</v>
      </c>
      <c r="AL505" s="32" t="s">
        <v>1673</v>
      </c>
      <c r="AM505" s="32" t="s">
        <v>1244</v>
      </c>
      <c r="AN505" s="32" t="s">
        <v>349</v>
      </c>
      <c r="AO505" s="32"/>
      <c r="AP505" s="32" t="s">
        <v>4441</v>
      </c>
      <c r="AQ505" s="32" t="s">
        <v>1261</v>
      </c>
      <c r="AR505" s="21" t="s">
        <v>1931</v>
      </c>
      <c r="AS505" s="21">
        <v>2.0</v>
      </c>
    </row>
    <row r="506">
      <c r="A506" s="32" t="s">
        <v>4442</v>
      </c>
      <c r="B506" s="32" t="s">
        <v>1364</v>
      </c>
      <c r="C506" s="32" t="s">
        <v>1365</v>
      </c>
      <c r="D506" s="48" t="s">
        <v>2221</v>
      </c>
      <c r="E506" s="32" t="s">
        <v>49</v>
      </c>
      <c r="F506" s="32" t="s">
        <v>4443</v>
      </c>
      <c r="G506" s="32" t="s">
        <v>4444</v>
      </c>
      <c r="H506" s="32" t="s">
        <v>1370</v>
      </c>
      <c r="I506" s="32" t="s">
        <v>1209</v>
      </c>
      <c r="J506" s="32" t="s">
        <v>1209</v>
      </c>
      <c r="K506" s="32" t="s">
        <v>55</v>
      </c>
      <c r="L506" s="32" t="s">
        <v>56</v>
      </c>
      <c r="M506" s="32" t="s">
        <v>57</v>
      </c>
      <c r="N506" s="32" t="s">
        <v>333</v>
      </c>
      <c r="O506" s="32" t="s">
        <v>1556</v>
      </c>
      <c r="P506" s="32" t="s">
        <v>1920</v>
      </c>
      <c r="Q506" s="32" t="s">
        <v>59</v>
      </c>
      <c r="R506" s="32" t="s">
        <v>333</v>
      </c>
      <c r="S506" s="32" t="s">
        <v>333</v>
      </c>
      <c r="T506" s="32"/>
      <c r="U506" s="32"/>
      <c r="V506" s="32" t="s">
        <v>344</v>
      </c>
      <c r="W506" s="32" t="s">
        <v>333</v>
      </c>
      <c r="X506" s="32" t="s">
        <v>333</v>
      </c>
      <c r="Y506" s="32" t="s">
        <v>333</v>
      </c>
      <c r="Z506" s="32" t="s">
        <v>333</v>
      </c>
      <c r="AA506" s="32" t="s">
        <v>333</v>
      </c>
      <c r="AB506" s="32" t="s">
        <v>333</v>
      </c>
      <c r="AC506" s="32"/>
      <c r="AD506" s="32" t="s">
        <v>333</v>
      </c>
      <c r="AE506" s="32" t="s">
        <v>333</v>
      </c>
      <c r="AF506" s="32" t="s">
        <v>333</v>
      </c>
      <c r="AG506" s="32" t="s">
        <v>344</v>
      </c>
      <c r="AH506" s="32" t="s">
        <v>344</v>
      </c>
      <c r="AI506" s="32" t="s">
        <v>333</v>
      </c>
      <c r="AJ506" s="32"/>
      <c r="AK506" s="32" t="s">
        <v>347</v>
      </c>
      <c r="AL506" s="32" t="s">
        <v>348</v>
      </c>
      <c r="AM506" s="32" t="s">
        <v>347</v>
      </c>
      <c r="AN506" s="32" t="s">
        <v>349</v>
      </c>
      <c r="AO506" s="32"/>
      <c r="AP506" s="32" t="s">
        <v>1556</v>
      </c>
      <c r="AQ506" s="32" t="s">
        <v>1920</v>
      </c>
      <c r="AR506" s="21" t="s">
        <v>1931</v>
      </c>
      <c r="AS506" s="21">
        <v>2.0</v>
      </c>
    </row>
    <row r="507">
      <c r="A507" s="20" t="s">
        <v>4393</v>
      </c>
      <c r="B507" s="20" t="s">
        <v>1012</v>
      </c>
      <c r="C507" s="20" t="s">
        <v>1013</v>
      </c>
      <c r="D507" s="20"/>
      <c r="E507" s="20" t="s">
        <v>49</v>
      </c>
      <c r="F507" s="20"/>
      <c r="G507" s="20"/>
      <c r="H507" s="20" t="s">
        <v>266</v>
      </c>
      <c r="I507" s="20" t="s">
        <v>267</v>
      </c>
      <c r="J507" s="20" t="s">
        <v>267</v>
      </c>
      <c r="K507" s="20" t="s">
        <v>55</v>
      </c>
      <c r="L507" s="20" t="s">
        <v>56</v>
      </c>
      <c r="M507" s="20" t="s">
        <v>57</v>
      </c>
      <c r="N507" s="20" t="s">
        <v>333</v>
      </c>
      <c r="O507" s="20" t="s">
        <v>1596</v>
      </c>
      <c r="P507" s="20"/>
      <c r="Q507" s="20" t="s">
        <v>59</v>
      </c>
      <c r="R507" s="20" t="s">
        <v>333</v>
      </c>
      <c r="S507" s="20" t="s">
        <v>333</v>
      </c>
      <c r="T507" s="20"/>
      <c r="U507" s="20"/>
      <c r="V507" s="20" t="s">
        <v>344</v>
      </c>
      <c r="W507" s="20" t="s">
        <v>333</v>
      </c>
      <c r="X507" s="20" t="s">
        <v>333</v>
      </c>
      <c r="Y507" s="20" t="s">
        <v>333</v>
      </c>
      <c r="Z507" s="20" t="s">
        <v>333</v>
      </c>
      <c r="AA507" s="20" t="s">
        <v>333</v>
      </c>
      <c r="AB507" s="20" t="s">
        <v>333</v>
      </c>
      <c r="AC507" s="20"/>
      <c r="AD507" s="20" t="s">
        <v>333</v>
      </c>
      <c r="AE507" s="20" t="s">
        <v>333</v>
      </c>
      <c r="AF507" s="20" t="s">
        <v>333</v>
      </c>
      <c r="AG507" s="20" t="s">
        <v>344</v>
      </c>
      <c r="AH507" s="20" t="s">
        <v>344</v>
      </c>
      <c r="AI507" s="20" t="s">
        <v>333</v>
      </c>
      <c r="AJ507" s="20"/>
      <c r="AK507" s="20" t="s">
        <v>347</v>
      </c>
      <c r="AL507" s="20" t="s">
        <v>1800</v>
      </c>
      <c r="AM507" s="20" t="s">
        <v>347</v>
      </c>
      <c r="AN507" s="20" t="s">
        <v>349</v>
      </c>
      <c r="AO507" s="20"/>
      <c r="AP507" s="20" t="s">
        <v>1596</v>
      </c>
      <c r="AQ507" s="20" t="s">
        <v>349</v>
      </c>
      <c r="AR507" s="20"/>
      <c r="AS507" s="20"/>
    </row>
    <row r="508">
      <c r="A508" s="20" t="s">
        <v>4445</v>
      </c>
      <c r="B508" s="20" t="s">
        <v>3128</v>
      </c>
      <c r="C508" s="20" t="s">
        <v>3129</v>
      </c>
      <c r="D508" s="20"/>
      <c r="E508" s="20" t="s">
        <v>49</v>
      </c>
      <c r="F508" s="20"/>
      <c r="G508" s="20"/>
      <c r="H508" s="20" t="s">
        <v>1385</v>
      </c>
      <c r="I508" s="20" t="s">
        <v>1386</v>
      </c>
      <c r="J508" s="20" t="s">
        <v>74</v>
      </c>
      <c r="K508" s="20" t="s">
        <v>55</v>
      </c>
      <c r="L508" s="20" t="s">
        <v>56</v>
      </c>
      <c r="M508" s="20" t="s">
        <v>57</v>
      </c>
      <c r="N508" s="20" t="s">
        <v>333</v>
      </c>
      <c r="O508" s="20" t="s">
        <v>1596</v>
      </c>
      <c r="P508" s="20" t="s">
        <v>1556</v>
      </c>
      <c r="Q508" s="20" t="s">
        <v>59</v>
      </c>
      <c r="R508" s="20" t="s">
        <v>333</v>
      </c>
      <c r="S508" s="20" t="s">
        <v>333</v>
      </c>
      <c r="T508" s="20"/>
      <c r="U508" s="20"/>
      <c r="V508" s="20" t="s">
        <v>344</v>
      </c>
      <c r="W508" s="20" t="s">
        <v>333</v>
      </c>
      <c r="X508" s="20" t="s">
        <v>333</v>
      </c>
      <c r="Y508" s="20" t="s">
        <v>333</v>
      </c>
      <c r="Z508" s="20" t="s">
        <v>333</v>
      </c>
      <c r="AA508" s="20" t="s">
        <v>333</v>
      </c>
      <c r="AB508" s="20" t="s">
        <v>333</v>
      </c>
      <c r="AC508" s="20"/>
      <c r="AD508" s="20" t="s">
        <v>333</v>
      </c>
      <c r="AE508" s="20" t="s">
        <v>333</v>
      </c>
      <c r="AF508" s="20" t="s">
        <v>333</v>
      </c>
      <c r="AG508" s="20" t="s">
        <v>344</v>
      </c>
      <c r="AH508" s="20" t="s">
        <v>344</v>
      </c>
      <c r="AI508" s="20" t="s">
        <v>333</v>
      </c>
      <c r="AJ508" s="20"/>
      <c r="AK508" s="20" t="s">
        <v>1736</v>
      </c>
      <c r="AL508" s="20" t="s">
        <v>1581</v>
      </c>
      <c r="AM508" s="20" t="s">
        <v>1736</v>
      </c>
      <c r="AN508" s="20" t="s">
        <v>349</v>
      </c>
      <c r="AO508" s="20"/>
      <c r="AP508" s="20" t="s">
        <v>1596</v>
      </c>
      <c r="AQ508" s="20" t="s">
        <v>1556</v>
      </c>
      <c r="AR508" s="20"/>
      <c r="AS508" s="20"/>
    </row>
    <row r="509">
      <c r="A509" s="20" t="s">
        <v>4446</v>
      </c>
      <c r="B509" s="20" t="s">
        <v>1309</v>
      </c>
      <c r="C509" s="20" t="s">
        <v>1310</v>
      </c>
      <c r="D509" s="20" t="s">
        <v>1311</v>
      </c>
      <c r="E509" s="20" t="s">
        <v>49</v>
      </c>
      <c r="F509" s="20"/>
      <c r="G509" s="20"/>
      <c r="H509" s="20" t="s">
        <v>784</v>
      </c>
      <c r="I509" s="20" t="s">
        <v>785</v>
      </c>
      <c r="J509" s="20" t="s">
        <v>785</v>
      </c>
      <c r="K509" s="20" t="s">
        <v>55</v>
      </c>
      <c r="L509" s="20" t="s">
        <v>56</v>
      </c>
      <c r="M509" s="20" t="s">
        <v>57</v>
      </c>
      <c r="N509" s="20" t="s">
        <v>333</v>
      </c>
      <c r="O509" s="20" t="s">
        <v>1238</v>
      </c>
      <c r="P509" s="20" t="s">
        <v>1720</v>
      </c>
      <c r="Q509" s="20" t="s">
        <v>59</v>
      </c>
      <c r="R509" s="20" t="s">
        <v>333</v>
      </c>
      <c r="S509" s="20" t="s">
        <v>333</v>
      </c>
      <c r="T509" s="20" t="s">
        <v>3186</v>
      </c>
      <c r="U509" s="20"/>
      <c r="V509" s="20" t="s">
        <v>344</v>
      </c>
      <c r="W509" s="20" t="s">
        <v>333</v>
      </c>
      <c r="X509" s="20" t="s">
        <v>333</v>
      </c>
      <c r="Y509" s="20" t="s">
        <v>333</v>
      </c>
      <c r="Z509" s="20" t="s">
        <v>333</v>
      </c>
      <c r="AA509" s="20" t="s">
        <v>333</v>
      </c>
      <c r="AB509" s="20" t="s">
        <v>333</v>
      </c>
      <c r="AC509" s="20"/>
      <c r="AD509" s="20" t="s">
        <v>333</v>
      </c>
      <c r="AE509" s="20" t="s">
        <v>333</v>
      </c>
      <c r="AF509" s="20" t="s">
        <v>333</v>
      </c>
      <c r="AG509" s="20" t="s">
        <v>344</v>
      </c>
      <c r="AH509" s="20" t="s">
        <v>344</v>
      </c>
      <c r="AI509" s="20" t="s">
        <v>333</v>
      </c>
      <c r="AJ509" s="20"/>
      <c r="AK509" s="20" t="s">
        <v>349</v>
      </c>
      <c r="AL509" s="20" t="s">
        <v>1245</v>
      </c>
      <c r="AM509" s="20" t="s">
        <v>349</v>
      </c>
      <c r="AN509" s="20" t="s">
        <v>349</v>
      </c>
      <c r="AO509" s="20"/>
      <c r="AP509" s="20" t="s">
        <v>1238</v>
      </c>
      <c r="AQ509" s="20" t="s">
        <v>1720</v>
      </c>
      <c r="AR509" s="20"/>
      <c r="AS509" s="20"/>
    </row>
    <row r="510">
      <c r="A510" s="20" t="s">
        <v>4447</v>
      </c>
      <c r="B510" s="20" t="s">
        <v>4448</v>
      </c>
      <c r="C510" s="20" t="s">
        <v>4449</v>
      </c>
      <c r="D510" s="20"/>
      <c r="E510" s="20" t="s">
        <v>49</v>
      </c>
      <c r="F510" s="20"/>
      <c r="G510" s="20"/>
      <c r="H510" s="20" t="s">
        <v>887</v>
      </c>
      <c r="I510" s="20" t="s">
        <v>888</v>
      </c>
      <c r="J510" s="20" t="s">
        <v>74</v>
      </c>
      <c r="K510" s="20" t="s">
        <v>55</v>
      </c>
      <c r="L510" s="20" t="s">
        <v>56</v>
      </c>
      <c r="M510" s="20" t="s">
        <v>57</v>
      </c>
      <c r="N510" s="20" t="s">
        <v>333</v>
      </c>
      <c r="O510" s="20" t="s">
        <v>1244</v>
      </c>
      <c r="P510" s="20"/>
      <c r="Q510" s="20" t="s">
        <v>59</v>
      </c>
      <c r="R510" s="20" t="s">
        <v>333</v>
      </c>
      <c r="S510" s="20" t="s">
        <v>333</v>
      </c>
      <c r="T510" s="20"/>
      <c r="U510" s="20"/>
      <c r="V510" s="20" t="s">
        <v>344</v>
      </c>
      <c r="W510" s="20" t="s">
        <v>333</v>
      </c>
      <c r="X510" s="20" t="s">
        <v>333</v>
      </c>
      <c r="Y510" s="20" t="s">
        <v>333</v>
      </c>
      <c r="Z510" s="20" t="s">
        <v>333</v>
      </c>
      <c r="AA510" s="20" t="s">
        <v>333</v>
      </c>
      <c r="AB510" s="20" t="s">
        <v>333</v>
      </c>
      <c r="AC510" s="20"/>
      <c r="AD510" s="20" t="s">
        <v>333</v>
      </c>
      <c r="AE510" s="20" t="s">
        <v>333</v>
      </c>
      <c r="AF510" s="20" t="s">
        <v>333</v>
      </c>
      <c r="AG510" s="20" t="s">
        <v>344</v>
      </c>
      <c r="AH510" s="20" t="s">
        <v>344</v>
      </c>
      <c r="AI510" s="20" t="s">
        <v>333</v>
      </c>
      <c r="AJ510" s="20"/>
      <c r="AK510" s="20" t="s">
        <v>347</v>
      </c>
      <c r="AL510" s="20" t="s">
        <v>1245</v>
      </c>
      <c r="AM510" s="20" t="s">
        <v>347</v>
      </c>
      <c r="AN510" s="20" t="s">
        <v>349</v>
      </c>
      <c r="AO510" s="20"/>
      <c r="AP510" s="20" t="s">
        <v>1244</v>
      </c>
      <c r="AQ510" s="20" t="s">
        <v>349</v>
      </c>
      <c r="AR510" s="20"/>
      <c r="AS510" s="20"/>
    </row>
    <row r="511">
      <c r="A511" s="20" t="s">
        <v>4450</v>
      </c>
      <c r="B511" s="20" t="s">
        <v>657</v>
      </c>
      <c r="C511" s="20" t="s">
        <v>659</v>
      </c>
      <c r="D511" s="20"/>
      <c r="E511" s="20" t="s">
        <v>49</v>
      </c>
      <c r="F511" s="20"/>
      <c r="G511" s="20"/>
      <c r="H511" s="20" t="s">
        <v>664</v>
      </c>
      <c r="I511" s="20" t="s">
        <v>665</v>
      </c>
      <c r="J511" s="20" t="s">
        <v>665</v>
      </c>
      <c r="K511" s="20" t="s">
        <v>55</v>
      </c>
      <c r="L511" s="20" t="s">
        <v>56</v>
      </c>
      <c r="M511" s="20" t="s">
        <v>57</v>
      </c>
      <c r="N511" s="20" t="s">
        <v>333</v>
      </c>
      <c r="O511" s="20" t="s">
        <v>1596</v>
      </c>
      <c r="P511" s="20" t="s">
        <v>1238</v>
      </c>
      <c r="Q511" s="20" t="s">
        <v>59</v>
      </c>
      <c r="R511" s="20" t="s">
        <v>333</v>
      </c>
      <c r="S511" s="20" t="s">
        <v>333</v>
      </c>
      <c r="T511" s="20"/>
      <c r="U511" s="20"/>
      <c r="V511" s="20" t="s">
        <v>344</v>
      </c>
      <c r="W511" s="20" t="s">
        <v>333</v>
      </c>
      <c r="X511" s="20" t="s">
        <v>333</v>
      </c>
      <c r="Y511" s="20" t="s">
        <v>333</v>
      </c>
      <c r="Z511" s="20" t="s">
        <v>333</v>
      </c>
      <c r="AA511" s="20" t="s">
        <v>333</v>
      </c>
      <c r="AB511" s="20" t="s">
        <v>333</v>
      </c>
      <c r="AC511" s="20"/>
      <c r="AD511" s="20" t="s">
        <v>333</v>
      </c>
      <c r="AE511" s="20" t="s">
        <v>333</v>
      </c>
      <c r="AF511" s="20" t="s">
        <v>333</v>
      </c>
      <c r="AG511" s="20" t="s">
        <v>344</v>
      </c>
      <c r="AH511" s="20" t="s">
        <v>344</v>
      </c>
      <c r="AI511" s="20" t="s">
        <v>333</v>
      </c>
      <c r="AJ511" s="20"/>
      <c r="AK511" s="20" t="s">
        <v>1244</v>
      </c>
      <c r="AL511" s="20" t="s">
        <v>1245</v>
      </c>
      <c r="AM511" s="20" t="s">
        <v>1244</v>
      </c>
      <c r="AN511" s="20" t="s">
        <v>349</v>
      </c>
      <c r="AO511" s="20"/>
      <c r="AP511" s="20" t="s">
        <v>1596</v>
      </c>
      <c r="AQ511" s="20" t="s">
        <v>1238</v>
      </c>
      <c r="AR511" s="20"/>
      <c r="AS511" s="20"/>
    </row>
    <row r="512">
      <c r="A512" s="20" t="s">
        <v>4451</v>
      </c>
      <c r="B512" s="20" t="s">
        <v>4452</v>
      </c>
      <c r="C512" s="20" t="s">
        <v>4453</v>
      </c>
      <c r="D512" s="53" t="s">
        <v>4454</v>
      </c>
      <c r="E512" s="20" t="s">
        <v>49</v>
      </c>
      <c r="F512" s="20" t="s">
        <v>4455</v>
      </c>
      <c r="G512" s="20"/>
      <c r="H512" s="20" t="s">
        <v>142</v>
      </c>
      <c r="I512" s="20" t="s">
        <v>144</v>
      </c>
      <c r="J512" s="20" t="s">
        <v>74</v>
      </c>
      <c r="K512" s="20" t="s">
        <v>55</v>
      </c>
      <c r="L512" s="20" t="s">
        <v>56</v>
      </c>
      <c r="M512" s="20" t="s">
        <v>57</v>
      </c>
      <c r="N512" s="20" t="s">
        <v>333</v>
      </c>
      <c r="O512" s="20" t="s">
        <v>1682</v>
      </c>
      <c r="P512" s="20" t="s">
        <v>1556</v>
      </c>
      <c r="Q512" s="20" t="s">
        <v>59</v>
      </c>
      <c r="R512" s="20" t="s">
        <v>333</v>
      </c>
      <c r="S512" s="20" t="s">
        <v>333</v>
      </c>
      <c r="T512" s="20"/>
      <c r="U512" s="20"/>
      <c r="V512" s="20" t="s">
        <v>344</v>
      </c>
      <c r="W512" s="20" t="s">
        <v>333</v>
      </c>
      <c r="X512" s="20" t="s">
        <v>333</v>
      </c>
      <c r="Y512" s="20" t="s">
        <v>333</v>
      </c>
      <c r="Z512" s="20" t="s">
        <v>333</v>
      </c>
      <c r="AA512" s="20" t="s">
        <v>333</v>
      </c>
      <c r="AB512" s="20" t="s">
        <v>333</v>
      </c>
      <c r="AC512" s="20"/>
      <c r="AD512" s="20" t="s">
        <v>333</v>
      </c>
      <c r="AE512" s="20" t="s">
        <v>333</v>
      </c>
      <c r="AF512" s="20" t="s">
        <v>333</v>
      </c>
      <c r="AG512" s="20" t="s">
        <v>344</v>
      </c>
      <c r="AH512" s="20" t="s">
        <v>344</v>
      </c>
      <c r="AI512" s="20" t="s">
        <v>333</v>
      </c>
      <c r="AJ512" s="20"/>
      <c r="AK512" s="20" t="s">
        <v>1663</v>
      </c>
      <c r="AL512" s="20" t="s">
        <v>348</v>
      </c>
      <c r="AM512" s="20" t="s">
        <v>1663</v>
      </c>
      <c r="AN512" s="20" t="s">
        <v>349</v>
      </c>
      <c r="AO512" s="20"/>
      <c r="AP512" s="20" t="s">
        <v>1682</v>
      </c>
      <c r="AQ512" s="20" t="s">
        <v>1556</v>
      </c>
      <c r="AR512" s="29" t="s">
        <v>3937</v>
      </c>
      <c r="AS512" s="20"/>
    </row>
    <row r="513">
      <c r="A513" s="20" t="s">
        <v>4456</v>
      </c>
      <c r="B513" s="20" t="s">
        <v>3718</v>
      </c>
      <c r="C513" s="20" t="s">
        <v>3719</v>
      </c>
      <c r="D513" s="20"/>
      <c r="E513" s="20" t="s">
        <v>49</v>
      </c>
      <c r="F513" s="20"/>
      <c r="G513" s="20"/>
      <c r="H513" s="20" t="s">
        <v>3722</v>
      </c>
      <c r="I513" s="20" t="s">
        <v>3723</v>
      </c>
      <c r="J513" s="20" t="s">
        <v>74</v>
      </c>
      <c r="K513" s="20" t="s">
        <v>55</v>
      </c>
      <c r="L513" s="20" t="s">
        <v>56</v>
      </c>
      <c r="M513" s="20" t="s">
        <v>57</v>
      </c>
      <c r="N513" s="20" t="s">
        <v>333</v>
      </c>
      <c r="O513" s="20" t="s">
        <v>1256</v>
      </c>
      <c r="P513" s="20" t="s">
        <v>1591</v>
      </c>
      <c r="Q513" s="20" t="s">
        <v>59</v>
      </c>
      <c r="R513" s="20" t="s">
        <v>333</v>
      </c>
      <c r="S513" s="20" t="s">
        <v>333</v>
      </c>
      <c r="T513" s="20"/>
      <c r="U513" s="20"/>
      <c r="V513" s="20" t="s">
        <v>344</v>
      </c>
      <c r="W513" s="20" t="s">
        <v>333</v>
      </c>
      <c r="X513" s="20" t="s">
        <v>333</v>
      </c>
      <c r="Y513" s="20" t="s">
        <v>333</v>
      </c>
      <c r="Z513" s="20" t="s">
        <v>333</v>
      </c>
      <c r="AA513" s="20" t="s">
        <v>333</v>
      </c>
      <c r="AB513" s="20" t="s">
        <v>333</v>
      </c>
      <c r="AC513" s="20"/>
      <c r="AD513" s="20" t="s">
        <v>333</v>
      </c>
      <c r="AE513" s="20" t="s">
        <v>333</v>
      </c>
      <c r="AF513" s="20" t="s">
        <v>333</v>
      </c>
      <c r="AG513" s="20" t="s">
        <v>344</v>
      </c>
      <c r="AH513" s="20" t="s">
        <v>344</v>
      </c>
      <c r="AI513" s="20" t="s">
        <v>333</v>
      </c>
      <c r="AJ513" s="20"/>
      <c r="AK513" s="20" t="s">
        <v>1581</v>
      </c>
      <c r="AL513" s="20" t="s">
        <v>1586</v>
      </c>
      <c r="AM513" s="20" t="s">
        <v>1581</v>
      </c>
      <c r="AN513" s="20" t="s">
        <v>349</v>
      </c>
      <c r="AO513" s="20"/>
      <c r="AP513" s="20" t="s">
        <v>1256</v>
      </c>
      <c r="AQ513" s="20" t="s">
        <v>1591</v>
      </c>
      <c r="AR513" s="20"/>
      <c r="AS513" s="20"/>
    </row>
    <row r="514">
      <c r="A514" s="20" t="s">
        <v>4457</v>
      </c>
      <c r="B514" s="20" t="s">
        <v>754</v>
      </c>
      <c r="C514" s="20" t="s">
        <v>756</v>
      </c>
      <c r="D514" s="20" t="s">
        <v>760</v>
      </c>
      <c r="E514" s="20" t="s">
        <v>49</v>
      </c>
      <c r="F514" s="20"/>
      <c r="G514" s="20"/>
      <c r="H514" s="20" t="s">
        <v>75</v>
      </c>
      <c r="I514" s="20" t="s">
        <v>76</v>
      </c>
      <c r="J514" s="20" t="s">
        <v>76</v>
      </c>
      <c r="K514" s="20" t="s">
        <v>55</v>
      </c>
      <c r="L514" s="20" t="s">
        <v>56</v>
      </c>
      <c r="M514" s="20" t="s">
        <v>57</v>
      </c>
      <c r="N514" s="20" t="s">
        <v>333</v>
      </c>
      <c r="O514" s="20" t="s">
        <v>1571</v>
      </c>
      <c r="P514" s="20" t="s">
        <v>1576</v>
      </c>
      <c r="Q514" s="20" t="s">
        <v>59</v>
      </c>
      <c r="R514" s="20" t="s">
        <v>333</v>
      </c>
      <c r="S514" s="20" t="s">
        <v>333</v>
      </c>
      <c r="T514" s="20" t="s">
        <v>275</v>
      </c>
      <c r="U514" s="20"/>
      <c r="V514" s="20" t="s">
        <v>344</v>
      </c>
      <c r="W514" s="20" t="s">
        <v>333</v>
      </c>
      <c r="X514" s="20" t="s">
        <v>333</v>
      </c>
      <c r="Y514" s="20" t="s">
        <v>333</v>
      </c>
      <c r="Z514" s="20" t="s">
        <v>333</v>
      </c>
      <c r="AA514" s="20" t="s">
        <v>333</v>
      </c>
      <c r="AB514" s="20" t="s">
        <v>333</v>
      </c>
      <c r="AC514" s="20"/>
      <c r="AD514" s="20" t="s">
        <v>333</v>
      </c>
      <c r="AE514" s="20" t="s">
        <v>333</v>
      </c>
      <c r="AF514" s="20" t="s">
        <v>333</v>
      </c>
      <c r="AG514" s="20" t="s">
        <v>344</v>
      </c>
      <c r="AH514" s="20" t="s">
        <v>344</v>
      </c>
      <c r="AI514" s="20" t="s">
        <v>333</v>
      </c>
      <c r="AJ514" s="20"/>
      <c r="AK514" s="20" t="s">
        <v>1245</v>
      </c>
      <c r="AL514" s="20" t="s">
        <v>347</v>
      </c>
      <c r="AM514" s="20" t="s">
        <v>1245</v>
      </c>
      <c r="AN514" s="20" t="s">
        <v>349</v>
      </c>
      <c r="AO514" s="20"/>
      <c r="AP514" s="20" t="s">
        <v>1571</v>
      </c>
      <c r="AQ514" s="20" t="s">
        <v>1576</v>
      </c>
      <c r="AR514" s="20"/>
      <c r="AS514" s="20"/>
    </row>
    <row r="515">
      <c r="A515" s="20" t="s">
        <v>4458</v>
      </c>
      <c r="B515" s="20" t="s">
        <v>2980</v>
      </c>
      <c r="C515" s="20" t="s">
        <v>2981</v>
      </c>
      <c r="D515" s="20"/>
      <c r="E515" s="20" t="s">
        <v>49</v>
      </c>
      <c r="F515" s="20"/>
      <c r="G515" s="20" t="s">
        <v>4459</v>
      </c>
      <c r="H515" s="20" t="s">
        <v>570</v>
      </c>
      <c r="I515" s="20" t="s">
        <v>571</v>
      </c>
      <c r="J515" s="20" t="s">
        <v>571</v>
      </c>
      <c r="K515" s="20" t="s">
        <v>55</v>
      </c>
      <c r="L515" s="20" t="s">
        <v>56</v>
      </c>
      <c r="M515" s="20" t="s">
        <v>57</v>
      </c>
      <c r="N515" s="20" t="s">
        <v>333</v>
      </c>
      <c r="O515" s="20" t="s">
        <v>1682</v>
      </c>
      <c r="P515" s="20"/>
      <c r="Q515" s="20" t="s">
        <v>59</v>
      </c>
      <c r="R515" s="20" t="s">
        <v>333</v>
      </c>
      <c r="S515" s="20" t="s">
        <v>333</v>
      </c>
      <c r="T515" s="20"/>
      <c r="U515" s="20"/>
      <c r="V515" s="20" t="s">
        <v>344</v>
      </c>
      <c r="W515" s="20" t="s">
        <v>333</v>
      </c>
      <c r="X515" s="20" t="s">
        <v>333</v>
      </c>
      <c r="Y515" s="20" t="s">
        <v>333</v>
      </c>
      <c r="Z515" s="20" t="s">
        <v>333</v>
      </c>
      <c r="AA515" s="20" t="s">
        <v>333</v>
      </c>
      <c r="AB515" s="20" t="s">
        <v>333</v>
      </c>
      <c r="AC515" s="20"/>
      <c r="AD515" s="20" t="s">
        <v>333</v>
      </c>
      <c r="AE515" s="20" t="s">
        <v>333</v>
      </c>
      <c r="AF515" s="20" t="s">
        <v>333</v>
      </c>
      <c r="AG515" s="20" t="s">
        <v>344</v>
      </c>
      <c r="AH515" s="20" t="s">
        <v>344</v>
      </c>
      <c r="AI515" s="20" t="s">
        <v>333</v>
      </c>
      <c r="AJ515" s="20"/>
      <c r="AK515" s="20" t="s">
        <v>1581</v>
      </c>
      <c r="AL515" s="20" t="s">
        <v>1596</v>
      </c>
      <c r="AM515" s="20" t="s">
        <v>1581</v>
      </c>
      <c r="AN515" s="20" t="s">
        <v>349</v>
      </c>
      <c r="AO515" s="20"/>
      <c r="AP515" s="20" t="s">
        <v>1682</v>
      </c>
      <c r="AQ515" s="20" t="s">
        <v>349</v>
      </c>
      <c r="AR515" s="20"/>
      <c r="AS515" s="20"/>
    </row>
    <row r="516">
      <c r="A516" s="20" t="s">
        <v>4460</v>
      </c>
      <c r="B516" s="20" t="s">
        <v>3692</v>
      </c>
      <c r="C516" s="20" t="s">
        <v>3693</v>
      </c>
      <c r="D516" s="20" t="s">
        <v>3694</v>
      </c>
      <c r="E516" s="20" t="s">
        <v>49</v>
      </c>
      <c r="F516" s="20"/>
      <c r="G516" s="20" t="s">
        <v>4461</v>
      </c>
      <c r="H516" s="20" t="s">
        <v>586</v>
      </c>
      <c r="I516" s="20" t="s">
        <v>587</v>
      </c>
      <c r="J516" s="20" t="s">
        <v>74</v>
      </c>
      <c r="K516" s="20" t="s">
        <v>55</v>
      </c>
      <c r="L516" s="20" t="s">
        <v>56</v>
      </c>
      <c r="M516" s="20" t="s">
        <v>57</v>
      </c>
      <c r="N516" s="20" t="s">
        <v>333</v>
      </c>
      <c r="O516" s="20" t="s">
        <v>1586</v>
      </c>
      <c r="P516" s="20" t="s">
        <v>2005</v>
      </c>
      <c r="Q516" s="20" t="s">
        <v>59</v>
      </c>
      <c r="R516" s="20" t="s">
        <v>333</v>
      </c>
      <c r="S516" s="20" t="s">
        <v>333</v>
      </c>
      <c r="T516" s="20" t="s">
        <v>4462</v>
      </c>
      <c r="U516" s="20"/>
      <c r="V516" s="20" t="s">
        <v>344</v>
      </c>
      <c r="W516" s="20" t="s">
        <v>333</v>
      </c>
      <c r="X516" s="20" t="s">
        <v>333</v>
      </c>
      <c r="Y516" s="20" t="s">
        <v>333</v>
      </c>
      <c r="Z516" s="20" t="s">
        <v>333</v>
      </c>
      <c r="AA516" s="20" t="s">
        <v>333</v>
      </c>
      <c r="AB516" s="20" t="s">
        <v>333</v>
      </c>
      <c r="AC516" s="20"/>
      <c r="AD516" s="20" t="s">
        <v>333</v>
      </c>
      <c r="AE516" s="20" t="s">
        <v>333</v>
      </c>
      <c r="AF516" s="20" t="s">
        <v>333</v>
      </c>
      <c r="AG516" s="20" t="s">
        <v>344</v>
      </c>
      <c r="AH516" s="20" t="s">
        <v>344</v>
      </c>
      <c r="AI516" s="20" t="s">
        <v>333</v>
      </c>
      <c r="AJ516" s="20"/>
      <c r="AK516" s="20" t="s">
        <v>1244</v>
      </c>
      <c r="AL516" s="20" t="s">
        <v>349</v>
      </c>
      <c r="AM516" s="20" t="s">
        <v>1244</v>
      </c>
      <c r="AN516" s="20" t="s">
        <v>349</v>
      </c>
      <c r="AO516" s="20"/>
      <c r="AP516" s="20" t="s">
        <v>1586</v>
      </c>
      <c r="AQ516" s="20" t="s">
        <v>2005</v>
      </c>
      <c r="AR516" s="20"/>
      <c r="AS516" s="20"/>
    </row>
    <row r="517">
      <c r="A517" s="20" t="s">
        <v>4463</v>
      </c>
      <c r="B517" s="20" t="s">
        <v>3152</v>
      </c>
      <c r="C517" s="20" t="s">
        <v>3153</v>
      </c>
      <c r="D517" s="20" t="s">
        <v>3155</v>
      </c>
      <c r="E517" s="20" t="s">
        <v>49</v>
      </c>
      <c r="F517" s="20"/>
      <c r="G517" s="20" t="s">
        <v>4464</v>
      </c>
      <c r="H517" s="20" t="s">
        <v>3157</v>
      </c>
      <c r="I517" s="20" t="s">
        <v>3158</v>
      </c>
      <c r="J517" s="20" t="s">
        <v>74</v>
      </c>
      <c r="K517" s="20" t="s">
        <v>55</v>
      </c>
      <c r="L517" s="20" t="s">
        <v>56</v>
      </c>
      <c r="M517" s="20" t="s">
        <v>57</v>
      </c>
      <c r="N517" s="20" t="s">
        <v>333</v>
      </c>
      <c r="O517" s="20" t="s">
        <v>1596</v>
      </c>
      <c r="P517" s="20"/>
      <c r="Q517" s="20" t="s">
        <v>59</v>
      </c>
      <c r="R517" s="20" t="s">
        <v>333</v>
      </c>
      <c r="S517" s="20" t="s">
        <v>333</v>
      </c>
      <c r="T517" s="20" t="s">
        <v>823</v>
      </c>
      <c r="U517" s="20" t="s">
        <v>823</v>
      </c>
      <c r="V517" s="20" t="s">
        <v>344</v>
      </c>
      <c r="W517" s="20" t="s">
        <v>333</v>
      </c>
      <c r="X517" s="20" t="s">
        <v>333</v>
      </c>
      <c r="Y517" s="20" t="s">
        <v>333</v>
      </c>
      <c r="Z517" s="20" t="s">
        <v>333</v>
      </c>
      <c r="AA517" s="20" t="s">
        <v>333</v>
      </c>
      <c r="AB517" s="20" t="s">
        <v>333</v>
      </c>
      <c r="AC517" s="20"/>
      <c r="AD517" s="20" t="s">
        <v>333</v>
      </c>
      <c r="AE517" s="20" t="s">
        <v>333</v>
      </c>
      <c r="AF517" s="20" t="s">
        <v>333</v>
      </c>
      <c r="AG517" s="20" t="s">
        <v>344</v>
      </c>
      <c r="AH517" s="20" t="s">
        <v>344</v>
      </c>
      <c r="AI517" s="20" t="s">
        <v>333</v>
      </c>
      <c r="AJ517" s="20"/>
      <c r="AK517" s="20" t="s">
        <v>347</v>
      </c>
      <c r="AL517" s="20" t="s">
        <v>348</v>
      </c>
      <c r="AM517" s="20" t="s">
        <v>347</v>
      </c>
      <c r="AN517" s="20" t="s">
        <v>349</v>
      </c>
      <c r="AO517" s="20" t="s">
        <v>4465</v>
      </c>
      <c r="AP517" s="20" t="s">
        <v>1596</v>
      </c>
      <c r="AQ517" s="20" t="s">
        <v>349</v>
      </c>
      <c r="AR517" s="20"/>
      <c r="AS517" s="20"/>
    </row>
    <row r="518">
      <c r="A518" s="32" t="s">
        <v>4466</v>
      </c>
      <c r="B518" s="32" t="s">
        <v>3375</v>
      </c>
      <c r="C518" s="32" t="s">
        <v>3376</v>
      </c>
      <c r="D518" s="48" t="s">
        <v>928</v>
      </c>
      <c r="E518" s="32" t="s">
        <v>49</v>
      </c>
      <c r="F518" s="32" t="s">
        <v>4467</v>
      </c>
      <c r="G518" s="32" t="s">
        <v>3245</v>
      </c>
      <c r="H518" s="32" t="s">
        <v>123</v>
      </c>
      <c r="I518" s="32" t="s">
        <v>124</v>
      </c>
      <c r="J518" s="32" t="s">
        <v>74</v>
      </c>
      <c r="K518" s="32" t="s">
        <v>55</v>
      </c>
      <c r="L518" s="32" t="s">
        <v>56</v>
      </c>
      <c r="M518" s="32" t="s">
        <v>57</v>
      </c>
      <c r="N518" s="32" t="s">
        <v>333</v>
      </c>
      <c r="O518" s="32" t="s">
        <v>1867</v>
      </c>
      <c r="P518" s="32" t="s">
        <v>1867</v>
      </c>
      <c r="Q518" s="32" t="s">
        <v>59</v>
      </c>
      <c r="R518" s="32" t="s">
        <v>333</v>
      </c>
      <c r="S518" s="32" t="s">
        <v>333</v>
      </c>
      <c r="T518" s="32"/>
      <c r="U518" s="32"/>
      <c r="V518" s="32" t="s">
        <v>344</v>
      </c>
      <c r="W518" s="32" t="s">
        <v>333</v>
      </c>
      <c r="X518" s="32" t="s">
        <v>333</v>
      </c>
      <c r="Y518" s="32" t="s">
        <v>333</v>
      </c>
      <c r="Z518" s="32" t="s">
        <v>333</v>
      </c>
      <c r="AA518" s="32" t="s">
        <v>333</v>
      </c>
      <c r="AB518" s="32" t="s">
        <v>333</v>
      </c>
      <c r="AC518" s="32"/>
      <c r="AD518" s="32" t="s">
        <v>333</v>
      </c>
      <c r="AE518" s="32" t="s">
        <v>333</v>
      </c>
      <c r="AF518" s="32" t="s">
        <v>333</v>
      </c>
      <c r="AG518" s="32" t="s">
        <v>344</v>
      </c>
      <c r="AH518" s="32" t="s">
        <v>344</v>
      </c>
      <c r="AI518" s="32" t="s">
        <v>333</v>
      </c>
      <c r="AJ518" s="32"/>
      <c r="AK518" s="32" t="s">
        <v>347</v>
      </c>
      <c r="AL518" s="32" t="s">
        <v>1596</v>
      </c>
      <c r="AM518" s="32" t="s">
        <v>347</v>
      </c>
      <c r="AN518" s="32" t="s">
        <v>349</v>
      </c>
      <c r="AO518" s="32"/>
      <c r="AP518" s="32" t="s">
        <v>1867</v>
      </c>
      <c r="AQ518" s="32" t="s">
        <v>1867</v>
      </c>
      <c r="AR518" s="21" t="s">
        <v>1931</v>
      </c>
      <c r="AS518" s="21">
        <v>2.0</v>
      </c>
    </row>
    <row r="519">
      <c r="A519" s="20" t="s">
        <v>4468</v>
      </c>
      <c r="B519" s="20" t="s">
        <v>3933</v>
      </c>
      <c r="C519" s="20" t="s">
        <v>3934</v>
      </c>
      <c r="D519" s="20"/>
      <c r="E519" s="20" t="s">
        <v>49</v>
      </c>
      <c r="F519" s="20"/>
      <c r="G519" s="20"/>
      <c r="H519" s="20" t="s">
        <v>2906</v>
      </c>
      <c r="I519" s="20" t="s">
        <v>2907</v>
      </c>
      <c r="J519" s="20" t="s">
        <v>2907</v>
      </c>
      <c r="K519" s="20" t="s">
        <v>55</v>
      </c>
      <c r="L519" s="20" t="s">
        <v>56</v>
      </c>
      <c r="M519" s="20" t="s">
        <v>57</v>
      </c>
      <c r="N519" s="20" t="s">
        <v>333</v>
      </c>
      <c r="O519" s="20" t="s">
        <v>1596</v>
      </c>
      <c r="P519" s="20" t="s">
        <v>1682</v>
      </c>
      <c r="Q519" s="20" t="s">
        <v>59</v>
      </c>
      <c r="R519" s="20" t="s">
        <v>333</v>
      </c>
      <c r="S519" s="20" t="s">
        <v>333</v>
      </c>
      <c r="T519" s="20"/>
      <c r="U519" s="20"/>
      <c r="V519" s="20" t="s">
        <v>344</v>
      </c>
      <c r="W519" s="20" t="s">
        <v>333</v>
      </c>
      <c r="X519" s="20" t="s">
        <v>333</v>
      </c>
      <c r="Y519" s="20" t="s">
        <v>333</v>
      </c>
      <c r="Z519" s="20" t="s">
        <v>333</v>
      </c>
      <c r="AA519" s="20" t="s">
        <v>333</v>
      </c>
      <c r="AB519" s="20" t="s">
        <v>333</v>
      </c>
      <c r="AC519" s="20"/>
      <c r="AD519" s="20" t="s">
        <v>333</v>
      </c>
      <c r="AE519" s="20" t="s">
        <v>333</v>
      </c>
      <c r="AF519" s="20" t="s">
        <v>333</v>
      </c>
      <c r="AG519" s="20" t="s">
        <v>344</v>
      </c>
      <c r="AH519" s="20" t="s">
        <v>344</v>
      </c>
      <c r="AI519" s="20" t="s">
        <v>333</v>
      </c>
      <c r="AJ519" s="20"/>
      <c r="AK519" s="20" t="s">
        <v>1260</v>
      </c>
      <c r="AL519" s="20" t="s">
        <v>1556</v>
      </c>
      <c r="AM519" s="20" t="s">
        <v>1260</v>
      </c>
      <c r="AN519" s="20" t="s">
        <v>349</v>
      </c>
      <c r="AO519" s="20"/>
      <c r="AP519" s="20" t="s">
        <v>1596</v>
      </c>
      <c r="AQ519" s="20" t="s">
        <v>1682</v>
      </c>
      <c r="AR519" s="20"/>
      <c r="AS519" s="20"/>
    </row>
    <row r="520">
      <c r="A520" s="32" t="s">
        <v>3661</v>
      </c>
      <c r="B520" s="32" t="s">
        <v>1894</v>
      </c>
      <c r="C520" s="32" t="s">
        <v>1895</v>
      </c>
      <c r="D520" s="89" t="s">
        <v>4469</v>
      </c>
      <c r="E520" s="32" t="s">
        <v>49</v>
      </c>
      <c r="F520" s="32" t="s">
        <v>4470</v>
      </c>
      <c r="G520" s="32" t="s">
        <v>4471</v>
      </c>
      <c r="H520" s="32" t="s">
        <v>860</v>
      </c>
      <c r="I520" s="32" t="s">
        <v>861</v>
      </c>
      <c r="J520" s="32" t="s">
        <v>74</v>
      </c>
      <c r="K520" s="32" t="s">
        <v>55</v>
      </c>
      <c r="L520" s="32" t="s">
        <v>56</v>
      </c>
      <c r="M520" s="32" t="s">
        <v>57</v>
      </c>
      <c r="N520" s="32" t="s">
        <v>333</v>
      </c>
      <c r="O520" s="32" t="s">
        <v>1955</v>
      </c>
      <c r="P520" s="32" t="s">
        <v>1902</v>
      </c>
      <c r="Q520" s="32" t="s">
        <v>59</v>
      </c>
      <c r="R520" s="32" t="s">
        <v>333</v>
      </c>
      <c r="S520" s="32" t="s">
        <v>333</v>
      </c>
      <c r="T520" s="32"/>
      <c r="U520" s="32"/>
      <c r="V520" s="32" t="s">
        <v>344</v>
      </c>
      <c r="W520" s="32" t="s">
        <v>333</v>
      </c>
      <c r="X520" s="32" t="s">
        <v>333</v>
      </c>
      <c r="Y520" s="32" t="s">
        <v>333</v>
      </c>
      <c r="Z520" s="32" t="s">
        <v>333</v>
      </c>
      <c r="AA520" s="32" t="s">
        <v>333</v>
      </c>
      <c r="AB520" s="32" t="s">
        <v>333</v>
      </c>
      <c r="AC520" s="32"/>
      <c r="AD520" s="32" t="s">
        <v>333</v>
      </c>
      <c r="AE520" s="32" t="s">
        <v>333</v>
      </c>
      <c r="AF520" s="32" t="s">
        <v>333</v>
      </c>
      <c r="AG520" s="32" t="s">
        <v>344</v>
      </c>
      <c r="AH520" s="32" t="s">
        <v>344</v>
      </c>
      <c r="AI520" s="32" t="s">
        <v>333</v>
      </c>
      <c r="AJ520" s="32"/>
      <c r="AK520" s="32" t="s">
        <v>1596</v>
      </c>
      <c r="AL520" s="32" t="s">
        <v>1245</v>
      </c>
      <c r="AM520" s="32" t="s">
        <v>1596</v>
      </c>
      <c r="AN520" s="32" t="s">
        <v>349</v>
      </c>
      <c r="AO520" s="32"/>
      <c r="AP520" s="32" t="s">
        <v>1955</v>
      </c>
      <c r="AQ520" s="32" t="s">
        <v>1902</v>
      </c>
      <c r="AR520" s="21" t="s">
        <v>1931</v>
      </c>
      <c r="AS520" s="21">
        <v>2.0</v>
      </c>
    </row>
    <row r="521">
      <c r="A521" s="20" t="s">
        <v>4472</v>
      </c>
      <c r="B521" s="20" t="s">
        <v>3280</v>
      </c>
      <c r="C521" s="20" t="s">
        <v>3281</v>
      </c>
      <c r="D521" s="20" t="s">
        <v>3282</v>
      </c>
      <c r="E521" s="20" t="s">
        <v>49</v>
      </c>
      <c r="F521" s="20"/>
      <c r="G521" s="20"/>
      <c r="H521" s="20" t="s">
        <v>303</v>
      </c>
      <c r="I521" s="20" t="s">
        <v>303</v>
      </c>
      <c r="J521" s="20" t="s">
        <v>74</v>
      </c>
      <c r="K521" s="20" t="s">
        <v>55</v>
      </c>
      <c r="L521" s="20" t="s">
        <v>56</v>
      </c>
      <c r="M521" s="20" t="s">
        <v>57</v>
      </c>
      <c r="N521" s="20" t="s">
        <v>333</v>
      </c>
      <c r="O521" s="20" t="s">
        <v>4441</v>
      </c>
      <c r="P521" s="20" t="s">
        <v>4441</v>
      </c>
      <c r="Q521" s="20" t="s">
        <v>59</v>
      </c>
      <c r="R521" s="20" t="s">
        <v>333</v>
      </c>
      <c r="S521" s="20" t="s">
        <v>333</v>
      </c>
      <c r="T521" s="20" t="s">
        <v>4473</v>
      </c>
      <c r="U521" s="20"/>
      <c r="V521" s="20" t="s">
        <v>344</v>
      </c>
      <c r="W521" s="20" t="s">
        <v>333</v>
      </c>
      <c r="X521" s="20" t="s">
        <v>333</v>
      </c>
      <c r="Y521" s="20" t="s">
        <v>333</v>
      </c>
      <c r="Z521" s="20" t="s">
        <v>333</v>
      </c>
      <c r="AA521" s="20" t="s">
        <v>333</v>
      </c>
      <c r="AB521" s="20" t="s">
        <v>333</v>
      </c>
      <c r="AC521" s="20"/>
      <c r="AD521" s="20" t="s">
        <v>333</v>
      </c>
      <c r="AE521" s="20" t="s">
        <v>333</v>
      </c>
      <c r="AF521" s="20" t="s">
        <v>333</v>
      </c>
      <c r="AG521" s="20" t="s">
        <v>344</v>
      </c>
      <c r="AH521" s="20" t="s">
        <v>344</v>
      </c>
      <c r="AI521" s="20" t="s">
        <v>333</v>
      </c>
      <c r="AJ521" s="20"/>
      <c r="AK521" s="20" t="s">
        <v>1682</v>
      </c>
      <c r="AL521" s="20" t="s">
        <v>1269</v>
      </c>
      <c r="AM521" s="20" t="s">
        <v>1682</v>
      </c>
      <c r="AN521" s="20" t="s">
        <v>349</v>
      </c>
      <c r="AO521" s="20"/>
      <c r="AP521" s="20" t="s">
        <v>4441</v>
      </c>
      <c r="AQ521" s="20" t="s">
        <v>4441</v>
      </c>
      <c r="AR521" s="20"/>
      <c r="AS521" s="20"/>
    </row>
    <row r="522">
      <c r="A522" s="20" t="s">
        <v>4474</v>
      </c>
      <c r="B522" s="20" t="s">
        <v>1029</v>
      </c>
      <c r="C522" s="20" t="s">
        <v>1030</v>
      </c>
      <c r="D522" s="20"/>
      <c r="E522" s="20" t="s">
        <v>49</v>
      </c>
      <c r="F522" s="20"/>
      <c r="G522" s="20"/>
      <c r="H522" s="20" t="s">
        <v>1034</v>
      </c>
      <c r="I522" s="20" t="s">
        <v>1035</v>
      </c>
      <c r="J522" s="20" t="s">
        <v>1035</v>
      </c>
      <c r="K522" s="20" t="s">
        <v>55</v>
      </c>
      <c r="L522" s="20" t="s">
        <v>56</v>
      </c>
      <c r="M522" s="20" t="s">
        <v>57</v>
      </c>
      <c r="N522" s="20" t="s">
        <v>333</v>
      </c>
      <c r="O522" s="20" t="s">
        <v>1576</v>
      </c>
      <c r="P522" s="20" t="s">
        <v>1239</v>
      </c>
      <c r="Q522" s="20" t="s">
        <v>59</v>
      </c>
      <c r="R522" s="20" t="s">
        <v>333</v>
      </c>
      <c r="S522" s="20" t="s">
        <v>333</v>
      </c>
      <c r="T522" s="20"/>
      <c r="U522" s="20"/>
      <c r="V522" s="20" t="s">
        <v>344</v>
      </c>
      <c r="W522" s="20" t="s">
        <v>333</v>
      </c>
      <c r="X522" s="20" t="s">
        <v>333</v>
      </c>
      <c r="Y522" s="20" t="s">
        <v>333</v>
      </c>
      <c r="Z522" s="20" t="s">
        <v>333</v>
      </c>
      <c r="AA522" s="20" t="s">
        <v>333</v>
      </c>
      <c r="AB522" s="20" t="s">
        <v>333</v>
      </c>
      <c r="AC522" s="20"/>
      <c r="AD522" s="20" t="s">
        <v>333</v>
      </c>
      <c r="AE522" s="20" t="s">
        <v>333</v>
      </c>
      <c r="AF522" s="20" t="s">
        <v>333</v>
      </c>
      <c r="AG522" s="20" t="s">
        <v>344</v>
      </c>
      <c r="AH522" s="20" t="s">
        <v>344</v>
      </c>
      <c r="AI522" s="20" t="s">
        <v>333</v>
      </c>
      <c r="AJ522" s="20"/>
      <c r="AK522" s="20" t="s">
        <v>1595</v>
      </c>
      <c r="AL522" s="20" t="s">
        <v>1745</v>
      </c>
      <c r="AM522" s="20" t="s">
        <v>1595</v>
      </c>
      <c r="AN522" s="20" t="s">
        <v>349</v>
      </c>
      <c r="AO522" s="20"/>
      <c r="AP522" s="20" t="s">
        <v>1576</v>
      </c>
      <c r="AQ522" s="20" t="s">
        <v>1239</v>
      </c>
      <c r="AR522" s="20"/>
      <c r="AS522" s="20"/>
    </row>
    <row r="523">
      <c r="A523" s="32" t="s">
        <v>4475</v>
      </c>
      <c r="B523" s="32" t="s">
        <v>4105</v>
      </c>
      <c r="C523" s="32" t="s">
        <v>4106</v>
      </c>
      <c r="D523" s="48" t="s">
        <v>2500</v>
      </c>
      <c r="E523" s="32" t="s">
        <v>49</v>
      </c>
      <c r="F523" s="32" t="s">
        <v>2501</v>
      </c>
      <c r="G523" s="32" t="s">
        <v>2502</v>
      </c>
      <c r="H523" s="32" t="s">
        <v>1464</v>
      </c>
      <c r="I523" s="32" t="s">
        <v>1465</v>
      </c>
      <c r="J523" s="32" t="s">
        <v>74</v>
      </c>
      <c r="K523" s="32" t="s">
        <v>55</v>
      </c>
      <c r="L523" s="32" t="s">
        <v>56</v>
      </c>
      <c r="M523" s="32" t="s">
        <v>57</v>
      </c>
      <c r="N523" s="32" t="s">
        <v>333</v>
      </c>
      <c r="O523" s="32" t="s">
        <v>1556</v>
      </c>
      <c r="P523" s="32" t="s">
        <v>1586</v>
      </c>
      <c r="Q523" s="32" t="s">
        <v>59</v>
      </c>
      <c r="R523" s="32" t="s">
        <v>333</v>
      </c>
      <c r="S523" s="32" t="s">
        <v>333</v>
      </c>
      <c r="T523" s="32"/>
      <c r="U523" s="32"/>
      <c r="V523" s="32" t="s">
        <v>344</v>
      </c>
      <c r="W523" s="32" t="s">
        <v>333</v>
      </c>
      <c r="X523" s="32" t="s">
        <v>333</v>
      </c>
      <c r="Y523" s="32" t="s">
        <v>333</v>
      </c>
      <c r="Z523" s="32" t="s">
        <v>333</v>
      </c>
      <c r="AA523" s="32" t="s">
        <v>333</v>
      </c>
      <c r="AB523" s="32" t="s">
        <v>333</v>
      </c>
      <c r="AC523" s="32"/>
      <c r="AD523" s="32" t="s">
        <v>333</v>
      </c>
      <c r="AE523" s="32" t="s">
        <v>333</v>
      </c>
      <c r="AF523" s="32" t="s">
        <v>333</v>
      </c>
      <c r="AG523" s="32" t="s">
        <v>344</v>
      </c>
      <c r="AH523" s="32" t="s">
        <v>344</v>
      </c>
      <c r="AI523" s="32" t="s">
        <v>333</v>
      </c>
      <c r="AJ523" s="32"/>
      <c r="AK523" s="32" t="s">
        <v>1663</v>
      </c>
      <c r="AL523" s="32" t="s">
        <v>1245</v>
      </c>
      <c r="AM523" s="32" t="s">
        <v>1663</v>
      </c>
      <c r="AN523" s="32" t="s">
        <v>349</v>
      </c>
      <c r="AO523" s="32"/>
      <c r="AP523" s="32" t="s">
        <v>1556</v>
      </c>
      <c r="AQ523" s="32" t="s">
        <v>1586</v>
      </c>
      <c r="AR523" s="21" t="s">
        <v>1931</v>
      </c>
      <c r="AS523" s="21">
        <v>2.0</v>
      </c>
    </row>
    <row r="524">
      <c r="A524" s="20" t="s">
        <v>4476</v>
      </c>
      <c r="B524" s="20" t="s">
        <v>2673</v>
      </c>
      <c r="C524" s="20" t="s">
        <v>2675</v>
      </c>
      <c r="D524" s="20"/>
      <c r="E524" s="20" t="s">
        <v>49</v>
      </c>
      <c r="F524" s="20"/>
      <c r="G524" s="20"/>
      <c r="H524" s="20" t="s">
        <v>72</v>
      </c>
      <c r="I524" s="20" t="s">
        <v>73</v>
      </c>
      <c r="J524" s="20" t="s">
        <v>74</v>
      </c>
      <c r="K524" s="20" t="s">
        <v>55</v>
      </c>
      <c r="L524" s="20" t="s">
        <v>56</v>
      </c>
      <c r="M524" s="20" t="s">
        <v>57</v>
      </c>
      <c r="N524" s="20" t="s">
        <v>333</v>
      </c>
      <c r="O524" s="20" t="s">
        <v>2051</v>
      </c>
      <c r="P524" s="20" t="s">
        <v>4477</v>
      </c>
      <c r="Q524" s="20" t="s">
        <v>59</v>
      </c>
      <c r="R524" s="20" t="s">
        <v>333</v>
      </c>
      <c r="S524" s="20" t="s">
        <v>333</v>
      </c>
      <c r="T524" s="20"/>
      <c r="U524" s="20"/>
      <c r="V524" s="20" t="s">
        <v>344</v>
      </c>
      <c r="W524" s="20" t="s">
        <v>333</v>
      </c>
      <c r="X524" s="20" t="s">
        <v>333</v>
      </c>
      <c r="Y524" s="20" t="s">
        <v>333</v>
      </c>
      <c r="Z524" s="20" t="s">
        <v>333</v>
      </c>
      <c r="AA524" s="20" t="s">
        <v>333</v>
      </c>
      <c r="AB524" s="20" t="s">
        <v>333</v>
      </c>
      <c r="AC524" s="20"/>
      <c r="AD524" s="20" t="s">
        <v>333</v>
      </c>
      <c r="AE524" s="20" t="s">
        <v>333</v>
      </c>
      <c r="AF524" s="20" t="s">
        <v>333</v>
      </c>
      <c r="AG524" s="20" t="s">
        <v>344</v>
      </c>
      <c r="AH524" s="20" t="s">
        <v>344</v>
      </c>
      <c r="AI524" s="20" t="s">
        <v>333</v>
      </c>
      <c r="AJ524" s="20"/>
      <c r="AK524" s="20" t="s">
        <v>347</v>
      </c>
      <c r="AL524" s="20" t="s">
        <v>2584</v>
      </c>
      <c r="AM524" s="20" t="s">
        <v>347</v>
      </c>
      <c r="AN524" s="20" t="s">
        <v>349</v>
      </c>
      <c r="AO524" s="20"/>
      <c r="AP524" s="20" t="s">
        <v>2051</v>
      </c>
      <c r="AQ524" s="20" t="s">
        <v>4477</v>
      </c>
      <c r="AR524" s="20"/>
      <c r="AS524" s="20"/>
    </row>
    <row r="525">
      <c r="A525" s="20" t="s">
        <v>4478</v>
      </c>
      <c r="B525" s="20" t="s">
        <v>3754</v>
      </c>
      <c r="C525" s="20" t="s">
        <v>3755</v>
      </c>
      <c r="D525" s="20"/>
      <c r="E525" s="20" t="s">
        <v>49</v>
      </c>
      <c r="F525" s="20"/>
      <c r="G525" s="20"/>
      <c r="H525" s="20" t="s">
        <v>1385</v>
      </c>
      <c r="I525" s="20" t="s">
        <v>1386</v>
      </c>
      <c r="J525" s="20" t="s">
        <v>74</v>
      </c>
      <c r="K525" s="20" t="s">
        <v>55</v>
      </c>
      <c r="L525" s="20" t="s">
        <v>56</v>
      </c>
      <c r="M525" s="20" t="s">
        <v>57</v>
      </c>
      <c r="N525" s="20" t="s">
        <v>333</v>
      </c>
      <c r="O525" s="20" t="s">
        <v>1736</v>
      </c>
      <c r="P525" s="20" t="s">
        <v>1571</v>
      </c>
      <c r="Q525" s="20" t="s">
        <v>59</v>
      </c>
      <c r="R525" s="20" t="s">
        <v>333</v>
      </c>
      <c r="S525" s="20" t="s">
        <v>333</v>
      </c>
      <c r="T525" s="20"/>
      <c r="U525" s="20"/>
      <c r="V525" s="20" t="s">
        <v>344</v>
      </c>
      <c r="W525" s="20" t="s">
        <v>333</v>
      </c>
      <c r="X525" s="20" t="s">
        <v>333</v>
      </c>
      <c r="Y525" s="20" t="s">
        <v>333</v>
      </c>
      <c r="Z525" s="20" t="s">
        <v>333</v>
      </c>
      <c r="AA525" s="20" t="s">
        <v>333</v>
      </c>
      <c r="AB525" s="20" t="s">
        <v>333</v>
      </c>
      <c r="AC525" s="20"/>
      <c r="AD525" s="20" t="s">
        <v>333</v>
      </c>
      <c r="AE525" s="20" t="s">
        <v>333</v>
      </c>
      <c r="AF525" s="20" t="s">
        <v>333</v>
      </c>
      <c r="AG525" s="20" t="s">
        <v>344</v>
      </c>
      <c r="AH525" s="20" t="s">
        <v>344</v>
      </c>
      <c r="AI525" s="20" t="s">
        <v>333</v>
      </c>
      <c r="AJ525" s="20"/>
      <c r="AK525" s="20" t="s">
        <v>347</v>
      </c>
      <c r="AL525" s="20" t="s">
        <v>1586</v>
      </c>
      <c r="AM525" s="20" t="s">
        <v>347</v>
      </c>
      <c r="AN525" s="20" t="s">
        <v>349</v>
      </c>
      <c r="AO525" s="20"/>
      <c r="AP525" s="20" t="s">
        <v>1736</v>
      </c>
      <c r="AQ525" s="20" t="s">
        <v>1571</v>
      </c>
      <c r="AR525" s="20"/>
      <c r="AS525" s="20"/>
    </row>
    <row r="526">
      <c r="A526" s="20" t="s">
        <v>4198</v>
      </c>
      <c r="B526" s="20" t="s">
        <v>3879</v>
      </c>
      <c r="C526" s="20" t="s">
        <v>3880</v>
      </c>
      <c r="D526" s="20" t="s">
        <v>3881</v>
      </c>
      <c r="E526" s="20" t="s">
        <v>49</v>
      </c>
      <c r="F526" s="20"/>
      <c r="G526" s="20"/>
      <c r="H526" s="20" t="s">
        <v>303</v>
      </c>
      <c r="I526" s="20" t="s">
        <v>303</v>
      </c>
      <c r="J526" s="20" t="s">
        <v>74</v>
      </c>
      <c r="K526" s="20" t="s">
        <v>55</v>
      </c>
      <c r="L526" s="20" t="s">
        <v>56</v>
      </c>
      <c r="M526" s="20" t="s">
        <v>57</v>
      </c>
      <c r="N526" s="20" t="s">
        <v>333</v>
      </c>
      <c r="O526" s="20" t="s">
        <v>1682</v>
      </c>
      <c r="P526" s="20" t="s">
        <v>1556</v>
      </c>
      <c r="Q526" s="20" t="s">
        <v>59</v>
      </c>
      <c r="R526" s="20" t="s">
        <v>333</v>
      </c>
      <c r="S526" s="20" t="s">
        <v>333</v>
      </c>
      <c r="T526" s="20" t="s">
        <v>3888</v>
      </c>
      <c r="U526" s="20"/>
      <c r="V526" s="20" t="s">
        <v>344</v>
      </c>
      <c r="W526" s="20" t="s">
        <v>333</v>
      </c>
      <c r="X526" s="20" t="s">
        <v>333</v>
      </c>
      <c r="Y526" s="20" t="s">
        <v>333</v>
      </c>
      <c r="Z526" s="20" t="s">
        <v>333</v>
      </c>
      <c r="AA526" s="20" t="s">
        <v>333</v>
      </c>
      <c r="AB526" s="20" t="s">
        <v>333</v>
      </c>
      <c r="AC526" s="20"/>
      <c r="AD526" s="20" t="s">
        <v>333</v>
      </c>
      <c r="AE526" s="20" t="s">
        <v>333</v>
      </c>
      <c r="AF526" s="20" t="s">
        <v>333</v>
      </c>
      <c r="AG526" s="20" t="s">
        <v>344</v>
      </c>
      <c r="AH526" s="20" t="s">
        <v>344</v>
      </c>
      <c r="AI526" s="20" t="s">
        <v>333</v>
      </c>
      <c r="AJ526" s="20"/>
      <c r="AK526" s="20" t="s">
        <v>347</v>
      </c>
      <c r="AL526" s="20" t="s">
        <v>349</v>
      </c>
      <c r="AM526" s="20" t="s">
        <v>347</v>
      </c>
      <c r="AN526" s="20" t="s">
        <v>349</v>
      </c>
      <c r="AO526" s="20"/>
      <c r="AP526" s="20" t="s">
        <v>1682</v>
      </c>
      <c r="AQ526" s="20" t="s">
        <v>1556</v>
      </c>
      <c r="AR526" s="20"/>
      <c r="AS526" s="20"/>
    </row>
    <row r="527">
      <c r="A527" s="20" t="s">
        <v>4479</v>
      </c>
      <c r="B527" s="20" t="s">
        <v>3963</v>
      </c>
      <c r="C527" s="20" t="s">
        <v>3964</v>
      </c>
      <c r="D527" s="53" t="s">
        <v>3965</v>
      </c>
      <c r="E527" s="20" t="s">
        <v>49</v>
      </c>
      <c r="F527" s="20" t="s">
        <v>4480</v>
      </c>
      <c r="G527" s="20"/>
      <c r="H527" s="20" t="s">
        <v>1464</v>
      </c>
      <c r="I527" s="20" t="s">
        <v>1465</v>
      </c>
      <c r="J527" s="20" t="s">
        <v>74</v>
      </c>
      <c r="K527" s="20" t="s">
        <v>55</v>
      </c>
      <c r="L527" s="20" t="s">
        <v>56</v>
      </c>
      <c r="M527" s="20" t="s">
        <v>57</v>
      </c>
      <c r="N527" s="20" t="s">
        <v>333</v>
      </c>
      <c r="O527" s="20"/>
      <c r="P527" s="20"/>
      <c r="Q527" s="20" t="s">
        <v>59</v>
      </c>
      <c r="R527" s="20" t="s">
        <v>333</v>
      </c>
      <c r="S527" s="20" t="s">
        <v>333</v>
      </c>
      <c r="T527" s="20"/>
      <c r="U527" s="20"/>
      <c r="V527" s="20" t="s">
        <v>344</v>
      </c>
      <c r="W527" s="20" t="s">
        <v>333</v>
      </c>
      <c r="X527" s="20" t="s">
        <v>333</v>
      </c>
      <c r="Y527" s="20" t="s">
        <v>333</v>
      </c>
      <c r="Z527" s="20" t="s">
        <v>333</v>
      </c>
      <c r="AA527" s="20" t="s">
        <v>333</v>
      </c>
      <c r="AB527" s="20" t="s">
        <v>333</v>
      </c>
      <c r="AC527" s="20"/>
      <c r="AD527" s="20" t="s">
        <v>333</v>
      </c>
      <c r="AE527" s="20" t="s">
        <v>333</v>
      </c>
      <c r="AF527" s="20" t="s">
        <v>333</v>
      </c>
      <c r="AG527" s="20" t="s">
        <v>344</v>
      </c>
      <c r="AH527" s="20" t="s">
        <v>344</v>
      </c>
      <c r="AI527" s="20" t="s">
        <v>333</v>
      </c>
      <c r="AJ527" s="20"/>
      <c r="AK527" s="20" t="s">
        <v>349</v>
      </c>
      <c r="AL527" s="20" t="s">
        <v>349</v>
      </c>
      <c r="AM527" s="20" t="s">
        <v>349</v>
      </c>
      <c r="AN527" s="20" t="s">
        <v>349</v>
      </c>
      <c r="AO527" s="20"/>
      <c r="AP527" s="20" t="s">
        <v>349</v>
      </c>
      <c r="AQ527" s="20" t="s">
        <v>349</v>
      </c>
      <c r="AR527" s="29" t="s">
        <v>3937</v>
      </c>
      <c r="AS527" s="20"/>
    </row>
    <row r="528">
      <c r="A528" s="20" t="s">
        <v>4481</v>
      </c>
      <c r="B528" s="20" t="s">
        <v>4482</v>
      </c>
      <c r="C528" s="20" t="s">
        <v>4483</v>
      </c>
      <c r="D528" s="20"/>
      <c r="E528" s="20" t="s">
        <v>49</v>
      </c>
      <c r="F528" s="20"/>
      <c r="G528" s="20"/>
      <c r="H528" s="20" t="s">
        <v>4484</v>
      </c>
      <c r="I528" s="20" t="s">
        <v>4485</v>
      </c>
      <c r="J528" s="20" t="s">
        <v>74</v>
      </c>
      <c r="K528" s="20" t="s">
        <v>55</v>
      </c>
      <c r="L528" s="20" t="s">
        <v>56</v>
      </c>
      <c r="M528" s="20" t="s">
        <v>57</v>
      </c>
      <c r="N528" s="20" t="s">
        <v>333</v>
      </c>
      <c r="O528" s="20" t="s">
        <v>348</v>
      </c>
      <c r="P528" s="20" t="s">
        <v>1269</v>
      </c>
      <c r="Q528" s="20" t="s">
        <v>59</v>
      </c>
      <c r="R528" s="20" t="s">
        <v>333</v>
      </c>
      <c r="S528" s="20" t="s">
        <v>333</v>
      </c>
      <c r="T528" s="20"/>
      <c r="U528" s="20"/>
      <c r="V528" s="20" t="s">
        <v>344</v>
      </c>
      <c r="W528" s="20" t="s">
        <v>333</v>
      </c>
      <c r="X528" s="20" t="s">
        <v>333</v>
      </c>
      <c r="Y528" s="20" t="s">
        <v>333</v>
      </c>
      <c r="Z528" s="20" t="s">
        <v>333</v>
      </c>
      <c r="AA528" s="20" t="s">
        <v>333</v>
      </c>
      <c r="AB528" s="20" t="s">
        <v>333</v>
      </c>
      <c r="AC528" s="20"/>
      <c r="AD528" s="20" t="s">
        <v>333</v>
      </c>
      <c r="AE528" s="20" t="s">
        <v>333</v>
      </c>
      <c r="AF528" s="20" t="s">
        <v>333</v>
      </c>
      <c r="AG528" s="20" t="s">
        <v>344</v>
      </c>
      <c r="AH528" s="20" t="s">
        <v>344</v>
      </c>
      <c r="AI528" s="20" t="s">
        <v>333</v>
      </c>
      <c r="AJ528" s="20"/>
      <c r="AK528" s="20" t="s">
        <v>1260</v>
      </c>
      <c r="AL528" s="20" t="s">
        <v>1556</v>
      </c>
      <c r="AM528" s="20" t="s">
        <v>1260</v>
      </c>
      <c r="AN528" s="20" t="s">
        <v>349</v>
      </c>
      <c r="AO528" s="20"/>
      <c r="AP528" s="20" t="s">
        <v>348</v>
      </c>
      <c r="AQ528" s="20" t="s">
        <v>1269</v>
      </c>
      <c r="AR528" s="20"/>
      <c r="AS528" s="20"/>
    </row>
    <row r="529">
      <c r="A529" s="20" t="s">
        <v>2286</v>
      </c>
      <c r="B529" s="20" t="s">
        <v>4208</v>
      </c>
      <c r="C529" s="20" t="s">
        <v>4209</v>
      </c>
      <c r="D529" s="20"/>
      <c r="E529" s="20" t="s">
        <v>49</v>
      </c>
      <c r="F529" s="20"/>
      <c r="G529" s="20"/>
      <c r="H529" s="20" t="s">
        <v>1464</v>
      </c>
      <c r="I529" s="20" t="s">
        <v>1465</v>
      </c>
      <c r="J529" s="20" t="s">
        <v>74</v>
      </c>
      <c r="K529" s="20" t="s">
        <v>55</v>
      </c>
      <c r="L529" s="20" t="s">
        <v>56</v>
      </c>
      <c r="M529" s="20" t="s">
        <v>57</v>
      </c>
      <c r="N529" s="20" t="s">
        <v>333</v>
      </c>
      <c r="O529" s="20" t="s">
        <v>1559</v>
      </c>
      <c r="P529" s="20" t="s">
        <v>1586</v>
      </c>
      <c r="Q529" s="20" t="s">
        <v>59</v>
      </c>
      <c r="R529" s="20" t="s">
        <v>333</v>
      </c>
      <c r="S529" s="20" t="s">
        <v>333</v>
      </c>
      <c r="T529" s="20"/>
      <c r="U529" s="20"/>
      <c r="V529" s="20" t="s">
        <v>344</v>
      </c>
      <c r="W529" s="20" t="s">
        <v>333</v>
      </c>
      <c r="X529" s="20" t="s">
        <v>333</v>
      </c>
      <c r="Y529" s="20" t="s">
        <v>333</v>
      </c>
      <c r="Z529" s="20" t="s">
        <v>333</v>
      </c>
      <c r="AA529" s="20" t="s">
        <v>333</v>
      </c>
      <c r="AB529" s="20" t="s">
        <v>333</v>
      </c>
      <c r="AC529" s="20"/>
      <c r="AD529" s="20" t="s">
        <v>333</v>
      </c>
      <c r="AE529" s="20" t="s">
        <v>333</v>
      </c>
      <c r="AF529" s="20" t="s">
        <v>333</v>
      </c>
      <c r="AG529" s="20" t="s">
        <v>344</v>
      </c>
      <c r="AH529" s="20" t="s">
        <v>344</v>
      </c>
      <c r="AI529" s="20" t="s">
        <v>333</v>
      </c>
      <c r="AJ529" s="20"/>
      <c r="AK529" s="20" t="s">
        <v>347</v>
      </c>
      <c r="AL529" s="20" t="s">
        <v>1245</v>
      </c>
      <c r="AM529" s="20" t="s">
        <v>347</v>
      </c>
      <c r="AN529" s="20" t="s">
        <v>349</v>
      </c>
      <c r="AO529" s="20"/>
      <c r="AP529" s="20" t="s">
        <v>1559</v>
      </c>
      <c r="AQ529" s="20" t="s">
        <v>1586</v>
      </c>
      <c r="AR529" s="20"/>
      <c r="AS529" s="20"/>
    </row>
    <row r="530">
      <c r="A530" s="20" t="s">
        <v>1695</v>
      </c>
      <c r="B530" s="20" t="s">
        <v>2721</v>
      </c>
      <c r="C530" s="20" t="s">
        <v>2722</v>
      </c>
      <c r="D530" s="20"/>
      <c r="E530" s="20" t="s">
        <v>49</v>
      </c>
      <c r="F530" s="20"/>
      <c r="G530" s="20"/>
      <c r="H530" s="20" t="s">
        <v>738</v>
      </c>
      <c r="I530" s="20" t="s">
        <v>739</v>
      </c>
      <c r="J530" s="20" t="s">
        <v>74</v>
      </c>
      <c r="K530" s="20" t="s">
        <v>55</v>
      </c>
      <c r="L530" s="20" t="s">
        <v>56</v>
      </c>
      <c r="M530" s="20" t="s">
        <v>57</v>
      </c>
      <c r="N530" s="20" t="s">
        <v>333</v>
      </c>
      <c r="O530" s="20" t="s">
        <v>1596</v>
      </c>
      <c r="P530" s="20" t="s">
        <v>1695</v>
      </c>
      <c r="Q530" s="20" t="s">
        <v>59</v>
      </c>
      <c r="R530" s="20" t="s">
        <v>333</v>
      </c>
      <c r="S530" s="20" t="s">
        <v>333</v>
      </c>
      <c r="T530" s="20"/>
      <c r="U530" s="20"/>
      <c r="V530" s="20" t="s">
        <v>344</v>
      </c>
      <c r="W530" s="20" t="s">
        <v>333</v>
      </c>
      <c r="X530" s="20" t="s">
        <v>333</v>
      </c>
      <c r="Y530" s="20" t="s">
        <v>333</v>
      </c>
      <c r="Z530" s="20" t="s">
        <v>333</v>
      </c>
      <c r="AA530" s="20" t="s">
        <v>333</v>
      </c>
      <c r="AB530" s="20" t="s">
        <v>333</v>
      </c>
      <c r="AC530" s="20"/>
      <c r="AD530" s="20" t="s">
        <v>333</v>
      </c>
      <c r="AE530" s="20" t="s">
        <v>333</v>
      </c>
      <c r="AF530" s="20" t="s">
        <v>333</v>
      </c>
      <c r="AG530" s="20" t="s">
        <v>344</v>
      </c>
      <c r="AH530" s="20" t="s">
        <v>344</v>
      </c>
      <c r="AI530" s="20" t="s">
        <v>333</v>
      </c>
      <c r="AJ530" s="20"/>
      <c r="AK530" s="20" t="s">
        <v>1595</v>
      </c>
      <c r="AL530" s="20" t="s">
        <v>1673</v>
      </c>
      <c r="AM530" s="20" t="s">
        <v>1595</v>
      </c>
      <c r="AN530" s="20" t="s">
        <v>349</v>
      </c>
      <c r="AO530" s="20"/>
      <c r="AP530" s="20" t="s">
        <v>1596</v>
      </c>
      <c r="AQ530" s="20" t="s">
        <v>1695</v>
      </c>
      <c r="AR530" s="20"/>
      <c r="AS530" s="20"/>
    </row>
    <row r="531">
      <c r="A531" s="20" t="s">
        <v>4486</v>
      </c>
      <c r="B531" s="20" t="s">
        <v>4487</v>
      </c>
      <c r="C531" s="20" t="s">
        <v>4488</v>
      </c>
      <c r="D531" s="20"/>
      <c r="E531" s="20" t="s">
        <v>49</v>
      </c>
      <c r="F531" s="20"/>
      <c r="G531" s="20"/>
      <c r="H531" s="20" t="s">
        <v>303</v>
      </c>
      <c r="I531" s="20" t="s">
        <v>303</v>
      </c>
      <c r="J531" s="20" t="s">
        <v>74</v>
      </c>
      <c r="K531" s="20" t="s">
        <v>55</v>
      </c>
      <c r="L531" s="20" t="s">
        <v>56</v>
      </c>
      <c r="M531" s="20" t="s">
        <v>57</v>
      </c>
      <c r="N531" s="20" t="s">
        <v>333</v>
      </c>
      <c r="O531" s="20" t="s">
        <v>1596</v>
      </c>
      <c r="P531" s="20" t="s">
        <v>1596</v>
      </c>
      <c r="Q531" s="20" t="s">
        <v>59</v>
      </c>
      <c r="R531" s="20" t="s">
        <v>333</v>
      </c>
      <c r="S531" s="20" t="s">
        <v>333</v>
      </c>
      <c r="T531" s="20"/>
      <c r="U531" s="20"/>
      <c r="V531" s="20" t="s">
        <v>344</v>
      </c>
      <c r="W531" s="20" t="s">
        <v>333</v>
      </c>
      <c r="X531" s="20" t="s">
        <v>333</v>
      </c>
      <c r="Y531" s="20" t="s">
        <v>333</v>
      </c>
      <c r="Z531" s="20" t="s">
        <v>333</v>
      </c>
      <c r="AA531" s="20" t="s">
        <v>333</v>
      </c>
      <c r="AB531" s="20" t="s">
        <v>333</v>
      </c>
      <c r="AC531" s="20"/>
      <c r="AD531" s="20" t="s">
        <v>333</v>
      </c>
      <c r="AE531" s="20" t="s">
        <v>333</v>
      </c>
      <c r="AF531" s="20" t="s">
        <v>333</v>
      </c>
      <c r="AG531" s="20" t="s">
        <v>344</v>
      </c>
      <c r="AH531" s="20" t="s">
        <v>344</v>
      </c>
      <c r="AI531" s="20" t="s">
        <v>333</v>
      </c>
      <c r="AJ531" s="20"/>
      <c r="AK531" s="20" t="s">
        <v>1244</v>
      </c>
      <c r="AL531" s="20" t="s">
        <v>1800</v>
      </c>
      <c r="AM531" s="20" t="s">
        <v>1244</v>
      </c>
      <c r="AN531" s="20" t="s">
        <v>349</v>
      </c>
      <c r="AO531" s="20"/>
      <c r="AP531" s="20" t="s">
        <v>1596</v>
      </c>
      <c r="AQ531" s="20" t="s">
        <v>1596</v>
      </c>
      <c r="AR531" s="20"/>
      <c r="AS531" s="20"/>
    </row>
    <row r="532">
      <c r="A532" s="20" t="s">
        <v>4489</v>
      </c>
      <c r="B532" s="20" t="s">
        <v>3081</v>
      </c>
      <c r="C532" s="20" t="s">
        <v>3082</v>
      </c>
      <c r="D532" s="20"/>
      <c r="E532" s="20" t="s">
        <v>49</v>
      </c>
      <c r="F532" s="20"/>
      <c r="G532" s="20"/>
      <c r="H532" s="20" t="s">
        <v>860</v>
      </c>
      <c r="I532" s="20" t="s">
        <v>861</v>
      </c>
      <c r="J532" s="20" t="s">
        <v>74</v>
      </c>
      <c r="K532" s="20" t="s">
        <v>55</v>
      </c>
      <c r="L532" s="20" t="s">
        <v>56</v>
      </c>
      <c r="M532" s="20" t="s">
        <v>57</v>
      </c>
      <c r="N532" s="20" t="s">
        <v>333</v>
      </c>
      <c r="O532" s="20" t="s">
        <v>1695</v>
      </c>
      <c r="P532" s="20" t="s">
        <v>1682</v>
      </c>
      <c r="Q532" s="20" t="s">
        <v>59</v>
      </c>
      <c r="R532" s="20" t="s">
        <v>333</v>
      </c>
      <c r="S532" s="20" t="s">
        <v>333</v>
      </c>
      <c r="T532" s="20"/>
      <c r="U532" s="20"/>
      <c r="V532" s="20" t="s">
        <v>344</v>
      </c>
      <c r="W532" s="20" t="s">
        <v>333</v>
      </c>
      <c r="X532" s="20" t="s">
        <v>333</v>
      </c>
      <c r="Y532" s="20" t="s">
        <v>333</v>
      </c>
      <c r="Z532" s="20" t="s">
        <v>333</v>
      </c>
      <c r="AA532" s="20" t="s">
        <v>333</v>
      </c>
      <c r="AB532" s="20" t="s">
        <v>333</v>
      </c>
      <c r="AC532" s="20"/>
      <c r="AD532" s="20" t="s">
        <v>333</v>
      </c>
      <c r="AE532" s="20" t="s">
        <v>333</v>
      </c>
      <c r="AF532" s="20" t="s">
        <v>333</v>
      </c>
      <c r="AG532" s="20" t="s">
        <v>344</v>
      </c>
      <c r="AH532" s="20" t="s">
        <v>344</v>
      </c>
      <c r="AI532" s="20" t="s">
        <v>333</v>
      </c>
      <c r="AJ532" s="20"/>
      <c r="AK532" s="20" t="s">
        <v>1587</v>
      </c>
      <c r="AL532" s="20" t="s">
        <v>1245</v>
      </c>
      <c r="AM532" s="20" t="s">
        <v>1587</v>
      </c>
      <c r="AN532" s="20" t="s">
        <v>349</v>
      </c>
      <c r="AO532" s="20"/>
      <c r="AP532" s="20" t="s">
        <v>1695</v>
      </c>
      <c r="AQ532" s="20" t="s">
        <v>1682</v>
      </c>
      <c r="AR532" s="20"/>
      <c r="AS532" s="20"/>
    </row>
    <row r="533">
      <c r="A533" s="20" t="s">
        <v>4490</v>
      </c>
      <c r="B533" s="20" t="s">
        <v>4247</v>
      </c>
      <c r="C533" s="20" t="s">
        <v>4248</v>
      </c>
      <c r="D533" s="20"/>
      <c r="E533" s="20" t="s">
        <v>49</v>
      </c>
      <c r="F533" s="20"/>
      <c r="G533" s="20"/>
      <c r="H533" s="20" t="s">
        <v>303</v>
      </c>
      <c r="I533" s="20" t="s">
        <v>303</v>
      </c>
      <c r="J533" s="20" t="s">
        <v>74</v>
      </c>
      <c r="K533" s="20" t="s">
        <v>55</v>
      </c>
      <c r="L533" s="20" t="s">
        <v>56</v>
      </c>
      <c r="M533" s="20" t="s">
        <v>57</v>
      </c>
      <c r="N533" s="20" t="s">
        <v>333</v>
      </c>
      <c r="O533" s="20" t="s">
        <v>2287</v>
      </c>
      <c r="P533" s="20" t="s">
        <v>1564</v>
      </c>
      <c r="Q533" s="20" t="s">
        <v>59</v>
      </c>
      <c r="R533" s="20" t="s">
        <v>333</v>
      </c>
      <c r="S533" s="20" t="s">
        <v>333</v>
      </c>
      <c r="T533" s="20"/>
      <c r="U533" s="20"/>
      <c r="V533" s="20" t="s">
        <v>344</v>
      </c>
      <c r="W533" s="20" t="s">
        <v>333</v>
      </c>
      <c r="X533" s="20" t="s">
        <v>333</v>
      </c>
      <c r="Y533" s="20" t="s">
        <v>333</v>
      </c>
      <c r="Z533" s="20" t="s">
        <v>333</v>
      </c>
      <c r="AA533" s="20" t="s">
        <v>333</v>
      </c>
      <c r="AB533" s="20" t="s">
        <v>333</v>
      </c>
      <c r="AC533" s="20"/>
      <c r="AD533" s="20" t="s">
        <v>333</v>
      </c>
      <c r="AE533" s="20" t="s">
        <v>333</v>
      </c>
      <c r="AF533" s="20" t="s">
        <v>333</v>
      </c>
      <c r="AG533" s="20" t="s">
        <v>344</v>
      </c>
      <c r="AH533" s="20" t="s">
        <v>344</v>
      </c>
      <c r="AI533" s="20" t="s">
        <v>333</v>
      </c>
      <c r="AJ533" s="20"/>
      <c r="AK533" s="20" t="s">
        <v>347</v>
      </c>
      <c r="AL533" s="20" t="s">
        <v>1586</v>
      </c>
      <c r="AM533" s="20" t="s">
        <v>347</v>
      </c>
      <c r="AN533" s="20" t="s">
        <v>349</v>
      </c>
      <c r="AO533" s="20"/>
      <c r="AP533" s="20" t="s">
        <v>2287</v>
      </c>
      <c r="AQ533" s="20" t="s">
        <v>1564</v>
      </c>
      <c r="AR533" s="20"/>
      <c r="AS533" s="20"/>
    </row>
    <row r="534">
      <c r="A534" s="32" t="s">
        <v>4491</v>
      </c>
      <c r="B534" s="32" t="s">
        <v>714</v>
      </c>
      <c r="C534" s="32" t="s">
        <v>715</v>
      </c>
      <c r="D534" s="48" t="s">
        <v>3513</v>
      </c>
      <c r="E534" s="32" t="s">
        <v>49</v>
      </c>
      <c r="F534" s="32" t="s">
        <v>4492</v>
      </c>
      <c r="G534" s="32" t="s">
        <v>4493</v>
      </c>
      <c r="H534" s="32" t="s">
        <v>245</v>
      </c>
      <c r="I534" s="32" t="s">
        <v>246</v>
      </c>
      <c r="J534" s="32" t="s">
        <v>246</v>
      </c>
      <c r="K534" s="32" t="s">
        <v>55</v>
      </c>
      <c r="L534" s="32" t="s">
        <v>56</v>
      </c>
      <c r="M534" s="32" t="s">
        <v>57</v>
      </c>
      <c r="N534" s="32" t="s">
        <v>333</v>
      </c>
      <c r="O534" s="32" t="s">
        <v>1586</v>
      </c>
      <c r="P534" s="32" t="s">
        <v>348</v>
      </c>
      <c r="Q534" s="32" t="s">
        <v>59</v>
      </c>
      <c r="R534" s="32" t="s">
        <v>333</v>
      </c>
      <c r="S534" s="32" t="s">
        <v>333</v>
      </c>
      <c r="T534" s="32"/>
      <c r="U534" s="32"/>
      <c r="V534" s="32" t="s">
        <v>344</v>
      </c>
      <c r="W534" s="32" t="s">
        <v>333</v>
      </c>
      <c r="X534" s="32" t="s">
        <v>333</v>
      </c>
      <c r="Y534" s="32" t="s">
        <v>333</v>
      </c>
      <c r="Z534" s="32" t="s">
        <v>333</v>
      </c>
      <c r="AA534" s="32" t="s">
        <v>333</v>
      </c>
      <c r="AB534" s="32" t="s">
        <v>333</v>
      </c>
      <c r="AC534" s="32"/>
      <c r="AD534" s="32" t="s">
        <v>333</v>
      </c>
      <c r="AE534" s="32" t="s">
        <v>333</v>
      </c>
      <c r="AF534" s="32" t="s">
        <v>333</v>
      </c>
      <c r="AG534" s="32" t="s">
        <v>344</v>
      </c>
      <c r="AH534" s="32" t="s">
        <v>344</v>
      </c>
      <c r="AI534" s="32" t="s">
        <v>333</v>
      </c>
      <c r="AJ534" s="32"/>
      <c r="AK534" s="32" t="s">
        <v>347</v>
      </c>
      <c r="AL534" s="32" t="s">
        <v>1596</v>
      </c>
      <c r="AM534" s="32" t="s">
        <v>347</v>
      </c>
      <c r="AN534" s="32" t="s">
        <v>349</v>
      </c>
      <c r="AO534" s="32"/>
      <c r="AP534" s="32" t="s">
        <v>1586</v>
      </c>
      <c r="AQ534" s="32" t="s">
        <v>348</v>
      </c>
      <c r="AR534" s="21" t="s">
        <v>1931</v>
      </c>
      <c r="AS534" s="21">
        <v>2.0</v>
      </c>
    </row>
    <row r="535">
      <c r="A535" s="32" t="s">
        <v>4494</v>
      </c>
      <c r="B535" s="32" t="s">
        <v>2790</v>
      </c>
      <c r="C535" s="32" t="s">
        <v>2791</v>
      </c>
      <c r="D535" s="48" t="s">
        <v>2792</v>
      </c>
      <c r="E535" s="32" t="s">
        <v>49</v>
      </c>
      <c r="F535" s="32" t="s">
        <v>4495</v>
      </c>
      <c r="G535" s="32" t="s">
        <v>4496</v>
      </c>
      <c r="H535" s="32" t="s">
        <v>2801</v>
      </c>
      <c r="I535" s="32" t="s">
        <v>2802</v>
      </c>
      <c r="J535" s="32" t="s">
        <v>74</v>
      </c>
      <c r="K535" s="32" t="s">
        <v>55</v>
      </c>
      <c r="L535" s="32" t="s">
        <v>56</v>
      </c>
      <c r="M535" s="32" t="s">
        <v>57</v>
      </c>
      <c r="N535" s="32" t="s">
        <v>333</v>
      </c>
      <c r="O535" s="32" t="s">
        <v>1556</v>
      </c>
      <c r="P535" s="32" t="s">
        <v>348</v>
      </c>
      <c r="Q535" s="32" t="s">
        <v>59</v>
      </c>
      <c r="R535" s="32" t="s">
        <v>333</v>
      </c>
      <c r="S535" s="32" t="s">
        <v>333</v>
      </c>
      <c r="T535" s="32"/>
      <c r="U535" s="32"/>
      <c r="V535" s="32" t="s">
        <v>344</v>
      </c>
      <c r="W535" s="32" t="s">
        <v>333</v>
      </c>
      <c r="X535" s="32" t="s">
        <v>333</v>
      </c>
      <c r="Y535" s="32" t="s">
        <v>333</v>
      </c>
      <c r="Z535" s="32" t="s">
        <v>333</v>
      </c>
      <c r="AA535" s="32" t="s">
        <v>333</v>
      </c>
      <c r="AB535" s="32" t="s">
        <v>333</v>
      </c>
      <c r="AC535" s="32"/>
      <c r="AD535" s="32" t="s">
        <v>333</v>
      </c>
      <c r="AE535" s="32" t="s">
        <v>333</v>
      </c>
      <c r="AF535" s="32" t="s">
        <v>333</v>
      </c>
      <c r="AG535" s="32" t="s">
        <v>344</v>
      </c>
      <c r="AH535" s="32" t="s">
        <v>344</v>
      </c>
      <c r="AI535" s="32" t="s">
        <v>333</v>
      </c>
      <c r="AJ535" s="32"/>
      <c r="AK535" s="32" t="s">
        <v>1261</v>
      </c>
      <c r="AL535" s="32" t="s">
        <v>349</v>
      </c>
      <c r="AM535" s="32" t="s">
        <v>1261</v>
      </c>
      <c r="AN535" s="32" t="s">
        <v>349</v>
      </c>
      <c r="AO535" s="32"/>
      <c r="AP535" s="32" t="s">
        <v>1556</v>
      </c>
      <c r="AQ535" s="32" t="s">
        <v>348</v>
      </c>
      <c r="AR535" s="21" t="s">
        <v>1931</v>
      </c>
      <c r="AS535" s="21">
        <v>2.0</v>
      </c>
    </row>
    <row r="536">
      <c r="A536" s="20" t="s">
        <v>4497</v>
      </c>
      <c r="B536" s="20" t="s">
        <v>4038</v>
      </c>
      <c r="C536" s="20" t="s">
        <v>4039</v>
      </c>
      <c r="D536" s="20"/>
      <c r="E536" s="20" t="s">
        <v>49</v>
      </c>
      <c r="F536" s="20"/>
      <c r="G536" s="20"/>
      <c r="H536" s="20" t="s">
        <v>1502</v>
      </c>
      <c r="I536" s="20" t="s">
        <v>1503</v>
      </c>
      <c r="J536" s="20" t="s">
        <v>74</v>
      </c>
      <c r="K536" s="20" t="s">
        <v>55</v>
      </c>
      <c r="L536" s="20" t="s">
        <v>56</v>
      </c>
      <c r="M536" s="20" t="s">
        <v>57</v>
      </c>
      <c r="N536" s="20" t="s">
        <v>333</v>
      </c>
      <c r="O536" s="20" t="s">
        <v>1720</v>
      </c>
      <c r="P536" s="20"/>
      <c r="Q536" s="20" t="s">
        <v>59</v>
      </c>
      <c r="R536" s="20" t="s">
        <v>333</v>
      </c>
      <c r="S536" s="20" t="s">
        <v>333</v>
      </c>
      <c r="T536" s="20"/>
      <c r="U536" s="20"/>
      <c r="V536" s="20" t="s">
        <v>344</v>
      </c>
      <c r="W536" s="20" t="s">
        <v>333</v>
      </c>
      <c r="X536" s="20" t="s">
        <v>333</v>
      </c>
      <c r="Y536" s="20" t="s">
        <v>333</v>
      </c>
      <c r="Z536" s="20" t="s">
        <v>333</v>
      </c>
      <c r="AA536" s="20" t="s">
        <v>333</v>
      </c>
      <c r="AB536" s="20" t="s">
        <v>333</v>
      </c>
      <c r="AC536" s="20"/>
      <c r="AD536" s="20" t="s">
        <v>333</v>
      </c>
      <c r="AE536" s="20" t="s">
        <v>333</v>
      </c>
      <c r="AF536" s="20" t="s">
        <v>333</v>
      </c>
      <c r="AG536" s="20" t="s">
        <v>344</v>
      </c>
      <c r="AH536" s="20" t="s">
        <v>344</v>
      </c>
      <c r="AI536" s="20" t="s">
        <v>333</v>
      </c>
      <c r="AJ536" s="20"/>
      <c r="AK536" s="20" t="s">
        <v>347</v>
      </c>
      <c r="AL536" s="20" t="s">
        <v>1596</v>
      </c>
      <c r="AM536" s="20" t="s">
        <v>347</v>
      </c>
      <c r="AN536" s="20" t="s">
        <v>349</v>
      </c>
      <c r="AO536" s="20"/>
      <c r="AP536" s="20" t="s">
        <v>1720</v>
      </c>
      <c r="AQ536" s="20" t="s">
        <v>349</v>
      </c>
      <c r="AR536" s="20"/>
      <c r="AS536" s="20"/>
    </row>
    <row r="537">
      <c r="A537" s="20" t="s">
        <v>4498</v>
      </c>
      <c r="B537" s="20" t="s">
        <v>865</v>
      </c>
      <c r="C537" s="20" t="s">
        <v>866</v>
      </c>
      <c r="D537" s="20"/>
      <c r="E537" s="20" t="s">
        <v>49</v>
      </c>
      <c r="F537" s="20"/>
      <c r="G537" s="20"/>
      <c r="H537" s="20" t="s">
        <v>75</v>
      </c>
      <c r="I537" s="20" t="s">
        <v>76</v>
      </c>
      <c r="J537" s="20" t="s">
        <v>76</v>
      </c>
      <c r="K537" s="20" t="s">
        <v>55</v>
      </c>
      <c r="L537" s="20" t="s">
        <v>56</v>
      </c>
      <c r="M537" s="20" t="s">
        <v>57</v>
      </c>
      <c r="N537" s="20" t="s">
        <v>333</v>
      </c>
      <c r="O537" s="20" t="s">
        <v>1559</v>
      </c>
      <c r="P537" s="20" t="s">
        <v>1586</v>
      </c>
      <c r="Q537" s="20" t="s">
        <v>59</v>
      </c>
      <c r="R537" s="20" t="s">
        <v>333</v>
      </c>
      <c r="S537" s="20" t="s">
        <v>333</v>
      </c>
      <c r="T537" s="20"/>
      <c r="U537" s="20"/>
      <c r="V537" s="20" t="s">
        <v>344</v>
      </c>
      <c r="W537" s="20" t="s">
        <v>333</v>
      </c>
      <c r="X537" s="20" t="s">
        <v>333</v>
      </c>
      <c r="Y537" s="20" t="s">
        <v>333</v>
      </c>
      <c r="Z537" s="20" t="s">
        <v>333</v>
      </c>
      <c r="AA537" s="20" t="s">
        <v>333</v>
      </c>
      <c r="AB537" s="20" t="s">
        <v>333</v>
      </c>
      <c r="AC537" s="20"/>
      <c r="AD537" s="20" t="s">
        <v>333</v>
      </c>
      <c r="AE537" s="20" t="s">
        <v>333</v>
      </c>
      <c r="AF537" s="20" t="s">
        <v>333</v>
      </c>
      <c r="AG537" s="20" t="s">
        <v>344</v>
      </c>
      <c r="AH537" s="20" t="s">
        <v>344</v>
      </c>
      <c r="AI537" s="20" t="s">
        <v>333</v>
      </c>
      <c r="AJ537" s="20"/>
      <c r="AK537" s="20" t="s">
        <v>1260</v>
      </c>
      <c r="AL537" s="20" t="s">
        <v>1800</v>
      </c>
      <c r="AM537" s="20" t="s">
        <v>1260</v>
      </c>
      <c r="AN537" s="20" t="s">
        <v>349</v>
      </c>
      <c r="AO537" s="20"/>
      <c r="AP537" s="20" t="s">
        <v>1559</v>
      </c>
      <c r="AQ537" s="20" t="s">
        <v>1586</v>
      </c>
      <c r="AR537" s="20"/>
      <c r="AS537" s="20"/>
    </row>
    <row r="538">
      <c r="A538" s="32" t="s">
        <v>4499</v>
      </c>
      <c r="B538" s="32" t="s">
        <v>2430</v>
      </c>
      <c r="C538" s="32" t="s">
        <v>2431</v>
      </c>
      <c r="D538" s="48" t="s">
        <v>2432</v>
      </c>
      <c r="E538" s="32" t="s">
        <v>49</v>
      </c>
      <c r="F538" s="32" t="s">
        <v>2015</v>
      </c>
      <c r="G538" s="32" t="s">
        <v>2018</v>
      </c>
      <c r="H538" s="32" t="s">
        <v>123</v>
      </c>
      <c r="I538" s="32" t="s">
        <v>124</v>
      </c>
      <c r="J538" s="32" t="s">
        <v>74</v>
      </c>
      <c r="K538" s="32" t="s">
        <v>55</v>
      </c>
      <c r="L538" s="32" t="s">
        <v>56</v>
      </c>
      <c r="M538" s="32" t="s">
        <v>57</v>
      </c>
      <c r="N538" s="32" t="s">
        <v>333</v>
      </c>
      <c r="O538" s="32" t="s">
        <v>1682</v>
      </c>
      <c r="P538" s="32" t="s">
        <v>1559</v>
      </c>
      <c r="Q538" s="32" t="s">
        <v>59</v>
      </c>
      <c r="R538" s="32" t="s">
        <v>333</v>
      </c>
      <c r="S538" s="32" t="s">
        <v>333</v>
      </c>
      <c r="T538" s="32"/>
      <c r="U538" s="32"/>
      <c r="V538" s="32" t="s">
        <v>344</v>
      </c>
      <c r="W538" s="32" t="s">
        <v>333</v>
      </c>
      <c r="X538" s="32" t="s">
        <v>333</v>
      </c>
      <c r="Y538" s="32" t="s">
        <v>333</v>
      </c>
      <c r="Z538" s="32" t="s">
        <v>333</v>
      </c>
      <c r="AA538" s="32" t="s">
        <v>333</v>
      </c>
      <c r="AB538" s="32" t="s">
        <v>333</v>
      </c>
      <c r="AC538" s="32"/>
      <c r="AD538" s="32" t="s">
        <v>333</v>
      </c>
      <c r="AE538" s="32" t="s">
        <v>333</v>
      </c>
      <c r="AF538" s="32" t="s">
        <v>333</v>
      </c>
      <c r="AG538" s="32" t="s">
        <v>344</v>
      </c>
      <c r="AH538" s="32" t="s">
        <v>344</v>
      </c>
      <c r="AI538" s="32" t="s">
        <v>333</v>
      </c>
      <c r="AJ538" s="32"/>
      <c r="AK538" s="32" t="s">
        <v>1596</v>
      </c>
      <c r="AL538" s="32" t="s">
        <v>1245</v>
      </c>
      <c r="AM538" s="32" t="s">
        <v>1596</v>
      </c>
      <c r="AN538" s="32" t="s">
        <v>349</v>
      </c>
      <c r="AO538" s="32"/>
      <c r="AP538" s="32" t="s">
        <v>1682</v>
      </c>
      <c r="AQ538" s="32" t="s">
        <v>1559</v>
      </c>
      <c r="AR538" s="21" t="s">
        <v>1931</v>
      </c>
      <c r="AS538" s="21">
        <v>2.0</v>
      </c>
    </row>
    <row r="539">
      <c r="A539" s="32" t="s">
        <v>4500</v>
      </c>
      <c r="B539" s="32" t="s">
        <v>580</v>
      </c>
      <c r="C539" s="32" t="s">
        <v>581</v>
      </c>
      <c r="D539" s="48" t="s">
        <v>4037</v>
      </c>
      <c r="E539" s="32" t="s">
        <v>49</v>
      </c>
      <c r="F539" s="32" t="s">
        <v>4501</v>
      </c>
      <c r="G539" s="32" t="s">
        <v>4502</v>
      </c>
      <c r="H539" s="32" t="s">
        <v>147</v>
      </c>
      <c r="I539" s="32" t="s">
        <v>148</v>
      </c>
      <c r="J539" s="32" t="s">
        <v>148</v>
      </c>
      <c r="K539" s="32" t="s">
        <v>55</v>
      </c>
      <c r="L539" s="32" t="s">
        <v>56</v>
      </c>
      <c r="M539" s="32" t="s">
        <v>57</v>
      </c>
      <c r="N539" s="32" t="s">
        <v>333</v>
      </c>
      <c r="O539" s="32" t="s">
        <v>3142</v>
      </c>
      <c r="P539" s="32" t="s">
        <v>334</v>
      </c>
      <c r="Q539" s="32" t="s">
        <v>59</v>
      </c>
      <c r="R539" s="32" t="s">
        <v>333</v>
      </c>
      <c r="S539" s="32" t="s">
        <v>333</v>
      </c>
      <c r="T539" s="32"/>
      <c r="U539" s="32"/>
      <c r="V539" s="32" t="s">
        <v>344</v>
      </c>
      <c r="W539" s="32" t="s">
        <v>333</v>
      </c>
      <c r="X539" s="32" t="s">
        <v>333</v>
      </c>
      <c r="Y539" s="32" t="s">
        <v>333</v>
      </c>
      <c r="Z539" s="32" t="s">
        <v>333</v>
      </c>
      <c r="AA539" s="32" t="s">
        <v>333</v>
      </c>
      <c r="AB539" s="32" t="s">
        <v>333</v>
      </c>
      <c r="AC539" s="32"/>
      <c r="AD539" s="32" t="s">
        <v>333</v>
      </c>
      <c r="AE539" s="32" t="s">
        <v>333</v>
      </c>
      <c r="AF539" s="32" t="s">
        <v>333</v>
      </c>
      <c r="AG539" s="32" t="s">
        <v>344</v>
      </c>
      <c r="AH539" s="32" t="s">
        <v>344</v>
      </c>
      <c r="AI539" s="32" t="s">
        <v>333</v>
      </c>
      <c r="AJ539" s="32"/>
      <c r="AK539" s="32" t="s">
        <v>347</v>
      </c>
      <c r="AL539" s="32" t="s">
        <v>1245</v>
      </c>
      <c r="AM539" s="32" t="s">
        <v>347</v>
      </c>
      <c r="AN539" s="32" t="s">
        <v>349</v>
      </c>
      <c r="AO539" s="32"/>
      <c r="AP539" s="32" t="s">
        <v>3142</v>
      </c>
      <c r="AQ539" s="32" t="s">
        <v>334</v>
      </c>
      <c r="AR539" s="21" t="s">
        <v>1931</v>
      </c>
      <c r="AS539" s="21">
        <v>2.0</v>
      </c>
    </row>
    <row r="540">
      <c r="A540" s="20" t="s">
        <v>4503</v>
      </c>
      <c r="B540" s="20" t="s">
        <v>3760</v>
      </c>
      <c r="C540" s="20" t="s">
        <v>3761</v>
      </c>
      <c r="D540" s="20"/>
      <c r="E540" s="20" t="s">
        <v>49</v>
      </c>
      <c r="F540" s="20"/>
      <c r="G540" s="20"/>
      <c r="H540" s="20" t="s">
        <v>142</v>
      </c>
      <c r="I540" s="20" t="s">
        <v>144</v>
      </c>
      <c r="J540" s="20" t="s">
        <v>74</v>
      </c>
      <c r="K540" s="20" t="s">
        <v>55</v>
      </c>
      <c r="L540" s="20" t="s">
        <v>56</v>
      </c>
      <c r="M540" s="20" t="s">
        <v>57</v>
      </c>
      <c r="N540" s="20" t="s">
        <v>333</v>
      </c>
      <c r="O540" s="20" t="s">
        <v>1556</v>
      </c>
      <c r="P540" s="20" t="s">
        <v>1586</v>
      </c>
      <c r="Q540" s="20" t="s">
        <v>59</v>
      </c>
      <c r="R540" s="20" t="s">
        <v>333</v>
      </c>
      <c r="S540" s="20" t="s">
        <v>333</v>
      </c>
      <c r="T540" s="20"/>
      <c r="U540" s="20"/>
      <c r="V540" s="20" t="s">
        <v>344</v>
      </c>
      <c r="W540" s="20" t="s">
        <v>333</v>
      </c>
      <c r="X540" s="20" t="s">
        <v>333</v>
      </c>
      <c r="Y540" s="20" t="s">
        <v>333</v>
      </c>
      <c r="Z540" s="20" t="s">
        <v>333</v>
      </c>
      <c r="AA540" s="20" t="s">
        <v>333</v>
      </c>
      <c r="AB540" s="20" t="s">
        <v>333</v>
      </c>
      <c r="AC540" s="20"/>
      <c r="AD540" s="20" t="s">
        <v>333</v>
      </c>
      <c r="AE540" s="20" t="s">
        <v>333</v>
      </c>
      <c r="AF540" s="20" t="s">
        <v>333</v>
      </c>
      <c r="AG540" s="20" t="s">
        <v>344</v>
      </c>
      <c r="AH540" s="20" t="s">
        <v>344</v>
      </c>
      <c r="AI540" s="20" t="s">
        <v>333</v>
      </c>
      <c r="AJ540" s="20"/>
      <c r="AK540" s="20" t="s">
        <v>1745</v>
      </c>
      <c r="AL540" s="20" t="s">
        <v>1245</v>
      </c>
      <c r="AM540" s="20" t="s">
        <v>1745</v>
      </c>
      <c r="AN540" s="20" t="s">
        <v>349</v>
      </c>
      <c r="AO540" s="20"/>
      <c r="AP540" s="20" t="s">
        <v>1556</v>
      </c>
      <c r="AQ540" s="20" t="s">
        <v>1586</v>
      </c>
      <c r="AR540" s="20"/>
      <c r="AS540" s="20"/>
    </row>
    <row r="541">
      <c r="A541" s="20" t="s">
        <v>4504</v>
      </c>
      <c r="B541" s="20" t="s">
        <v>2546</v>
      </c>
      <c r="C541" s="20" t="s">
        <v>2547</v>
      </c>
      <c r="D541" s="20" t="s">
        <v>2548</v>
      </c>
      <c r="E541" s="20" t="s">
        <v>49</v>
      </c>
      <c r="F541" s="20"/>
      <c r="G541" s="20"/>
      <c r="H541" s="20" t="s">
        <v>72</v>
      </c>
      <c r="I541" s="20" t="s">
        <v>73</v>
      </c>
      <c r="J541" s="20" t="s">
        <v>74</v>
      </c>
      <c r="K541" s="20" t="s">
        <v>55</v>
      </c>
      <c r="L541" s="20" t="s">
        <v>56</v>
      </c>
      <c r="M541" s="20" t="s">
        <v>57</v>
      </c>
      <c r="N541" s="20" t="s">
        <v>333</v>
      </c>
      <c r="O541" s="20" t="s">
        <v>1238</v>
      </c>
      <c r="P541" s="20" t="s">
        <v>1256</v>
      </c>
      <c r="Q541" s="20" t="s">
        <v>59</v>
      </c>
      <c r="R541" s="20" t="s">
        <v>333</v>
      </c>
      <c r="S541" s="20" t="s">
        <v>333</v>
      </c>
      <c r="T541" s="20" t="s">
        <v>2556</v>
      </c>
      <c r="U541" s="20"/>
      <c r="V541" s="20" t="s">
        <v>344</v>
      </c>
      <c r="W541" s="20" t="s">
        <v>333</v>
      </c>
      <c r="X541" s="20" t="s">
        <v>333</v>
      </c>
      <c r="Y541" s="20" t="s">
        <v>333</v>
      </c>
      <c r="Z541" s="20" t="s">
        <v>333</v>
      </c>
      <c r="AA541" s="20" t="s">
        <v>333</v>
      </c>
      <c r="AB541" s="20" t="s">
        <v>333</v>
      </c>
      <c r="AC541" s="20"/>
      <c r="AD541" s="20" t="s">
        <v>333</v>
      </c>
      <c r="AE541" s="20" t="s">
        <v>333</v>
      </c>
      <c r="AF541" s="20" t="s">
        <v>333</v>
      </c>
      <c r="AG541" s="20" t="s">
        <v>344</v>
      </c>
      <c r="AH541" s="20" t="s">
        <v>344</v>
      </c>
      <c r="AI541" s="20" t="s">
        <v>333</v>
      </c>
      <c r="AJ541" s="20"/>
      <c r="AK541" s="20" t="s">
        <v>1260</v>
      </c>
      <c r="AL541" s="20" t="s">
        <v>1556</v>
      </c>
      <c r="AM541" s="20" t="s">
        <v>1260</v>
      </c>
      <c r="AN541" s="20" t="s">
        <v>349</v>
      </c>
      <c r="AO541" s="20"/>
      <c r="AP541" s="20" t="s">
        <v>1238</v>
      </c>
      <c r="AQ541" s="20" t="s">
        <v>1256</v>
      </c>
      <c r="AR541" s="20"/>
      <c r="AS541" s="20"/>
    </row>
    <row r="542">
      <c r="A542" s="20" t="s">
        <v>4505</v>
      </c>
      <c r="B542" s="20" t="s">
        <v>2079</v>
      </c>
      <c r="C542" s="20" t="s">
        <v>2080</v>
      </c>
      <c r="D542" s="20"/>
      <c r="E542" s="20" t="s">
        <v>49</v>
      </c>
      <c r="F542" s="20"/>
      <c r="G542" s="20"/>
      <c r="H542" s="20" t="s">
        <v>142</v>
      </c>
      <c r="I542" s="20" t="s">
        <v>144</v>
      </c>
      <c r="J542" s="20" t="s">
        <v>74</v>
      </c>
      <c r="K542" s="20" t="s">
        <v>55</v>
      </c>
      <c r="L542" s="20" t="s">
        <v>56</v>
      </c>
      <c r="M542" s="20" t="s">
        <v>57</v>
      </c>
      <c r="N542" s="20" t="s">
        <v>333</v>
      </c>
      <c r="O542" s="20" t="s">
        <v>1556</v>
      </c>
      <c r="P542" s="20" t="s">
        <v>1559</v>
      </c>
      <c r="Q542" s="20" t="s">
        <v>59</v>
      </c>
      <c r="R542" s="20" t="s">
        <v>333</v>
      </c>
      <c r="S542" s="20" t="s">
        <v>333</v>
      </c>
      <c r="T542" s="20"/>
      <c r="U542" s="20"/>
      <c r="V542" s="20" t="s">
        <v>344</v>
      </c>
      <c r="W542" s="20" t="s">
        <v>333</v>
      </c>
      <c r="X542" s="20" t="s">
        <v>333</v>
      </c>
      <c r="Y542" s="20" t="s">
        <v>333</v>
      </c>
      <c r="Z542" s="20" t="s">
        <v>333</v>
      </c>
      <c r="AA542" s="20" t="s">
        <v>333</v>
      </c>
      <c r="AB542" s="20" t="s">
        <v>333</v>
      </c>
      <c r="AC542" s="20"/>
      <c r="AD542" s="20" t="s">
        <v>333</v>
      </c>
      <c r="AE542" s="20" t="s">
        <v>333</v>
      </c>
      <c r="AF542" s="20" t="s">
        <v>333</v>
      </c>
      <c r="AG542" s="20" t="s">
        <v>344</v>
      </c>
      <c r="AH542" s="20" t="s">
        <v>344</v>
      </c>
      <c r="AI542" s="20" t="s">
        <v>333</v>
      </c>
      <c r="AJ542" s="20"/>
      <c r="AK542" s="20" t="s">
        <v>347</v>
      </c>
      <c r="AL542" s="20" t="s">
        <v>348</v>
      </c>
      <c r="AM542" s="20" t="s">
        <v>347</v>
      </c>
      <c r="AN542" s="20" t="s">
        <v>349</v>
      </c>
      <c r="AO542" s="20"/>
      <c r="AP542" s="20" t="s">
        <v>1556</v>
      </c>
      <c r="AQ542" s="20" t="s">
        <v>1559</v>
      </c>
      <c r="AR542" s="20"/>
      <c r="AS542" s="20"/>
    </row>
    <row r="543">
      <c r="A543" s="20" t="s">
        <v>4506</v>
      </c>
      <c r="B543" s="20" t="s">
        <v>3455</v>
      </c>
      <c r="C543" s="20" t="s">
        <v>3456</v>
      </c>
      <c r="D543" s="20"/>
      <c r="E543" s="20" t="s">
        <v>49</v>
      </c>
      <c r="F543" s="20"/>
      <c r="G543" s="20"/>
      <c r="H543" s="20" t="s">
        <v>142</v>
      </c>
      <c r="I543" s="20" t="s">
        <v>144</v>
      </c>
      <c r="J543" s="20" t="s">
        <v>74</v>
      </c>
      <c r="K543" s="20" t="s">
        <v>55</v>
      </c>
      <c r="L543" s="20" t="s">
        <v>56</v>
      </c>
      <c r="M543" s="20" t="s">
        <v>57</v>
      </c>
      <c r="N543" s="20" t="s">
        <v>333</v>
      </c>
      <c r="O543" s="20" t="s">
        <v>1688</v>
      </c>
      <c r="P543" s="20" t="s">
        <v>1586</v>
      </c>
      <c r="Q543" s="20" t="s">
        <v>59</v>
      </c>
      <c r="R543" s="20" t="s">
        <v>333</v>
      </c>
      <c r="S543" s="20" t="s">
        <v>333</v>
      </c>
      <c r="T543" s="20"/>
      <c r="U543" s="20"/>
      <c r="V543" s="20" t="s">
        <v>344</v>
      </c>
      <c r="W543" s="20" t="s">
        <v>333</v>
      </c>
      <c r="X543" s="20" t="s">
        <v>333</v>
      </c>
      <c r="Y543" s="20" t="s">
        <v>333</v>
      </c>
      <c r="Z543" s="20" t="s">
        <v>333</v>
      </c>
      <c r="AA543" s="20" t="s">
        <v>333</v>
      </c>
      <c r="AB543" s="20" t="s">
        <v>333</v>
      </c>
      <c r="AC543" s="20"/>
      <c r="AD543" s="20" t="s">
        <v>333</v>
      </c>
      <c r="AE543" s="20" t="s">
        <v>333</v>
      </c>
      <c r="AF543" s="20" t="s">
        <v>333</v>
      </c>
      <c r="AG543" s="20" t="s">
        <v>344</v>
      </c>
      <c r="AH543" s="20" t="s">
        <v>344</v>
      </c>
      <c r="AI543" s="20" t="s">
        <v>333</v>
      </c>
      <c r="AJ543" s="20"/>
      <c r="AK543" s="20" t="s">
        <v>347</v>
      </c>
      <c r="AL543" s="20" t="s">
        <v>348</v>
      </c>
      <c r="AM543" s="20" t="s">
        <v>347</v>
      </c>
      <c r="AN543" s="20" t="s">
        <v>349</v>
      </c>
      <c r="AO543" s="20"/>
      <c r="AP543" s="20" t="s">
        <v>1688</v>
      </c>
      <c r="AQ543" s="20" t="s">
        <v>1586</v>
      </c>
      <c r="AR543" s="20"/>
      <c r="AS543" s="20"/>
    </row>
    <row r="544">
      <c r="A544" s="20" t="s">
        <v>4507</v>
      </c>
      <c r="B544" s="20" t="s">
        <v>2188</v>
      </c>
      <c r="C544" s="20" t="s">
        <v>2189</v>
      </c>
      <c r="D544" s="20"/>
      <c r="E544" s="20" t="s">
        <v>49</v>
      </c>
      <c r="F544" s="20"/>
      <c r="G544" s="20" t="s">
        <v>4508</v>
      </c>
      <c r="H544" s="20" t="s">
        <v>738</v>
      </c>
      <c r="I544" s="20" t="s">
        <v>739</v>
      </c>
      <c r="J544" s="20" t="s">
        <v>74</v>
      </c>
      <c r="K544" s="20" t="s">
        <v>55</v>
      </c>
      <c r="L544" s="20" t="s">
        <v>56</v>
      </c>
      <c r="M544" s="20" t="s">
        <v>57</v>
      </c>
      <c r="N544" s="20" t="s">
        <v>333</v>
      </c>
      <c r="O544" s="20" t="s">
        <v>1688</v>
      </c>
      <c r="P544" s="20" t="s">
        <v>2005</v>
      </c>
      <c r="Q544" s="20" t="s">
        <v>59</v>
      </c>
      <c r="R544" s="20" t="s">
        <v>333</v>
      </c>
      <c r="S544" s="20" t="s">
        <v>333</v>
      </c>
      <c r="T544" s="20"/>
      <c r="U544" s="20"/>
      <c r="V544" s="20" t="s">
        <v>344</v>
      </c>
      <c r="W544" s="20" t="s">
        <v>333</v>
      </c>
      <c r="X544" s="20" t="s">
        <v>333</v>
      </c>
      <c r="Y544" s="20" t="s">
        <v>333</v>
      </c>
      <c r="Z544" s="20" t="s">
        <v>333</v>
      </c>
      <c r="AA544" s="20" t="s">
        <v>333</v>
      </c>
      <c r="AB544" s="20" t="s">
        <v>333</v>
      </c>
      <c r="AC544" s="20"/>
      <c r="AD544" s="20" t="s">
        <v>333</v>
      </c>
      <c r="AE544" s="20" t="s">
        <v>333</v>
      </c>
      <c r="AF544" s="20" t="s">
        <v>333</v>
      </c>
      <c r="AG544" s="20" t="s">
        <v>344</v>
      </c>
      <c r="AH544" s="20" t="s">
        <v>344</v>
      </c>
      <c r="AI544" s="20" t="s">
        <v>333</v>
      </c>
      <c r="AJ544" s="20"/>
      <c r="AK544" s="20" t="s">
        <v>1244</v>
      </c>
      <c r="AL544" s="20" t="s">
        <v>1673</v>
      </c>
      <c r="AM544" s="20" t="s">
        <v>1244</v>
      </c>
      <c r="AN544" s="20" t="s">
        <v>349</v>
      </c>
      <c r="AO544" s="20"/>
      <c r="AP544" s="20" t="s">
        <v>1688</v>
      </c>
      <c r="AQ544" s="20" t="s">
        <v>2005</v>
      </c>
      <c r="AR544" s="20"/>
      <c r="AS544" s="20"/>
    </row>
    <row r="545">
      <c r="A545" s="32" t="s">
        <v>4509</v>
      </c>
      <c r="B545" s="32" t="s">
        <v>3950</v>
      </c>
      <c r="C545" s="32" t="s">
        <v>3951</v>
      </c>
      <c r="D545" s="48" t="s">
        <v>3952</v>
      </c>
      <c r="E545" s="32" t="s">
        <v>49</v>
      </c>
      <c r="F545" s="32" t="s">
        <v>4510</v>
      </c>
      <c r="G545" s="32" t="s">
        <v>4511</v>
      </c>
      <c r="H545" s="32" t="s">
        <v>1599</v>
      </c>
      <c r="I545" s="32" t="s">
        <v>1601</v>
      </c>
      <c r="J545" s="32" t="s">
        <v>74</v>
      </c>
      <c r="K545" s="32" t="s">
        <v>55</v>
      </c>
      <c r="L545" s="32" t="s">
        <v>56</v>
      </c>
      <c r="M545" s="32" t="s">
        <v>57</v>
      </c>
      <c r="N545" s="32" t="s">
        <v>333</v>
      </c>
      <c r="O545" s="32" t="s">
        <v>1596</v>
      </c>
      <c r="P545" s="32" t="s">
        <v>1596</v>
      </c>
      <c r="Q545" s="32" t="s">
        <v>59</v>
      </c>
      <c r="R545" s="32" t="s">
        <v>333</v>
      </c>
      <c r="S545" s="32" t="s">
        <v>333</v>
      </c>
      <c r="T545" s="32"/>
      <c r="U545" s="32"/>
      <c r="V545" s="32" t="s">
        <v>344</v>
      </c>
      <c r="W545" s="32" t="s">
        <v>333</v>
      </c>
      <c r="X545" s="32" t="s">
        <v>333</v>
      </c>
      <c r="Y545" s="32" t="s">
        <v>333</v>
      </c>
      <c r="Z545" s="32" t="s">
        <v>333</v>
      </c>
      <c r="AA545" s="32" t="s">
        <v>333</v>
      </c>
      <c r="AB545" s="32" t="s">
        <v>333</v>
      </c>
      <c r="AC545" s="32"/>
      <c r="AD545" s="32" t="s">
        <v>333</v>
      </c>
      <c r="AE545" s="32" t="s">
        <v>333</v>
      </c>
      <c r="AF545" s="32" t="s">
        <v>333</v>
      </c>
      <c r="AG545" s="32" t="s">
        <v>344</v>
      </c>
      <c r="AH545" s="32" t="s">
        <v>344</v>
      </c>
      <c r="AI545" s="32" t="s">
        <v>333</v>
      </c>
      <c r="AJ545" s="32"/>
      <c r="AK545" s="32" t="s">
        <v>1244</v>
      </c>
      <c r="AL545" s="32" t="s">
        <v>1245</v>
      </c>
      <c r="AM545" s="32" t="s">
        <v>1244</v>
      </c>
      <c r="AN545" s="32" t="s">
        <v>349</v>
      </c>
      <c r="AO545" s="32"/>
      <c r="AP545" s="32" t="s">
        <v>1596</v>
      </c>
      <c r="AQ545" s="32" t="s">
        <v>1596</v>
      </c>
      <c r="AR545" s="21" t="s">
        <v>1931</v>
      </c>
      <c r="AS545" s="21">
        <v>2.0</v>
      </c>
    </row>
    <row r="546">
      <c r="A546" s="20" t="s">
        <v>4512</v>
      </c>
      <c r="B546" s="20" t="s">
        <v>782</v>
      </c>
      <c r="C546" s="20" t="s">
        <v>783</v>
      </c>
      <c r="D546" s="20"/>
      <c r="E546" s="20" t="s">
        <v>49</v>
      </c>
      <c r="F546" s="20"/>
      <c r="G546" s="20"/>
      <c r="H546" s="20" t="s">
        <v>147</v>
      </c>
      <c r="I546" s="20" t="s">
        <v>148</v>
      </c>
      <c r="J546" s="20" t="s">
        <v>148</v>
      </c>
      <c r="K546" s="20" t="s">
        <v>55</v>
      </c>
      <c r="L546" s="20" t="s">
        <v>56</v>
      </c>
      <c r="M546" s="20" t="s">
        <v>57</v>
      </c>
      <c r="N546" s="20" t="s">
        <v>333</v>
      </c>
      <c r="O546" s="20" t="s">
        <v>2409</v>
      </c>
      <c r="P546" s="20" t="s">
        <v>1269</v>
      </c>
      <c r="Q546" s="20" t="s">
        <v>59</v>
      </c>
      <c r="R546" s="20" t="s">
        <v>333</v>
      </c>
      <c r="S546" s="20" t="s">
        <v>333</v>
      </c>
      <c r="T546" s="20"/>
      <c r="U546" s="20"/>
      <c r="V546" s="20" t="s">
        <v>344</v>
      </c>
      <c r="W546" s="20" t="s">
        <v>333</v>
      </c>
      <c r="X546" s="20" t="s">
        <v>333</v>
      </c>
      <c r="Y546" s="20" t="s">
        <v>333</v>
      </c>
      <c r="Z546" s="20" t="s">
        <v>333</v>
      </c>
      <c r="AA546" s="20" t="s">
        <v>333</v>
      </c>
      <c r="AB546" s="20" t="s">
        <v>333</v>
      </c>
      <c r="AC546" s="20"/>
      <c r="AD546" s="20" t="s">
        <v>333</v>
      </c>
      <c r="AE546" s="20" t="s">
        <v>333</v>
      </c>
      <c r="AF546" s="20" t="s">
        <v>333</v>
      </c>
      <c r="AG546" s="20" t="s">
        <v>344</v>
      </c>
      <c r="AH546" s="20" t="s">
        <v>344</v>
      </c>
      <c r="AI546" s="20" t="s">
        <v>333</v>
      </c>
      <c r="AJ546" s="20"/>
      <c r="AK546" s="20" t="s">
        <v>1760</v>
      </c>
      <c r="AL546" s="20" t="s">
        <v>1663</v>
      </c>
      <c r="AM546" s="20" t="s">
        <v>1760</v>
      </c>
      <c r="AN546" s="20" t="s">
        <v>349</v>
      </c>
      <c r="AO546" s="20"/>
      <c r="AP546" s="20" t="s">
        <v>2409</v>
      </c>
      <c r="AQ546" s="20" t="s">
        <v>1269</v>
      </c>
      <c r="AR546" s="20"/>
      <c r="AS546" s="20"/>
    </row>
    <row r="547">
      <c r="A547" s="20" t="s">
        <v>4513</v>
      </c>
      <c r="B547" s="20" t="s">
        <v>3356</v>
      </c>
      <c r="C547" s="20" t="s">
        <v>3357</v>
      </c>
      <c r="D547" s="20"/>
      <c r="E547" s="20" t="s">
        <v>49</v>
      </c>
      <c r="F547" s="20"/>
      <c r="G547" s="20"/>
      <c r="H547" s="20" t="s">
        <v>3360</v>
      </c>
      <c r="I547" s="20" t="s">
        <v>3361</v>
      </c>
      <c r="J547" s="20" t="s">
        <v>74</v>
      </c>
      <c r="K547" s="20" t="s">
        <v>55</v>
      </c>
      <c r="L547" s="20" t="s">
        <v>56</v>
      </c>
      <c r="M547" s="20" t="s">
        <v>57</v>
      </c>
      <c r="N547" s="20" t="s">
        <v>333</v>
      </c>
      <c r="O547" s="20"/>
      <c r="P547" s="20"/>
      <c r="Q547" s="20" t="s">
        <v>59</v>
      </c>
      <c r="R547" s="20" t="s">
        <v>333</v>
      </c>
      <c r="S547" s="20" t="s">
        <v>333</v>
      </c>
      <c r="T547" s="20"/>
      <c r="U547" s="20"/>
      <c r="V547" s="20" t="s">
        <v>344</v>
      </c>
      <c r="W547" s="20" t="s">
        <v>333</v>
      </c>
      <c r="X547" s="20" t="s">
        <v>333</v>
      </c>
      <c r="Y547" s="20" t="s">
        <v>333</v>
      </c>
      <c r="Z547" s="20" t="s">
        <v>333</v>
      </c>
      <c r="AA547" s="20" t="s">
        <v>333</v>
      </c>
      <c r="AB547" s="20" t="s">
        <v>333</v>
      </c>
      <c r="AC547" s="20"/>
      <c r="AD547" s="20" t="s">
        <v>333</v>
      </c>
      <c r="AE547" s="20" t="s">
        <v>333</v>
      </c>
      <c r="AF547" s="20" t="s">
        <v>333</v>
      </c>
      <c r="AG547" s="20" t="s">
        <v>344</v>
      </c>
      <c r="AH547" s="20" t="s">
        <v>344</v>
      </c>
      <c r="AI547" s="20" t="s">
        <v>333</v>
      </c>
      <c r="AJ547" s="20"/>
      <c r="AK547" s="20" t="s">
        <v>349</v>
      </c>
      <c r="AL547" s="20" t="s">
        <v>349</v>
      </c>
      <c r="AM547" s="20" t="s">
        <v>349</v>
      </c>
      <c r="AN547" s="20" t="s">
        <v>349</v>
      </c>
      <c r="AO547" s="20"/>
      <c r="AP547" s="20" t="s">
        <v>349</v>
      </c>
      <c r="AQ547" s="20" t="s">
        <v>349</v>
      </c>
      <c r="AR547" s="20"/>
      <c r="AS547" s="20"/>
    </row>
    <row r="548">
      <c r="A548" s="20" t="s">
        <v>4514</v>
      </c>
      <c r="B548" s="20" t="s">
        <v>4012</v>
      </c>
      <c r="C548" s="20" t="s">
        <v>4013</v>
      </c>
      <c r="D548" s="20"/>
      <c r="E548" s="20" t="s">
        <v>49</v>
      </c>
      <c r="F548" s="20"/>
      <c r="G548" s="20"/>
      <c r="H548" s="20" t="s">
        <v>303</v>
      </c>
      <c r="I548" s="20" t="s">
        <v>303</v>
      </c>
      <c r="J548" s="20" t="s">
        <v>74</v>
      </c>
      <c r="K548" s="20" t="s">
        <v>55</v>
      </c>
      <c r="L548" s="20" t="s">
        <v>56</v>
      </c>
      <c r="M548" s="20" t="s">
        <v>57</v>
      </c>
      <c r="N548" s="20" t="s">
        <v>333</v>
      </c>
      <c r="O548" s="20" t="s">
        <v>1795</v>
      </c>
      <c r="P548" s="20" t="s">
        <v>1695</v>
      </c>
      <c r="Q548" s="20" t="s">
        <v>59</v>
      </c>
      <c r="R548" s="20" t="s">
        <v>333</v>
      </c>
      <c r="S548" s="20" t="s">
        <v>333</v>
      </c>
      <c r="T548" s="20"/>
      <c r="U548" s="20"/>
      <c r="V548" s="20" t="s">
        <v>344</v>
      </c>
      <c r="W548" s="20" t="s">
        <v>333</v>
      </c>
      <c r="X548" s="20" t="s">
        <v>333</v>
      </c>
      <c r="Y548" s="20" t="s">
        <v>333</v>
      </c>
      <c r="Z548" s="20" t="s">
        <v>333</v>
      </c>
      <c r="AA548" s="20" t="s">
        <v>333</v>
      </c>
      <c r="AB548" s="20" t="s">
        <v>333</v>
      </c>
      <c r="AC548" s="20"/>
      <c r="AD548" s="20" t="s">
        <v>333</v>
      </c>
      <c r="AE548" s="20" t="s">
        <v>333</v>
      </c>
      <c r="AF548" s="20" t="s">
        <v>333</v>
      </c>
      <c r="AG548" s="20" t="s">
        <v>344</v>
      </c>
      <c r="AH548" s="20" t="s">
        <v>344</v>
      </c>
      <c r="AI548" s="20" t="s">
        <v>333</v>
      </c>
      <c r="AJ548" s="20"/>
      <c r="AK548" s="20" t="s">
        <v>1244</v>
      </c>
      <c r="AL548" s="20" t="s">
        <v>1673</v>
      </c>
      <c r="AM548" s="20" t="s">
        <v>1244</v>
      </c>
      <c r="AN548" s="20" t="s">
        <v>349</v>
      </c>
      <c r="AO548" s="20"/>
      <c r="AP548" s="20" t="s">
        <v>1795</v>
      </c>
      <c r="AQ548" s="20" t="s">
        <v>1695</v>
      </c>
      <c r="AR548" s="20"/>
      <c r="AS548" s="20"/>
    </row>
    <row r="549">
      <c r="A549" s="20" t="s">
        <v>4515</v>
      </c>
      <c r="B549" s="20" t="s">
        <v>4099</v>
      </c>
      <c r="C549" s="20" t="s">
        <v>4100</v>
      </c>
      <c r="D549" s="20"/>
      <c r="E549" s="20" t="s">
        <v>49</v>
      </c>
      <c r="F549" s="20"/>
      <c r="G549" s="20" t="s">
        <v>4516</v>
      </c>
      <c r="H549" s="20" t="s">
        <v>2541</v>
      </c>
      <c r="I549" s="20" t="s">
        <v>2542</v>
      </c>
      <c r="J549" s="20" t="s">
        <v>74</v>
      </c>
      <c r="K549" s="20" t="s">
        <v>55</v>
      </c>
      <c r="L549" s="20" t="s">
        <v>56</v>
      </c>
      <c r="M549" s="20" t="s">
        <v>57</v>
      </c>
      <c r="N549" s="20" t="s">
        <v>333</v>
      </c>
      <c r="O549" s="20" t="s">
        <v>1269</v>
      </c>
      <c r="P549" s="20" t="s">
        <v>1269</v>
      </c>
      <c r="Q549" s="20" t="s">
        <v>59</v>
      </c>
      <c r="R549" s="20" t="s">
        <v>333</v>
      </c>
      <c r="S549" s="20" t="s">
        <v>333</v>
      </c>
      <c r="T549" s="20"/>
      <c r="U549" s="20"/>
      <c r="V549" s="20" t="s">
        <v>344</v>
      </c>
      <c r="W549" s="20" t="s">
        <v>333</v>
      </c>
      <c r="X549" s="20" t="s">
        <v>333</v>
      </c>
      <c r="Y549" s="20" t="s">
        <v>333</v>
      </c>
      <c r="Z549" s="20" t="s">
        <v>333</v>
      </c>
      <c r="AA549" s="20" t="s">
        <v>333</v>
      </c>
      <c r="AB549" s="20" t="s">
        <v>333</v>
      </c>
      <c r="AC549" s="20"/>
      <c r="AD549" s="20" t="s">
        <v>333</v>
      </c>
      <c r="AE549" s="20" t="s">
        <v>333</v>
      </c>
      <c r="AF549" s="20" t="s">
        <v>333</v>
      </c>
      <c r="AG549" s="20" t="s">
        <v>344</v>
      </c>
      <c r="AH549" s="20" t="s">
        <v>344</v>
      </c>
      <c r="AI549" s="20" t="s">
        <v>333</v>
      </c>
      <c r="AJ549" s="20"/>
      <c r="AK549" s="20" t="s">
        <v>1717</v>
      </c>
      <c r="AL549" s="20" t="s">
        <v>348</v>
      </c>
      <c r="AM549" s="20" t="s">
        <v>1717</v>
      </c>
      <c r="AN549" s="20" t="s">
        <v>349</v>
      </c>
      <c r="AO549" s="20"/>
      <c r="AP549" s="20" t="s">
        <v>1269</v>
      </c>
      <c r="AQ549" s="20" t="s">
        <v>1269</v>
      </c>
      <c r="AR549" s="20"/>
      <c r="AS549" s="20"/>
    </row>
    <row r="550">
      <c r="A550" s="20" t="s">
        <v>4517</v>
      </c>
      <c r="B550" s="20" t="s">
        <v>3768</v>
      </c>
      <c r="C550" s="20" t="s">
        <v>3769</v>
      </c>
      <c r="D550" s="20" t="s">
        <v>3770</v>
      </c>
      <c r="E550" s="20" t="s">
        <v>49</v>
      </c>
      <c r="F550" s="20"/>
      <c r="G550" s="20"/>
      <c r="H550" s="20" t="s">
        <v>303</v>
      </c>
      <c r="I550" s="20" t="s">
        <v>303</v>
      </c>
      <c r="J550" s="20" t="s">
        <v>74</v>
      </c>
      <c r="K550" s="20" t="s">
        <v>55</v>
      </c>
      <c r="L550" s="20" t="s">
        <v>56</v>
      </c>
      <c r="M550" s="20" t="s">
        <v>57</v>
      </c>
      <c r="N550" s="20" t="s">
        <v>333</v>
      </c>
      <c r="O550" s="20" t="s">
        <v>1736</v>
      </c>
      <c r="P550" s="20" t="s">
        <v>1795</v>
      </c>
      <c r="Q550" s="20" t="s">
        <v>59</v>
      </c>
      <c r="R550" s="20" t="s">
        <v>333</v>
      </c>
      <c r="S550" s="20" t="s">
        <v>333</v>
      </c>
      <c r="T550" s="20" t="s">
        <v>948</v>
      </c>
      <c r="U550" s="20"/>
      <c r="V550" s="20" t="s">
        <v>344</v>
      </c>
      <c r="W550" s="20" t="s">
        <v>333</v>
      </c>
      <c r="X550" s="20" t="s">
        <v>333</v>
      </c>
      <c r="Y550" s="20" t="s">
        <v>333</v>
      </c>
      <c r="Z550" s="20" t="s">
        <v>333</v>
      </c>
      <c r="AA550" s="20" t="s">
        <v>333</v>
      </c>
      <c r="AB550" s="20" t="s">
        <v>333</v>
      </c>
      <c r="AC550" s="20"/>
      <c r="AD550" s="20" t="s">
        <v>333</v>
      </c>
      <c r="AE550" s="20" t="s">
        <v>333</v>
      </c>
      <c r="AF550" s="20" t="s">
        <v>333</v>
      </c>
      <c r="AG550" s="20" t="s">
        <v>344</v>
      </c>
      <c r="AH550" s="20" t="s">
        <v>344</v>
      </c>
      <c r="AI550" s="20" t="s">
        <v>333</v>
      </c>
      <c r="AJ550" s="20"/>
      <c r="AK550" s="20" t="s">
        <v>349</v>
      </c>
      <c r="AL550" s="20" t="s">
        <v>349</v>
      </c>
      <c r="AM550" s="20" t="s">
        <v>349</v>
      </c>
      <c r="AN550" s="20" t="s">
        <v>349</v>
      </c>
      <c r="AO550" s="20"/>
      <c r="AP550" s="20" t="s">
        <v>1736</v>
      </c>
      <c r="AQ550" s="20" t="s">
        <v>1795</v>
      </c>
      <c r="AR550" s="20"/>
      <c r="AS550" s="20"/>
    </row>
    <row r="551">
      <c r="A551" s="20" t="s">
        <v>4518</v>
      </c>
      <c r="B551" s="20" t="s">
        <v>4254</v>
      </c>
      <c r="C551" s="20" t="s">
        <v>4255</v>
      </c>
      <c r="D551" s="20"/>
      <c r="E551" s="20" t="s">
        <v>49</v>
      </c>
      <c r="F551" s="20"/>
      <c r="G551" s="20"/>
      <c r="H551" s="20" t="s">
        <v>123</v>
      </c>
      <c r="I551" s="20" t="s">
        <v>124</v>
      </c>
      <c r="J551" s="20" t="s">
        <v>74</v>
      </c>
      <c r="K551" s="20" t="s">
        <v>55</v>
      </c>
      <c r="L551" s="20" t="s">
        <v>56</v>
      </c>
      <c r="M551" s="20" t="s">
        <v>57</v>
      </c>
      <c r="N551" s="20" t="s">
        <v>333</v>
      </c>
      <c r="O551" s="20" t="s">
        <v>1559</v>
      </c>
      <c r="P551" s="20" t="s">
        <v>1586</v>
      </c>
      <c r="Q551" s="20" t="s">
        <v>59</v>
      </c>
      <c r="R551" s="20" t="s">
        <v>333</v>
      </c>
      <c r="S551" s="20" t="s">
        <v>333</v>
      </c>
      <c r="T551" s="20"/>
      <c r="U551" s="20"/>
      <c r="V551" s="20" t="s">
        <v>344</v>
      </c>
      <c r="W551" s="20" t="s">
        <v>333</v>
      </c>
      <c r="X551" s="20" t="s">
        <v>333</v>
      </c>
      <c r="Y551" s="20" t="s">
        <v>333</v>
      </c>
      <c r="Z551" s="20" t="s">
        <v>333</v>
      </c>
      <c r="AA551" s="20" t="s">
        <v>333</v>
      </c>
      <c r="AB551" s="20" t="s">
        <v>333</v>
      </c>
      <c r="AC551" s="20"/>
      <c r="AD551" s="20" t="s">
        <v>333</v>
      </c>
      <c r="AE551" s="20" t="s">
        <v>333</v>
      </c>
      <c r="AF551" s="20" t="s">
        <v>333</v>
      </c>
      <c r="AG551" s="20" t="s">
        <v>344</v>
      </c>
      <c r="AH551" s="20" t="s">
        <v>344</v>
      </c>
      <c r="AI551" s="20" t="s">
        <v>333</v>
      </c>
      <c r="AJ551" s="20"/>
      <c r="AK551" s="20" t="s">
        <v>1244</v>
      </c>
      <c r="AL551" s="20" t="s">
        <v>1245</v>
      </c>
      <c r="AM551" s="20" t="s">
        <v>1244</v>
      </c>
      <c r="AN551" s="20" t="s">
        <v>349</v>
      </c>
      <c r="AO551" s="20"/>
      <c r="AP551" s="20" t="s">
        <v>1559</v>
      </c>
      <c r="AQ551" s="20" t="s">
        <v>1586</v>
      </c>
      <c r="AR551" s="20"/>
      <c r="AS551" s="20"/>
    </row>
    <row r="552">
      <c r="A552" s="20" t="s">
        <v>4519</v>
      </c>
      <c r="B552" s="20" t="s">
        <v>4055</v>
      </c>
      <c r="C552" s="20" t="s">
        <v>4056</v>
      </c>
      <c r="D552" s="20"/>
      <c r="E552" s="20" t="s">
        <v>49</v>
      </c>
      <c r="F552" s="20"/>
      <c r="G552" s="20"/>
      <c r="H552" s="20" t="s">
        <v>303</v>
      </c>
      <c r="I552" s="20" t="s">
        <v>303</v>
      </c>
      <c r="J552" s="20" t="s">
        <v>74</v>
      </c>
      <c r="K552" s="20" t="s">
        <v>55</v>
      </c>
      <c r="L552" s="20" t="s">
        <v>56</v>
      </c>
      <c r="M552" s="20" t="s">
        <v>57</v>
      </c>
      <c r="N552" s="20" t="s">
        <v>333</v>
      </c>
      <c r="O552" s="20" t="s">
        <v>1576</v>
      </c>
      <c r="P552" s="20" t="s">
        <v>1239</v>
      </c>
      <c r="Q552" s="20" t="s">
        <v>59</v>
      </c>
      <c r="R552" s="20" t="s">
        <v>333</v>
      </c>
      <c r="S552" s="20" t="s">
        <v>333</v>
      </c>
      <c r="T552" s="20"/>
      <c r="U552" s="20"/>
      <c r="V552" s="20" t="s">
        <v>344</v>
      </c>
      <c r="W552" s="20" t="s">
        <v>333</v>
      </c>
      <c r="X552" s="20" t="s">
        <v>333</v>
      </c>
      <c r="Y552" s="20" t="s">
        <v>333</v>
      </c>
      <c r="Z552" s="20" t="s">
        <v>333</v>
      </c>
      <c r="AA552" s="20" t="s">
        <v>333</v>
      </c>
      <c r="AB552" s="20" t="s">
        <v>333</v>
      </c>
      <c r="AC552" s="20"/>
      <c r="AD552" s="20" t="s">
        <v>333</v>
      </c>
      <c r="AE552" s="20" t="s">
        <v>333</v>
      </c>
      <c r="AF552" s="20" t="s">
        <v>333</v>
      </c>
      <c r="AG552" s="20" t="s">
        <v>344</v>
      </c>
      <c r="AH552" s="20" t="s">
        <v>344</v>
      </c>
      <c r="AI552" s="20" t="s">
        <v>333</v>
      </c>
      <c r="AJ552" s="20"/>
      <c r="AK552" s="20" t="s">
        <v>1717</v>
      </c>
      <c r="AL552" s="20" t="s">
        <v>1673</v>
      </c>
      <c r="AM552" s="20" t="s">
        <v>1717</v>
      </c>
      <c r="AN552" s="20" t="s">
        <v>349</v>
      </c>
      <c r="AO552" s="20"/>
      <c r="AP552" s="20" t="s">
        <v>1576</v>
      </c>
      <c r="AQ552" s="20" t="s">
        <v>1239</v>
      </c>
      <c r="AR552" s="20"/>
      <c r="AS552" s="20"/>
    </row>
    <row r="553">
      <c r="A553" s="20" t="s">
        <v>4520</v>
      </c>
      <c r="B553" s="20" t="s">
        <v>2835</v>
      </c>
      <c r="C553" s="20" t="s">
        <v>2836</v>
      </c>
      <c r="D553" s="20" t="s">
        <v>2837</v>
      </c>
      <c r="E553" s="20" t="s">
        <v>49</v>
      </c>
      <c r="F553" s="20"/>
      <c r="G553" s="20"/>
      <c r="H553" s="20" t="s">
        <v>2251</v>
      </c>
      <c r="I553" s="20" t="s">
        <v>2252</v>
      </c>
      <c r="J553" s="20" t="s">
        <v>74</v>
      </c>
      <c r="K553" s="20" t="s">
        <v>55</v>
      </c>
      <c r="L553" s="20" t="s">
        <v>56</v>
      </c>
      <c r="M553" s="20" t="s">
        <v>57</v>
      </c>
      <c r="N553" s="20" t="s">
        <v>333</v>
      </c>
      <c r="O553" s="20" t="s">
        <v>1720</v>
      </c>
      <c r="P553" s="20"/>
      <c r="Q553" s="20" t="s">
        <v>59</v>
      </c>
      <c r="R553" s="20" t="s">
        <v>333</v>
      </c>
      <c r="S553" s="20" t="s">
        <v>333</v>
      </c>
      <c r="T553" s="20" t="s">
        <v>275</v>
      </c>
      <c r="U553" s="20"/>
      <c r="V553" s="20" t="s">
        <v>344</v>
      </c>
      <c r="W553" s="20" t="s">
        <v>333</v>
      </c>
      <c r="X553" s="20" t="s">
        <v>333</v>
      </c>
      <c r="Y553" s="20" t="s">
        <v>333</v>
      </c>
      <c r="Z553" s="20" t="s">
        <v>333</v>
      </c>
      <c r="AA553" s="20" t="s">
        <v>333</v>
      </c>
      <c r="AB553" s="20" t="s">
        <v>333</v>
      </c>
      <c r="AC553" s="20"/>
      <c r="AD553" s="20" t="s">
        <v>333</v>
      </c>
      <c r="AE553" s="20" t="s">
        <v>333</v>
      </c>
      <c r="AF553" s="20" t="s">
        <v>333</v>
      </c>
      <c r="AG553" s="20" t="s">
        <v>344</v>
      </c>
      <c r="AH553" s="20" t="s">
        <v>344</v>
      </c>
      <c r="AI553" s="20" t="s">
        <v>333</v>
      </c>
      <c r="AJ553" s="20"/>
      <c r="AK553" s="20" t="s">
        <v>1244</v>
      </c>
      <c r="AL553" s="20" t="s">
        <v>1556</v>
      </c>
      <c r="AM553" s="20" t="s">
        <v>1244</v>
      </c>
      <c r="AN553" s="20" t="s">
        <v>349</v>
      </c>
      <c r="AO553" s="20"/>
      <c r="AP553" s="20" t="s">
        <v>1720</v>
      </c>
      <c r="AQ553" s="20" t="s">
        <v>349</v>
      </c>
      <c r="AR553" s="20"/>
      <c r="AS553" s="20"/>
    </row>
    <row r="554">
      <c r="A554" s="20" t="s">
        <v>4521</v>
      </c>
      <c r="B554" s="20" t="s">
        <v>2028</v>
      </c>
      <c r="C554" s="20" t="s">
        <v>2030</v>
      </c>
      <c r="D554" s="20" t="s">
        <v>2031</v>
      </c>
      <c r="E554" s="20" t="s">
        <v>49</v>
      </c>
      <c r="F554" s="20"/>
      <c r="G554" s="20"/>
      <c r="H554" s="20" t="s">
        <v>123</v>
      </c>
      <c r="I554" s="20" t="s">
        <v>124</v>
      </c>
      <c r="J554" s="20" t="s">
        <v>74</v>
      </c>
      <c r="K554" s="20" t="s">
        <v>55</v>
      </c>
      <c r="L554" s="20" t="s">
        <v>56</v>
      </c>
      <c r="M554" s="20" t="s">
        <v>57</v>
      </c>
      <c r="N554" s="20" t="s">
        <v>333</v>
      </c>
      <c r="O554" s="20" t="s">
        <v>4522</v>
      </c>
      <c r="P554" s="20" t="s">
        <v>1591</v>
      </c>
      <c r="Q554" s="20" t="s">
        <v>59</v>
      </c>
      <c r="R554" s="20" t="s">
        <v>333</v>
      </c>
      <c r="S554" s="20" t="s">
        <v>333</v>
      </c>
      <c r="T554" s="20" t="s">
        <v>4523</v>
      </c>
      <c r="U554" s="20" t="s">
        <v>275</v>
      </c>
      <c r="V554" s="20" t="s">
        <v>344</v>
      </c>
      <c r="W554" s="20" t="s">
        <v>333</v>
      </c>
      <c r="X554" s="20" t="s">
        <v>333</v>
      </c>
      <c r="Y554" s="20" t="s">
        <v>333</v>
      </c>
      <c r="Z554" s="20" t="s">
        <v>333</v>
      </c>
      <c r="AA554" s="20" t="s">
        <v>333</v>
      </c>
      <c r="AB554" s="20" t="s">
        <v>333</v>
      </c>
      <c r="AC554" s="20"/>
      <c r="AD554" s="20" t="s">
        <v>333</v>
      </c>
      <c r="AE554" s="20" t="s">
        <v>344</v>
      </c>
      <c r="AF554" s="20" t="s">
        <v>333</v>
      </c>
      <c r="AG554" s="20" t="s">
        <v>344</v>
      </c>
      <c r="AH554" s="20" t="s">
        <v>344</v>
      </c>
      <c r="AI554" s="20" t="s">
        <v>333</v>
      </c>
      <c r="AJ554" s="20"/>
      <c r="AK554" s="20" t="s">
        <v>347</v>
      </c>
      <c r="AL554" s="20" t="s">
        <v>2287</v>
      </c>
      <c r="AM554" s="20" t="s">
        <v>347</v>
      </c>
      <c r="AN554" s="20" t="s">
        <v>349</v>
      </c>
      <c r="AO554" s="20"/>
      <c r="AP554" s="20" t="s">
        <v>4522</v>
      </c>
      <c r="AQ554" s="20" t="s">
        <v>1591</v>
      </c>
      <c r="AR554" s="20"/>
      <c r="AS554" s="20"/>
    </row>
    <row r="555">
      <c r="A555" s="20" t="s">
        <v>4524</v>
      </c>
      <c r="B555" s="20" t="s">
        <v>3632</v>
      </c>
      <c r="C555" s="20" t="s">
        <v>3633</v>
      </c>
      <c r="D555" s="20"/>
      <c r="E555" s="20" t="s">
        <v>49</v>
      </c>
      <c r="F555" s="20"/>
      <c r="G555" s="20"/>
      <c r="H555" s="20" t="s">
        <v>123</v>
      </c>
      <c r="I555" s="20" t="s">
        <v>124</v>
      </c>
      <c r="J555" s="20" t="s">
        <v>74</v>
      </c>
      <c r="K555" s="20" t="s">
        <v>55</v>
      </c>
      <c r="L555" s="20" t="s">
        <v>56</v>
      </c>
      <c r="M555" s="20" t="s">
        <v>57</v>
      </c>
      <c r="N555" s="20" t="s">
        <v>333</v>
      </c>
      <c r="O555" s="20" t="s">
        <v>1564</v>
      </c>
      <c r="P555" s="20" t="s">
        <v>1586</v>
      </c>
      <c r="Q555" s="20" t="s">
        <v>59</v>
      </c>
      <c r="R555" s="20" t="s">
        <v>333</v>
      </c>
      <c r="S555" s="20" t="s">
        <v>333</v>
      </c>
      <c r="T555" s="20"/>
      <c r="U555" s="20"/>
      <c r="V555" s="20" t="s">
        <v>344</v>
      </c>
      <c r="W555" s="20" t="s">
        <v>333</v>
      </c>
      <c r="X555" s="20" t="s">
        <v>333</v>
      </c>
      <c r="Y555" s="20" t="s">
        <v>333</v>
      </c>
      <c r="Z555" s="20" t="s">
        <v>333</v>
      </c>
      <c r="AA555" s="20" t="s">
        <v>333</v>
      </c>
      <c r="AB555" s="20" t="s">
        <v>333</v>
      </c>
      <c r="AC555" s="20"/>
      <c r="AD555" s="20" t="s">
        <v>333</v>
      </c>
      <c r="AE555" s="20" t="s">
        <v>333</v>
      </c>
      <c r="AF555" s="20" t="s">
        <v>333</v>
      </c>
      <c r="AG555" s="20" t="s">
        <v>344</v>
      </c>
      <c r="AH555" s="20" t="s">
        <v>344</v>
      </c>
      <c r="AI555" s="20" t="s">
        <v>333</v>
      </c>
      <c r="AJ555" s="20"/>
      <c r="AK555" s="20" t="s">
        <v>4416</v>
      </c>
      <c r="AL555" s="20" t="s">
        <v>1586</v>
      </c>
      <c r="AM555" s="20" t="s">
        <v>4416</v>
      </c>
      <c r="AN555" s="20" t="s">
        <v>349</v>
      </c>
      <c r="AO555" s="20"/>
      <c r="AP555" s="20" t="s">
        <v>1564</v>
      </c>
      <c r="AQ555" s="20" t="s">
        <v>1586</v>
      </c>
      <c r="AR555" s="20"/>
      <c r="AS555" s="20"/>
    </row>
    <row r="556">
      <c r="A556" s="20" t="s">
        <v>4525</v>
      </c>
      <c r="B556" s="20" t="s">
        <v>4526</v>
      </c>
      <c r="C556" s="20" t="s">
        <v>4527</v>
      </c>
      <c r="D556" s="20"/>
      <c r="E556" s="20" t="s">
        <v>49</v>
      </c>
      <c r="F556" s="20"/>
      <c r="G556" s="20"/>
      <c r="H556" s="20" t="s">
        <v>3532</v>
      </c>
      <c r="I556" s="20" t="s">
        <v>377</v>
      </c>
      <c r="J556" s="20" t="s">
        <v>74</v>
      </c>
      <c r="K556" s="20" t="s">
        <v>55</v>
      </c>
      <c r="L556" s="20" t="s">
        <v>56</v>
      </c>
      <c r="M556" s="20" t="s">
        <v>57</v>
      </c>
      <c r="N556" s="20" t="s">
        <v>333</v>
      </c>
      <c r="O556" s="20" t="s">
        <v>1269</v>
      </c>
      <c r="P556" s="20" t="s">
        <v>2109</v>
      </c>
      <c r="Q556" s="20" t="s">
        <v>59</v>
      </c>
      <c r="R556" s="20" t="s">
        <v>333</v>
      </c>
      <c r="S556" s="20" t="s">
        <v>333</v>
      </c>
      <c r="T556" s="20"/>
      <c r="U556" s="20"/>
      <c r="V556" s="20" t="s">
        <v>344</v>
      </c>
      <c r="W556" s="20" t="s">
        <v>333</v>
      </c>
      <c r="X556" s="20" t="s">
        <v>333</v>
      </c>
      <c r="Y556" s="20" t="s">
        <v>333</v>
      </c>
      <c r="Z556" s="20" t="s">
        <v>333</v>
      </c>
      <c r="AA556" s="20" t="s">
        <v>333</v>
      </c>
      <c r="AB556" s="20" t="s">
        <v>333</v>
      </c>
      <c r="AC556" s="20"/>
      <c r="AD556" s="20" t="s">
        <v>333</v>
      </c>
      <c r="AE556" s="20" t="s">
        <v>333</v>
      </c>
      <c r="AF556" s="20" t="s">
        <v>333</v>
      </c>
      <c r="AG556" s="20" t="s">
        <v>344</v>
      </c>
      <c r="AH556" s="20" t="s">
        <v>344</v>
      </c>
      <c r="AI556" s="20" t="s">
        <v>333</v>
      </c>
      <c r="AJ556" s="20"/>
      <c r="AK556" s="20" t="s">
        <v>1596</v>
      </c>
      <c r="AL556" s="20" t="s">
        <v>1673</v>
      </c>
      <c r="AM556" s="20" t="s">
        <v>1596</v>
      </c>
      <c r="AN556" s="20" t="s">
        <v>349</v>
      </c>
      <c r="AO556" s="20"/>
      <c r="AP556" s="20" t="s">
        <v>1269</v>
      </c>
      <c r="AQ556" s="20" t="s">
        <v>2109</v>
      </c>
      <c r="AR556" s="20"/>
      <c r="AS556" s="20"/>
    </row>
    <row r="557">
      <c r="A557" s="20" t="s">
        <v>4528</v>
      </c>
      <c r="B557" s="20" t="s">
        <v>3619</v>
      </c>
      <c r="C557" s="20" t="s">
        <v>3620</v>
      </c>
      <c r="D557" s="20"/>
      <c r="E557" s="20" t="s">
        <v>49</v>
      </c>
      <c r="F557" s="20"/>
      <c r="G557" s="20" t="s">
        <v>4529</v>
      </c>
      <c r="H557" s="20" t="s">
        <v>570</v>
      </c>
      <c r="I557" s="20" t="s">
        <v>571</v>
      </c>
      <c r="J557" s="20" t="s">
        <v>571</v>
      </c>
      <c r="K557" s="20" t="s">
        <v>55</v>
      </c>
      <c r="L557" s="20" t="s">
        <v>56</v>
      </c>
      <c r="M557" s="20" t="s">
        <v>57</v>
      </c>
      <c r="N557" s="20" t="s">
        <v>333</v>
      </c>
      <c r="O557" s="20" t="s">
        <v>1717</v>
      </c>
      <c r="P557" s="20" t="s">
        <v>1596</v>
      </c>
      <c r="Q557" s="20" t="s">
        <v>59</v>
      </c>
      <c r="R557" s="20" t="s">
        <v>333</v>
      </c>
      <c r="S557" s="20" t="s">
        <v>333</v>
      </c>
      <c r="T557" s="20"/>
      <c r="U557" s="20"/>
      <c r="V557" s="20" t="s">
        <v>344</v>
      </c>
      <c r="W557" s="20" t="s">
        <v>333</v>
      </c>
      <c r="X557" s="20" t="s">
        <v>333</v>
      </c>
      <c r="Y557" s="20" t="s">
        <v>333</v>
      </c>
      <c r="Z557" s="20" t="s">
        <v>333</v>
      </c>
      <c r="AA557" s="20" t="s">
        <v>333</v>
      </c>
      <c r="AB557" s="20" t="s">
        <v>333</v>
      </c>
      <c r="AC557" s="20"/>
      <c r="AD557" s="20" t="s">
        <v>333</v>
      </c>
      <c r="AE557" s="20" t="s">
        <v>333</v>
      </c>
      <c r="AF557" s="20" t="s">
        <v>333</v>
      </c>
      <c r="AG557" s="20" t="s">
        <v>344</v>
      </c>
      <c r="AH557" s="20" t="s">
        <v>344</v>
      </c>
      <c r="AI557" s="20" t="s">
        <v>333</v>
      </c>
      <c r="AJ557" s="20"/>
      <c r="AK557" s="20" t="s">
        <v>347</v>
      </c>
      <c r="AL557" s="20" t="s">
        <v>1556</v>
      </c>
      <c r="AM557" s="20" t="s">
        <v>347</v>
      </c>
      <c r="AN557" s="20" t="s">
        <v>349</v>
      </c>
      <c r="AO557" s="20"/>
      <c r="AP557" s="20" t="s">
        <v>1717</v>
      </c>
      <c r="AQ557" s="20" t="s">
        <v>1596</v>
      </c>
      <c r="AR557" s="20"/>
      <c r="AS557" s="20"/>
    </row>
    <row r="558">
      <c r="A558" s="20" t="s">
        <v>4530</v>
      </c>
      <c r="B558" s="20" t="s">
        <v>4531</v>
      </c>
      <c r="C558" s="20" t="s">
        <v>3528</v>
      </c>
      <c r="D558" s="20"/>
      <c r="E558" s="20" t="s">
        <v>49</v>
      </c>
      <c r="F558" s="20"/>
      <c r="G558" s="20"/>
      <c r="H558" s="20" t="s">
        <v>3532</v>
      </c>
      <c r="I558" s="20" t="s">
        <v>377</v>
      </c>
      <c r="J558" s="20" t="s">
        <v>74</v>
      </c>
      <c r="K558" s="20" t="s">
        <v>55</v>
      </c>
      <c r="L558" s="20" t="s">
        <v>56</v>
      </c>
      <c r="M558" s="20" t="s">
        <v>57</v>
      </c>
      <c r="N558" s="20" t="s">
        <v>333</v>
      </c>
      <c r="O558" s="20"/>
      <c r="P558" s="20"/>
      <c r="Q558" s="20" t="s">
        <v>59</v>
      </c>
      <c r="R558" s="20" t="s">
        <v>333</v>
      </c>
      <c r="S558" s="20" t="s">
        <v>333</v>
      </c>
      <c r="T558" s="20"/>
      <c r="U558" s="20"/>
      <c r="V558" s="20" t="s">
        <v>344</v>
      </c>
      <c r="W558" s="20" t="s">
        <v>333</v>
      </c>
      <c r="X558" s="20" t="s">
        <v>333</v>
      </c>
      <c r="Y558" s="20" t="s">
        <v>333</v>
      </c>
      <c r="Z558" s="20" t="s">
        <v>333</v>
      </c>
      <c r="AA558" s="20" t="s">
        <v>333</v>
      </c>
      <c r="AB558" s="20" t="s">
        <v>333</v>
      </c>
      <c r="AC558" s="20"/>
      <c r="AD558" s="20" t="s">
        <v>333</v>
      </c>
      <c r="AE558" s="20" t="s">
        <v>333</v>
      </c>
      <c r="AF558" s="20" t="s">
        <v>333</v>
      </c>
      <c r="AG558" s="20" t="s">
        <v>344</v>
      </c>
      <c r="AH558" s="20" t="s">
        <v>344</v>
      </c>
      <c r="AI558" s="20" t="s">
        <v>333</v>
      </c>
      <c r="AJ558" s="20"/>
      <c r="AK558" s="20" t="s">
        <v>349</v>
      </c>
      <c r="AL558" s="20" t="s">
        <v>349</v>
      </c>
      <c r="AM558" s="20" t="s">
        <v>349</v>
      </c>
      <c r="AN558" s="20" t="s">
        <v>349</v>
      </c>
      <c r="AO558" s="20"/>
      <c r="AP558" s="20" t="s">
        <v>349</v>
      </c>
      <c r="AQ558" s="20" t="s">
        <v>349</v>
      </c>
      <c r="AR558" s="20"/>
      <c r="AS558" s="20"/>
    </row>
    <row r="559">
      <c r="A559" s="20" t="s">
        <v>4532</v>
      </c>
      <c r="B559" s="20" t="s">
        <v>3218</v>
      </c>
      <c r="C559" s="20" t="s">
        <v>3219</v>
      </c>
      <c r="D559" s="20"/>
      <c r="E559" s="20" t="s">
        <v>49</v>
      </c>
      <c r="F559" s="20"/>
      <c r="G559" s="20" t="s">
        <v>4533</v>
      </c>
      <c r="H559" s="20" t="s">
        <v>586</v>
      </c>
      <c r="I559" s="20" t="s">
        <v>587</v>
      </c>
      <c r="J559" s="20" t="s">
        <v>74</v>
      </c>
      <c r="K559" s="20" t="s">
        <v>55</v>
      </c>
      <c r="L559" s="20" t="s">
        <v>56</v>
      </c>
      <c r="M559" s="20" t="s">
        <v>57</v>
      </c>
      <c r="N559" s="20" t="s">
        <v>333</v>
      </c>
      <c r="O559" s="20" t="s">
        <v>1682</v>
      </c>
      <c r="P559" s="20" t="s">
        <v>1556</v>
      </c>
      <c r="Q559" s="20" t="s">
        <v>59</v>
      </c>
      <c r="R559" s="20" t="s">
        <v>333</v>
      </c>
      <c r="S559" s="20" t="s">
        <v>333</v>
      </c>
      <c r="T559" s="20"/>
      <c r="U559" s="20"/>
      <c r="V559" s="20" t="s">
        <v>344</v>
      </c>
      <c r="W559" s="20" t="s">
        <v>333</v>
      </c>
      <c r="X559" s="20" t="s">
        <v>333</v>
      </c>
      <c r="Y559" s="20" t="s">
        <v>333</v>
      </c>
      <c r="Z559" s="20" t="s">
        <v>333</v>
      </c>
      <c r="AA559" s="20" t="s">
        <v>333</v>
      </c>
      <c r="AB559" s="20" t="s">
        <v>333</v>
      </c>
      <c r="AC559" s="20"/>
      <c r="AD559" s="20" t="s">
        <v>333</v>
      </c>
      <c r="AE559" s="20" t="s">
        <v>333</v>
      </c>
      <c r="AF559" s="20" t="s">
        <v>333</v>
      </c>
      <c r="AG559" s="20" t="s">
        <v>344</v>
      </c>
      <c r="AH559" s="20" t="s">
        <v>344</v>
      </c>
      <c r="AI559" s="20" t="s">
        <v>333</v>
      </c>
      <c r="AJ559" s="20"/>
      <c r="AK559" s="20" t="s">
        <v>1596</v>
      </c>
      <c r="AL559" s="20" t="s">
        <v>348</v>
      </c>
      <c r="AM559" s="20" t="s">
        <v>1596</v>
      </c>
      <c r="AN559" s="20" t="s">
        <v>349</v>
      </c>
      <c r="AO559" s="20"/>
      <c r="AP559" s="20" t="s">
        <v>1682</v>
      </c>
      <c r="AQ559" s="20" t="s">
        <v>1556</v>
      </c>
      <c r="AR559" s="20"/>
      <c r="AS559" s="20"/>
    </row>
    <row r="560">
      <c r="A560" s="32" t="s">
        <v>4534</v>
      </c>
      <c r="B560" s="32" t="s">
        <v>3854</v>
      </c>
      <c r="C560" s="32" t="s">
        <v>3856</v>
      </c>
      <c r="D560" s="48" t="s">
        <v>4535</v>
      </c>
      <c r="E560" s="32" t="s">
        <v>49</v>
      </c>
      <c r="F560" s="32" t="s">
        <v>4536</v>
      </c>
      <c r="G560" s="32" t="s">
        <v>4537</v>
      </c>
      <c r="H560" s="32" t="s">
        <v>123</v>
      </c>
      <c r="I560" s="32" t="s">
        <v>124</v>
      </c>
      <c r="J560" s="32" t="s">
        <v>74</v>
      </c>
      <c r="K560" s="32" t="s">
        <v>55</v>
      </c>
      <c r="L560" s="32" t="s">
        <v>56</v>
      </c>
      <c r="M560" s="32" t="s">
        <v>57</v>
      </c>
      <c r="N560" s="32" t="s">
        <v>333</v>
      </c>
      <c r="O560" s="32" t="s">
        <v>1586</v>
      </c>
      <c r="P560" s="32" t="s">
        <v>1941</v>
      </c>
      <c r="Q560" s="32" t="s">
        <v>59</v>
      </c>
      <c r="R560" s="32" t="s">
        <v>333</v>
      </c>
      <c r="S560" s="32" t="s">
        <v>333</v>
      </c>
      <c r="T560" s="32"/>
      <c r="U560" s="32"/>
      <c r="V560" s="32" t="s">
        <v>344</v>
      </c>
      <c r="W560" s="32" t="s">
        <v>333</v>
      </c>
      <c r="X560" s="32" t="s">
        <v>333</v>
      </c>
      <c r="Y560" s="32" t="s">
        <v>333</v>
      </c>
      <c r="Z560" s="32" t="s">
        <v>333</v>
      </c>
      <c r="AA560" s="32" t="s">
        <v>333</v>
      </c>
      <c r="AB560" s="32" t="s">
        <v>333</v>
      </c>
      <c r="AC560" s="32"/>
      <c r="AD560" s="32" t="s">
        <v>333</v>
      </c>
      <c r="AE560" s="32" t="s">
        <v>333</v>
      </c>
      <c r="AF560" s="32" t="s">
        <v>333</v>
      </c>
      <c r="AG560" s="32" t="s">
        <v>344</v>
      </c>
      <c r="AH560" s="32" t="s">
        <v>344</v>
      </c>
      <c r="AI560" s="32" t="s">
        <v>333</v>
      </c>
      <c r="AJ560" s="32"/>
      <c r="AK560" s="32" t="s">
        <v>1244</v>
      </c>
      <c r="AL560" s="32" t="s">
        <v>1269</v>
      </c>
      <c r="AM560" s="32" t="s">
        <v>1244</v>
      </c>
      <c r="AN560" s="32" t="s">
        <v>349</v>
      </c>
      <c r="AO560" s="32"/>
      <c r="AP560" s="32" t="s">
        <v>1586</v>
      </c>
      <c r="AQ560" s="32" t="s">
        <v>1941</v>
      </c>
      <c r="AR560" s="21" t="s">
        <v>1931</v>
      </c>
      <c r="AS560" s="21">
        <v>2.0</v>
      </c>
    </row>
    <row r="561">
      <c r="A561" s="20" t="s">
        <v>4538</v>
      </c>
      <c r="B561" s="20" t="s">
        <v>2628</v>
      </c>
      <c r="C561" s="20" t="s">
        <v>2629</v>
      </c>
      <c r="D561" s="20"/>
      <c r="E561" s="20" t="s">
        <v>49</v>
      </c>
      <c r="F561" s="20"/>
      <c r="G561" s="20"/>
      <c r="H561" s="20" t="s">
        <v>72</v>
      </c>
      <c r="I561" s="20" t="s">
        <v>73</v>
      </c>
      <c r="J561" s="20" t="s">
        <v>74</v>
      </c>
      <c r="K561" s="20" t="s">
        <v>55</v>
      </c>
      <c r="L561" s="20" t="s">
        <v>56</v>
      </c>
      <c r="M561" s="20" t="s">
        <v>57</v>
      </c>
      <c r="N561" s="20" t="s">
        <v>333</v>
      </c>
      <c r="O561" s="20" t="s">
        <v>1586</v>
      </c>
      <c r="P561" s="20" t="s">
        <v>2006</v>
      </c>
      <c r="Q561" s="20" t="s">
        <v>59</v>
      </c>
      <c r="R561" s="20" t="s">
        <v>333</v>
      </c>
      <c r="S561" s="20" t="s">
        <v>333</v>
      </c>
      <c r="T561" s="20"/>
      <c r="U561" s="20"/>
      <c r="V561" s="20" t="s">
        <v>344</v>
      </c>
      <c r="W561" s="20" t="s">
        <v>333</v>
      </c>
      <c r="X561" s="20" t="s">
        <v>333</v>
      </c>
      <c r="Y561" s="20" t="s">
        <v>333</v>
      </c>
      <c r="Z561" s="20" t="s">
        <v>333</v>
      </c>
      <c r="AA561" s="20" t="s">
        <v>333</v>
      </c>
      <c r="AB561" s="20" t="s">
        <v>333</v>
      </c>
      <c r="AC561" s="20"/>
      <c r="AD561" s="20" t="s">
        <v>333</v>
      </c>
      <c r="AE561" s="20" t="s">
        <v>333</v>
      </c>
      <c r="AF561" s="20" t="s">
        <v>333</v>
      </c>
      <c r="AG561" s="20" t="s">
        <v>344</v>
      </c>
      <c r="AH561" s="20" t="s">
        <v>344</v>
      </c>
      <c r="AI561" s="20" t="s">
        <v>333</v>
      </c>
      <c r="AJ561" s="20"/>
      <c r="AK561" s="20" t="s">
        <v>1244</v>
      </c>
      <c r="AL561" s="20" t="s">
        <v>1673</v>
      </c>
      <c r="AM561" s="20" t="s">
        <v>1244</v>
      </c>
      <c r="AN561" s="20" t="s">
        <v>349</v>
      </c>
      <c r="AO561" s="20"/>
      <c r="AP561" s="20" t="s">
        <v>1586</v>
      </c>
      <c r="AQ561" s="20" t="s">
        <v>2006</v>
      </c>
      <c r="AR561" s="20"/>
      <c r="AS561" s="20"/>
    </row>
    <row r="562">
      <c r="A562" s="20" t="s">
        <v>4539</v>
      </c>
      <c r="B562" s="20" t="s">
        <v>3842</v>
      </c>
      <c r="C562" s="20" t="s">
        <v>3843</v>
      </c>
      <c r="D562" s="20"/>
      <c r="E562" s="20" t="s">
        <v>49</v>
      </c>
      <c r="F562" s="20"/>
      <c r="G562" s="20"/>
      <c r="H562" s="20" t="s">
        <v>72</v>
      </c>
      <c r="I562" s="20" t="s">
        <v>73</v>
      </c>
      <c r="J562" s="20" t="s">
        <v>74</v>
      </c>
      <c r="K562" s="20" t="s">
        <v>55</v>
      </c>
      <c r="L562" s="20" t="s">
        <v>56</v>
      </c>
      <c r="M562" s="20" t="s">
        <v>57</v>
      </c>
      <c r="N562" s="20" t="s">
        <v>333</v>
      </c>
      <c r="O562" s="20" t="s">
        <v>1556</v>
      </c>
      <c r="P562" s="20" t="s">
        <v>1920</v>
      </c>
      <c r="Q562" s="20" t="s">
        <v>59</v>
      </c>
      <c r="R562" s="20" t="s">
        <v>333</v>
      </c>
      <c r="S562" s="20" t="s">
        <v>333</v>
      </c>
      <c r="T562" s="20"/>
      <c r="U562" s="20"/>
      <c r="V562" s="20" t="s">
        <v>344</v>
      </c>
      <c r="W562" s="20" t="s">
        <v>333</v>
      </c>
      <c r="X562" s="20" t="s">
        <v>333</v>
      </c>
      <c r="Y562" s="20" t="s">
        <v>333</v>
      </c>
      <c r="Z562" s="20" t="s">
        <v>333</v>
      </c>
      <c r="AA562" s="20" t="s">
        <v>333</v>
      </c>
      <c r="AB562" s="20" t="s">
        <v>333</v>
      </c>
      <c r="AC562" s="20"/>
      <c r="AD562" s="20" t="s">
        <v>333</v>
      </c>
      <c r="AE562" s="20" t="s">
        <v>333</v>
      </c>
      <c r="AF562" s="20" t="s">
        <v>333</v>
      </c>
      <c r="AG562" s="20" t="s">
        <v>344</v>
      </c>
      <c r="AH562" s="20" t="s">
        <v>344</v>
      </c>
      <c r="AI562" s="20" t="s">
        <v>333</v>
      </c>
      <c r="AJ562" s="20"/>
      <c r="AK562" s="20" t="s">
        <v>1244</v>
      </c>
      <c r="AL562" s="20" t="s">
        <v>1673</v>
      </c>
      <c r="AM562" s="20" t="s">
        <v>1244</v>
      </c>
      <c r="AN562" s="20" t="s">
        <v>349</v>
      </c>
      <c r="AO562" s="20"/>
      <c r="AP562" s="20" t="s">
        <v>1556</v>
      </c>
      <c r="AQ562" s="20" t="s">
        <v>1920</v>
      </c>
      <c r="AR562" s="20"/>
      <c r="AS562" s="20"/>
    </row>
    <row r="563">
      <c r="A563" s="20" t="s">
        <v>4540</v>
      </c>
      <c r="B563" s="20" t="s">
        <v>1187</v>
      </c>
      <c r="C563" s="20" t="s">
        <v>1188</v>
      </c>
      <c r="D563" s="20"/>
      <c r="E563" s="20" t="s">
        <v>49</v>
      </c>
      <c r="F563" s="20"/>
      <c r="G563" s="20"/>
      <c r="H563" s="20" t="s">
        <v>1000</v>
      </c>
      <c r="I563" s="20" t="s">
        <v>1001</v>
      </c>
      <c r="J563" s="20" t="s">
        <v>1001</v>
      </c>
      <c r="K563" s="20" t="s">
        <v>55</v>
      </c>
      <c r="L563" s="20" t="s">
        <v>56</v>
      </c>
      <c r="M563" s="20" t="s">
        <v>57</v>
      </c>
      <c r="N563" s="20" t="s">
        <v>333</v>
      </c>
      <c r="O563" s="20" t="s">
        <v>3728</v>
      </c>
      <c r="P563" s="20" t="s">
        <v>4541</v>
      </c>
      <c r="Q563" s="20" t="s">
        <v>59</v>
      </c>
      <c r="R563" s="20" t="s">
        <v>333</v>
      </c>
      <c r="S563" s="20" t="s">
        <v>333</v>
      </c>
      <c r="T563" s="20"/>
      <c r="U563" s="20"/>
      <c r="V563" s="20" t="s">
        <v>344</v>
      </c>
      <c r="W563" s="20" t="s">
        <v>333</v>
      </c>
      <c r="X563" s="20" t="s">
        <v>333</v>
      </c>
      <c r="Y563" s="20" t="s">
        <v>333</v>
      </c>
      <c r="Z563" s="20" t="s">
        <v>333</v>
      </c>
      <c r="AA563" s="20" t="s">
        <v>333</v>
      </c>
      <c r="AB563" s="20" t="s">
        <v>333</v>
      </c>
      <c r="AC563" s="20"/>
      <c r="AD563" s="20" t="s">
        <v>333</v>
      </c>
      <c r="AE563" s="20" t="s">
        <v>333</v>
      </c>
      <c r="AF563" s="20" t="s">
        <v>333</v>
      </c>
      <c r="AG563" s="20" t="s">
        <v>344</v>
      </c>
      <c r="AH563" s="20" t="s">
        <v>344</v>
      </c>
      <c r="AI563" s="20" t="s">
        <v>333</v>
      </c>
      <c r="AJ563" s="20"/>
      <c r="AK563" s="20" t="s">
        <v>347</v>
      </c>
      <c r="AL563" s="20" t="s">
        <v>1245</v>
      </c>
      <c r="AM563" s="20" t="s">
        <v>347</v>
      </c>
      <c r="AN563" s="20" t="s">
        <v>349</v>
      </c>
      <c r="AO563" s="20"/>
      <c r="AP563" s="20" t="s">
        <v>3728</v>
      </c>
      <c r="AQ563" s="20" t="s">
        <v>4541</v>
      </c>
      <c r="AR563" s="20"/>
      <c r="AS563" s="20"/>
    </row>
    <row r="564">
      <c r="A564" s="20" t="s">
        <v>4542</v>
      </c>
      <c r="B564" s="20" t="s">
        <v>740</v>
      </c>
      <c r="C564" s="20" t="s">
        <v>741</v>
      </c>
      <c r="D564" s="20"/>
      <c r="E564" s="20" t="s">
        <v>49</v>
      </c>
      <c r="F564" s="20"/>
      <c r="G564" s="20"/>
      <c r="H564" s="20" t="s">
        <v>75</v>
      </c>
      <c r="I564" s="20" t="s">
        <v>76</v>
      </c>
      <c r="J564" s="20" t="s">
        <v>76</v>
      </c>
      <c r="K564" s="20" t="s">
        <v>55</v>
      </c>
      <c r="L564" s="20" t="s">
        <v>56</v>
      </c>
      <c r="M564" s="20" t="s">
        <v>57</v>
      </c>
      <c r="N564" s="20" t="s">
        <v>333</v>
      </c>
      <c r="O564" s="20" t="s">
        <v>3142</v>
      </c>
      <c r="P564" s="20" t="s">
        <v>2286</v>
      </c>
      <c r="Q564" s="20" t="s">
        <v>59</v>
      </c>
      <c r="R564" s="20" t="s">
        <v>333</v>
      </c>
      <c r="S564" s="20" t="s">
        <v>333</v>
      </c>
      <c r="T564" s="20"/>
      <c r="U564" s="20"/>
      <c r="V564" s="20" t="s">
        <v>344</v>
      </c>
      <c r="W564" s="20" t="s">
        <v>333</v>
      </c>
      <c r="X564" s="20" t="s">
        <v>333</v>
      </c>
      <c r="Y564" s="20" t="s">
        <v>333</v>
      </c>
      <c r="Z564" s="20" t="s">
        <v>333</v>
      </c>
      <c r="AA564" s="20" t="s">
        <v>333</v>
      </c>
      <c r="AB564" s="20" t="s">
        <v>333</v>
      </c>
      <c r="AC564" s="20"/>
      <c r="AD564" s="20" t="s">
        <v>333</v>
      </c>
      <c r="AE564" s="20" t="s">
        <v>333</v>
      </c>
      <c r="AF564" s="20" t="s">
        <v>333</v>
      </c>
      <c r="AG564" s="20" t="s">
        <v>344</v>
      </c>
      <c r="AH564" s="20" t="s">
        <v>344</v>
      </c>
      <c r="AI564" s="20" t="s">
        <v>333</v>
      </c>
      <c r="AJ564" s="20"/>
      <c r="AK564" s="20" t="s">
        <v>1244</v>
      </c>
      <c r="AL564" s="20" t="s">
        <v>1245</v>
      </c>
      <c r="AM564" s="20" t="s">
        <v>1244</v>
      </c>
      <c r="AN564" s="20" t="s">
        <v>349</v>
      </c>
      <c r="AO564" s="20"/>
      <c r="AP564" s="20" t="s">
        <v>3142</v>
      </c>
      <c r="AQ564" s="20" t="s">
        <v>2286</v>
      </c>
      <c r="AR564" s="20"/>
      <c r="AS564" s="20"/>
    </row>
    <row r="565">
      <c r="A565" s="20" t="s">
        <v>4543</v>
      </c>
      <c r="B565" s="20" t="s">
        <v>4544</v>
      </c>
      <c r="C565" s="20" t="s">
        <v>4545</v>
      </c>
      <c r="D565" s="20" t="s">
        <v>4546</v>
      </c>
      <c r="E565" s="20" t="s">
        <v>49</v>
      </c>
      <c r="F565" s="20"/>
      <c r="G565" s="20" t="s">
        <v>4547</v>
      </c>
      <c r="H565" s="20" t="s">
        <v>727</v>
      </c>
      <c r="I565" s="20" t="s">
        <v>729</v>
      </c>
      <c r="J565" s="20" t="s">
        <v>74</v>
      </c>
      <c r="K565" s="20" t="s">
        <v>55</v>
      </c>
      <c r="L565" s="20" t="s">
        <v>56</v>
      </c>
      <c r="M565" s="20" t="s">
        <v>57</v>
      </c>
      <c r="N565" s="20" t="s">
        <v>333</v>
      </c>
      <c r="O565" s="20" t="s">
        <v>1576</v>
      </c>
      <c r="P565" s="20" t="s">
        <v>1669</v>
      </c>
      <c r="Q565" s="20" t="s">
        <v>59</v>
      </c>
      <c r="R565" s="20" t="s">
        <v>333</v>
      </c>
      <c r="S565" s="20" t="s">
        <v>333</v>
      </c>
      <c r="T565" s="20"/>
      <c r="U565" s="20"/>
      <c r="V565" s="20" t="s">
        <v>344</v>
      </c>
      <c r="W565" s="20" t="s">
        <v>333</v>
      </c>
      <c r="X565" s="20" t="s">
        <v>333</v>
      </c>
      <c r="Y565" s="20" t="s">
        <v>333</v>
      </c>
      <c r="Z565" s="20" t="s">
        <v>333</v>
      </c>
      <c r="AA565" s="20" t="s">
        <v>333</v>
      </c>
      <c r="AB565" s="20" t="s">
        <v>333</v>
      </c>
      <c r="AC565" s="20"/>
      <c r="AD565" s="20" t="s">
        <v>333</v>
      </c>
      <c r="AE565" s="20" t="s">
        <v>333</v>
      </c>
      <c r="AF565" s="20" t="s">
        <v>333</v>
      </c>
      <c r="AG565" s="20" t="s">
        <v>344</v>
      </c>
      <c r="AH565" s="20" t="s">
        <v>344</v>
      </c>
      <c r="AI565" s="20" t="s">
        <v>333</v>
      </c>
      <c r="AJ565" s="20"/>
      <c r="AK565" s="20" t="s">
        <v>1673</v>
      </c>
      <c r="AL565" s="20" t="s">
        <v>1244</v>
      </c>
      <c r="AM565" s="20" t="s">
        <v>1673</v>
      </c>
      <c r="AN565" s="20" t="s">
        <v>349</v>
      </c>
      <c r="AO565" s="20"/>
      <c r="AP565" s="20" t="s">
        <v>1576</v>
      </c>
      <c r="AQ565" s="20" t="s">
        <v>1669</v>
      </c>
      <c r="AR565" s="20"/>
      <c r="AS565" s="20"/>
    </row>
    <row r="566">
      <c r="A566" s="20" t="s">
        <v>4548</v>
      </c>
      <c r="B566" s="20" t="s">
        <v>4283</v>
      </c>
      <c r="C566" s="20" t="s">
        <v>4284</v>
      </c>
      <c r="D566" s="20"/>
      <c r="E566" s="20" t="s">
        <v>49</v>
      </c>
      <c r="F566" s="20"/>
      <c r="G566" s="20"/>
      <c r="H566" s="20" t="s">
        <v>303</v>
      </c>
      <c r="I566" s="20" t="s">
        <v>303</v>
      </c>
      <c r="J566" s="20" t="s">
        <v>74</v>
      </c>
      <c r="K566" s="20" t="s">
        <v>55</v>
      </c>
      <c r="L566" s="20" t="s">
        <v>56</v>
      </c>
      <c r="M566" s="20" t="s">
        <v>57</v>
      </c>
      <c r="N566" s="20" t="s">
        <v>333</v>
      </c>
      <c r="O566" s="20" t="s">
        <v>1571</v>
      </c>
      <c r="P566" s="20"/>
      <c r="Q566" s="20" t="s">
        <v>59</v>
      </c>
      <c r="R566" s="20" t="s">
        <v>333</v>
      </c>
      <c r="S566" s="20" t="s">
        <v>333</v>
      </c>
      <c r="T566" s="20"/>
      <c r="U566" s="20"/>
      <c r="V566" s="20" t="s">
        <v>344</v>
      </c>
      <c r="W566" s="20" t="s">
        <v>333</v>
      </c>
      <c r="X566" s="20" t="s">
        <v>333</v>
      </c>
      <c r="Y566" s="20" t="s">
        <v>333</v>
      </c>
      <c r="Z566" s="20" t="s">
        <v>333</v>
      </c>
      <c r="AA566" s="20" t="s">
        <v>333</v>
      </c>
      <c r="AB566" s="20" t="s">
        <v>333</v>
      </c>
      <c r="AC566" s="20"/>
      <c r="AD566" s="20" t="s">
        <v>333</v>
      </c>
      <c r="AE566" s="20" t="s">
        <v>333</v>
      </c>
      <c r="AF566" s="20" t="s">
        <v>333</v>
      </c>
      <c r="AG566" s="20" t="s">
        <v>344</v>
      </c>
      <c r="AH566" s="20" t="s">
        <v>344</v>
      </c>
      <c r="AI566" s="20" t="s">
        <v>333</v>
      </c>
      <c r="AJ566" s="20"/>
      <c r="AK566" s="20" t="s">
        <v>349</v>
      </c>
      <c r="AL566" s="20" t="s">
        <v>347</v>
      </c>
      <c r="AM566" s="20" t="s">
        <v>349</v>
      </c>
      <c r="AN566" s="20" t="s">
        <v>349</v>
      </c>
      <c r="AO566" s="20"/>
      <c r="AP566" s="20" t="s">
        <v>1571</v>
      </c>
      <c r="AQ566" s="20" t="s">
        <v>349</v>
      </c>
      <c r="AR566" s="20"/>
      <c r="AS566" s="20"/>
    </row>
    <row r="567">
      <c r="A567" s="20" t="s">
        <v>4549</v>
      </c>
      <c r="B567" s="20" t="s">
        <v>3510</v>
      </c>
      <c r="C567" s="20" t="s">
        <v>3511</v>
      </c>
      <c r="D567" s="20"/>
      <c r="E567" s="20" t="s">
        <v>49</v>
      </c>
      <c r="F567" s="20"/>
      <c r="G567" s="20"/>
      <c r="H567" s="20" t="s">
        <v>586</v>
      </c>
      <c r="I567" s="20" t="s">
        <v>587</v>
      </c>
      <c r="J567" s="20" t="s">
        <v>74</v>
      </c>
      <c r="K567" s="20" t="s">
        <v>55</v>
      </c>
      <c r="L567" s="20" t="s">
        <v>56</v>
      </c>
      <c r="M567" s="20" t="s">
        <v>57</v>
      </c>
      <c r="N567" s="20" t="s">
        <v>333</v>
      </c>
      <c r="O567" s="20" t="s">
        <v>1596</v>
      </c>
      <c r="P567" s="20" t="s">
        <v>1682</v>
      </c>
      <c r="Q567" s="20" t="s">
        <v>59</v>
      </c>
      <c r="R567" s="20" t="s">
        <v>333</v>
      </c>
      <c r="S567" s="20" t="s">
        <v>333</v>
      </c>
      <c r="T567" s="20"/>
      <c r="U567" s="20"/>
      <c r="V567" s="20" t="s">
        <v>344</v>
      </c>
      <c r="W567" s="20" t="s">
        <v>333</v>
      </c>
      <c r="X567" s="20" t="s">
        <v>333</v>
      </c>
      <c r="Y567" s="20" t="s">
        <v>333</v>
      </c>
      <c r="Z567" s="20" t="s">
        <v>333</v>
      </c>
      <c r="AA567" s="20" t="s">
        <v>333</v>
      </c>
      <c r="AB567" s="20" t="s">
        <v>333</v>
      </c>
      <c r="AC567" s="20"/>
      <c r="AD567" s="20" t="s">
        <v>333</v>
      </c>
      <c r="AE567" s="20" t="s">
        <v>333</v>
      </c>
      <c r="AF567" s="20" t="s">
        <v>333</v>
      </c>
      <c r="AG567" s="20" t="s">
        <v>344</v>
      </c>
      <c r="AH567" s="20" t="s">
        <v>344</v>
      </c>
      <c r="AI567" s="20" t="s">
        <v>333</v>
      </c>
      <c r="AJ567" s="20"/>
      <c r="AK567" s="20" t="s">
        <v>1587</v>
      </c>
      <c r="AL567" s="20" t="s">
        <v>1556</v>
      </c>
      <c r="AM567" s="20" t="s">
        <v>1587</v>
      </c>
      <c r="AN567" s="20" t="s">
        <v>349</v>
      </c>
      <c r="AO567" s="20"/>
      <c r="AP567" s="20" t="s">
        <v>1596</v>
      </c>
      <c r="AQ567" s="20" t="s">
        <v>1682</v>
      </c>
      <c r="AR567" s="20"/>
      <c r="AS567" s="20"/>
    </row>
    <row r="568">
      <c r="A568" s="20" t="s">
        <v>4550</v>
      </c>
      <c r="B568" s="20" t="s">
        <v>4551</v>
      </c>
      <c r="C568" s="20" t="s">
        <v>4552</v>
      </c>
      <c r="D568" s="20"/>
      <c r="E568" s="20" t="s">
        <v>49</v>
      </c>
      <c r="F568" s="20"/>
      <c r="G568" s="20"/>
      <c r="H568" s="20" t="s">
        <v>2801</v>
      </c>
      <c r="I568" s="20" t="s">
        <v>2802</v>
      </c>
      <c r="J568" s="20" t="s">
        <v>74</v>
      </c>
      <c r="K568" s="20" t="s">
        <v>55</v>
      </c>
      <c r="L568" s="20" t="s">
        <v>56</v>
      </c>
      <c r="M568" s="20" t="s">
        <v>57</v>
      </c>
      <c r="N568" s="20" t="s">
        <v>333</v>
      </c>
      <c r="O568" s="20" t="s">
        <v>1596</v>
      </c>
      <c r="P568" s="20"/>
      <c r="Q568" s="20" t="s">
        <v>59</v>
      </c>
      <c r="R568" s="20" t="s">
        <v>333</v>
      </c>
      <c r="S568" s="20" t="s">
        <v>333</v>
      </c>
      <c r="T568" s="20"/>
      <c r="U568" s="20"/>
      <c r="V568" s="20" t="s">
        <v>344</v>
      </c>
      <c r="W568" s="20" t="s">
        <v>333</v>
      </c>
      <c r="X568" s="20" t="s">
        <v>333</v>
      </c>
      <c r="Y568" s="20" t="s">
        <v>333</v>
      </c>
      <c r="Z568" s="20" t="s">
        <v>333</v>
      </c>
      <c r="AA568" s="20" t="s">
        <v>333</v>
      </c>
      <c r="AB568" s="20" t="s">
        <v>333</v>
      </c>
      <c r="AC568" s="20"/>
      <c r="AD568" s="20" t="s">
        <v>333</v>
      </c>
      <c r="AE568" s="20" t="s">
        <v>333</v>
      </c>
      <c r="AF568" s="20" t="s">
        <v>333</v>
      </c>
      <c r="AG568" s="20" t="s">
        <v>344</v>
      </c>
      <c r="AH568" s="20" t="s">
        <v>344</v>
      </c>
      <c r="AI568" s="20" t="s">
        <v>333</v>
      </c>
      <c r="AJ568" s="20"/>
      <c r="AK568" s="20" t="s">
        <v>1244</v>
      </c>
      <c r="AL568" s="20" t="s">
        <v>1556</v>
      </c>
      <c r="AM568" s="20" t="s">
        <v>1244</v>
      </c>
      <c r="AN568" s="20" t="s">
        <v>349</v>
      </c>
      <c r="AO568" s="20"/>
      <c r="AP568" s="20" t="s">
        <v>1596</v>
      </c>
      <c r="AQ568" s="20" t="s">
        <v>349</v>
      </c>
      <c r="AR568" s="20"/>
      <c r="AS568" s="20"/>
    </row>
    <row r="569">
      <c r="A569" s="20" t="s">
        <v>4553</v>
      </c>
      <c r="B569" s="20" t="s">
        <v>3338</v>
      </c>
      <c r="C569" s="20" t="s">
        <v>3339</v>
      </c>
      <c r="D569" s="20"/>
      <c r="E569" s="20" t="s">
        <v>49</v>
      </c>
      <c r="F569" s="20"/>
      <c r="G569" s="20" t="s">
        <v>4554</v>
      </c>
      <c r="H569" s="20" t="s">
        <v>123</v>
      </c>
      <c r="I569" s="20" t="s">
        <v>124</v>
      </c>
      <c r="J569" s="20" t="s">
        <v>74</v>
      </c>
      <c r="K569" s="20" t="s">
        <v>55</v>
      </c>
      <c r="L569" s="20" t="s">
        <v>56</v>
      </c>
      <c r="M569" s="20" t="s">
        <v>57</v>
      </c>
      <c r="N569" s="20" t="s">
        <v>333</v>
      </c>
      <c r="O569" s="20" t="s">
        <v>1682</v>
      </c>
      <c r="P569" s="20"/>
      <c r="Q569" s="20" t="s">
        <v>59</v>
      </c>
      <c r="R569" s="20" t="s">
        <v>333</v>
      </c>
      <c r="S569" s="20" t="s">
        <v>333</v>
      </c>
      <c r="T569" s="20"/>
      <c r="U569" s="20"/>
      <c r="V569" s="20" t="s">
        <v>344</v>
      </c>
      <c r="W569" s="20" t="s">
        <v>333</v>
      </c>
      <c r="X569" s="20" t="s">
        <v>333</v>
      </c>
      <c r="Y569" s="20" t="s">
        <v>333</v>
      </c>
      <c r="Z569" s="20" t="s">
        <v>333</v>
      </c>
      <c r="AA569" s="20" t="s">
        <v>333</v>
      </c>
      <c r="AB569" s="20" t="s">
        <v>333</v>
      </c>
      <c r="AC569" s="20"/>
      <c r="AD569" s="20" t="s">
        <v>333</v>
      </c>
      <c r="AE569" s="20" t="s">
        <v>333</v>
      </c>
      <c r="AF569" s="20" t="s">
        <v>333</v>
      </c>
      <c r="AG569" s="20" t="s">
        <v>344</v>
      </c>
      <c r="AH569" s="20" t="s">
        <v>344</v>
      </c>
      <c r="AI569" s="20" t="s">
        <v>333</v>
      </c>
      <c r="AJ569" s="20"/>
      <c r="AK569" s="20" t="s">
        <v>347</v>
      </c>
      <c r="AL569" s="20" t="s">
        <v>348</v>
      </c>
      <c r="AM569" s="20" t="s">
        <v>347</v>
      </c>
      <c r="AN569" s="20" t="s">
        <v>349</v>
      </c>
      <c r="AO569" s="20"/>
      <c r="AP569" s="20" t="s">
        <v>1682</v>
      </c>
      <c r="AQ569" s="20" t="s">
        <v>349</v>
      </c>
      <c r="AR569" s="20"/>
      <c r="AS569" s="20"/>
    </row>
    <row r="570">
      <c r="A570" s="20" t="s">
        <v>4555</v>
      </c>
      <c r="B570" s="20" t="s">
        <v>268</v>
      </c>
      <c r="C570" s="20" t="s">
        <v>1069</v>
      </c>
      <c r="D570" s="20"/>
      <c r="E570" s="20" t="s">
        <v>49</v>
      </c>
      <c r="F570" s="20"/>
      <c r="G570" s="20"/>
      <c r="H570" s="20" t="s">
        <v>271</v>
      </c>
      <c r="I570" s="20" t="s">
        <v>92</v>
      </c>
      <c r="J570" s="20" t="s">
        <v>74</v>
      </c>
      <c r="K570" s="20" t="s">
        <v>55</v>
      </c>
      <c r="L570" s="20" t="s">
        <v>56</v>
      </c>
      <c r="M570" s="20" t="s">
        <v>57</v>
      </c>
      <c r="N570" s="20" t="s">
        <v>333</v>
      </c>
      <c r="O570" s="20" t="s">
        <v>1571</v>
      </c>
      <c r="P570" s="20" t="s">
        <v>1695</v>
      </c>
      <c r="Q570" s="20" t="s">
        <v>59</v>
      </c>
      <c r="R570" s="20" t="s">
        <v>333</v>
      </c>
      <c r="S570" s="20" t="s">
        <v>333</v>
      </c>
      <c r="T570" s="20"/>
      <c r="U570" s="20"/>
      <c r="V570" s="20" t="s">
        <v>344</v>
      </c>
      <c r="W570" s="20" t="s">
        <v>333</v>
      </c>
      <c r="X570" s="20" t="s">
        <v>333</v>
      </c>
      <c r="Y570" s="20" t="s">
        <v>333</v>
      </c>
      <c r="Z570" s="20" t="s">
        <v>333</v>
      </c>
      <c r="AA570" s="20" t="s">
        <v>333</v>
      </c>
      <c r="AB570" s="20" t="s">
        <v>333</v>
      </c>
      <c r="AC570" s="20"/>
      <c r="AD570" s="20" t="s">
        <v>333</v>
      </c>
      <c r="AE570" s="20" t="s">
        <v>333</v>
      </c>
      <c r="AF570" s="20" t="s">
        <v>333</v>
      </c>
      <c r="AG570" s="20" t="s">
        <v>344</v>
      </c>
      <c r="AH570" s="20" t="s">
        <v>344</v>
      </c>
      <c r="AI570" s="20" t="s">
        <v>333</v>
      </c>
      <c r="AJ570" s="20"/>
      <c r="AK570" s="20" t="s">
        <v>1581</v>
      </c>
      <c r="AL570" s="20" t="s">
        <v>1245</v>
      </c>
      <c r="AM570" s="20" t="s">
        <v>1581</v>
      </c>
      <c r="AN570" s="20" t="s">
        <v>349</v>
      </c>
      <c r="AO570" s="20"/>
      <c r="AP570" s="20" t="s">
        <v>1571</v>
      </c>
      <c r="AQ570" s="20" t="s">
        <v>1695</v>
      </c>
      <c r="AR570" s="20"/>
      <c r="AS570" s="20"/>
    </row>
    <row r="571">
      <c r="A571" s="20" t="s">
        <v>4556</v>
      </c>
      <c r="B571" s="20" t="s">
        <v>3238</v>
      </c>
      <c r="C571" s="20" t="s">
        <v>3239</v>
      </c>
      <c r="D571" s="20" t="s">
        <v>3240</v>
      </c>
      <c r="E571" s="20" t="s">
        <v>49</v>
      </c>
      <c r="F571" s="20"/>
      <c r="G571" s="20"/>
      <c r="H571" s="20" t="s">
        <v>303</v>
      </c>
      <c r="I571" s="20" t="s">
        <v>303</v>
      </c>
      <c r="J571" s="20" t="s">
        <v>74</v>
      </c>
      <c r="K571" s="20" t="s">
        <v>55</v>
      </c>
      <c r="L571" s="20" t="s">
        <v>56</v>
      </c>
      <c r="M571" s="20" t="s">
        <v>57</v>
      </c>
      <c r="N571" s="20" t="s">
        <v>333</v>
      </c>
      <c r="O571" s="20" t="s">
        <v>1571</v>
      </c>
      <c r="P571" s="20" t="s">
        <v>1596</v>
      </c>
      <c r="Q571" s="20" t="s">
        <v>59</v>
      </c>
      <c r="R571" s="20" t="s">
        <v>333</v>
      </c>
      <c r="S571" s="20" t="s">
        <v>333</v>
      </c>
      <c r="T571" s="20" t="s">
        <v>948</v>
      </c>
      <c r="U571" s="20"/>
      <c r="V571" s="20" t="s">
        <v>344</v>
      </c>
      <c r="W571" s="20" t="s">
        <v>333</v>
      </c>
      <c r="X571" s="20" t="s">
        <v>333</v>
      </c>
      <c r="Y571" s="20" t="s">
        <v>333</v>
      </c>
      <c r="Z571" s="20" t="s">
        <v>333</v>
      </c>
      <c r="AA571" s="20" t="s">
        <v>333</v>
      </c>
      <c r="AB571" s="20" t="s">
        <v>333</v>
      </c>
      <c r="AC571" s="20"/>
      <c r="AD571" s="20" t="s">
        <v>333</v>
      </c>
      <c r="AE571" s="20" t="s">
        <v>333</v>
      </c>
      <c r="AF571" s="20" t="s">
        <v>333</v>
      </c>
      <c r="AG571" s="20" t="s">
        <v>344</v>
      </c>
      <c r="AH571" s="20" t="s">
        <v>344</v>
      </c>
      <c r="AI571" s="20" t="s">
        <v>333</v>
      </c>
      <c r="AJ571" s="20"/>
      <c r="AK571" s="20" t="s">
        <v>1260</v>
      </c>
      <c r="AL571" s="20" t="s">
        <v>1717</v>
      </c>
      <c r="AM571" s="20" t="s">
        <v>1260</v>
      </c>
      <c r="AN571" s="20" t="s">
        <v>349</v>
      </c>
      <c r="AO571" s="20"/>
      <c r="AP571" s="20" t="s">
        <v>1571</v>
      </c>
      <c r="AQ571" s="20" t="s">
        <v>1596</v>
      </c>
      <c r="AR571" s="20"/>
      <c r="AS571" s="20"/>
    </row>
    <row r="572">
      <c r="A572" s="20" t="s">
        <v>4522</v>
      </c>
      <c r="B572" s="20" t="s">
        <v>889</v>
      </c>
      <c r="C572" s="20" t="s">
        <v>890</v>
      </c>
      <c r="D572" s="20"/>
      <c r="E572" s="20" t="s">
        <v>49</v>
      </c>
      <c r="F572" s="20"/>
      <c r="G572" s="20"/>
      <c r="H572" s="20" t="s">
        <v>75</v>
      </c>
      <c r="I572" s="20" t="s">
        <v>76</v>
      </c>
      <c r="J572" s="20" t="s">
        <v>76</v>
      </c>
      <c r="K572" s="20" t="s">
        <v>55</v>
      </c>
      <c r="L572" s="20" t="s">
        <v>56</v>
      </c>
      <c r="M572" s="20" t="s">
        <v>57</v>
      </c>
      <c r="N572" s="20" t="s">
        <v>333</v>
      </c>
      <c r="O572" s="20" t="s">
        <v>1269</v>
      </c>
      <c r="P572" s="20" t="s">
        <v>2109</v>
      </c>
      <c r="Q572" s="20" t="s">
        <v>59</v>
      </c>
      <c r="R572" s="20" t="s">
        <v>333</v>
      </c>
      <c r="S572" s="20" t="s">
        <v>333</v>
      </c>
      <c r="T572" s="20"/>
      <c r="U572" s="20"/>
      <c r="V572" s="20" t="s">
        <v>344</v>
      </c>
      <c r="W572" s="20" t="s">
        <v>333</v>
      </c>
      <c r="X572" s="20" t="s">
        <v>333</v>
      </c>
      <c r="Y572" s="20" t="s">
        <v>333</v>
      </c>
      <c r="Z572" s="20" t="s">
        <v>333</v>
      </c>
      <c r="AA572" s="20" t="s">
        <v>333</v>
      </c>
      <c r="AB572" s="20" t="s">
        <v>333</v>
      </c>
      <c r="AC572" s="20"/>
      <c r="AD572" s="20" t="s">
        <v>333</v>
      </c>
      <c r="AE572" s="20" t="s">
        <v>333</v>
      </c>
      <c r="AF572" s="20" t="s">
        <v>333</v>
      </c>
      <c r="AG572" s="20" t="s">
        <v>344</v>
      </c>
      <c r="AH572" s="20" t="s">
        <v>344</v>
      </c>
      <c r="AI572" s="20" t="s">
        <v>333</v>
      </c>
      <c r="AJ572" s="20"/>
      <c r="AK572" s="20" t="s">
        <v>1663</v>
      </c>
      <c r="AL572" s="20" t="s">
        <v>1556</v>
      </c>
      <c r="AM572" s="20" t="s">
        <v>1663</v>
      </c>
      <c r="AN572" s="20" t="s">
        <v>349</v>
      </c>
      <c r="AO572" s="20"/>
      <c r="AP572" s="20" t="s">
        <v>1269</v>
      </c>
      <c r="AQ572" s="20" t="s">
        <v>2109</v>
      </c>
      <c r="AR572" s="20"/>
      <c r="AS572" s="20"/>
    </row>
    <row r="573">
      <c r="A573" s="20" t="s">
        <v>1576</v>
      </c>
      <c r="B573" s="20" t="s">
        <v>3324</v>
      </c>
      <c r="C573" s="20" t="s">
        <v>3325</v>
      </c>
      <c r="D573" s="20"/>
      <c r="E573" s="20" t="s">
        <v>49</v>
      </c>
      <c r="F573" s="20"/>
      <c r="G573" s="20" t="s">
        <v>4557</v>
      </c>
      <c r="H573" s="20" t="s">
        <v>142</v>
      </c>
      <c r="I573" s="20" t="s">
        <v>144</v>
      </c>
      <c r="J573" s="20" t="s">
        <v>74</v>
      </c>
      <c r="K573" s="20" t="s">
        <v>55</v>
      </c>
      <c r="L573" s="20" t="s">
        <v>56</v>
      </c>
      <c r="M573" s="20" t="s">
        <v>57</v>
      </c>
      <c r="N573" s="20" t="s">
        <v>333</v>
      </c>
      <c r="O573" s="20" t="s">
        <v>1720</v>
      </c>
      <c r="P573" s="20"/>
      <c r="Q573" s="20" t="s">
        <v>59</v>
      </c>
      <c r="R573" s="20" t="s">
        <v>333</v>
      </c>
      <c r="S573" s="20" t="s">
        <v>333</v>
      </c>
      <c r="T573" s="20"/>
      <c r="U573" s="20"/>
      <c r="V573" s="20" t="s">
        <v>344</v>
      </c>
      <c r="W573" s="20" t="s">
        <v>333</v>
      </c>
      <c r="X573" s="20" t="s">
        <v>333</v>
      </c>
      <c r="Y573" s="20" t="s">
        <v>333</v>
      </c>
      <c r="Z573" s="20" t="s">
        <v>333</v>
      </c>
      <c r="AA573" s="20" t="s">
        <v>333</v>
      </c>
      <c r="AB573" s="20" t="s">
        <v>333</v>
      </c>
      <c r="AC573" s="20"/>
      <c r="AD573" s="20" t="s">
        <v>333</v>
      </c>
      <c r="AE573" s="20" t="s">
        <v>333</v>
      </c>
      <c r="AF573" s="20" t="s">
        <v>333</v>
      </c>
      <c r="AG573" s="20" t="s">
        <v>344</v>
      </c>
      <c r="AH573" s="20" t="s">
        <v>344</v>
      </c>
      <c r="AI573" s="20" t="s">
        <v>333</v>
      </c>
      <c r="AJ573" s="20"/>
      <c r="AK573" s="20" t="s">
        <v>1244</v>
      </c>
      <c r="AL573" s="20" t="s">
        <v>1245</v>
      </c>
      <c r="AM573" s="20" t="s">
        <v>1244</v>
      </c>
      <c r="AN573" s="20" t="s">
        <v>349</v>
      </c>
      <c r="AO573" s="20"/>
      <c r="AP573" s="20" t="s">
        <v>1720</v>
      </c>
      <c r="AQ573" s="20" t="s">
        <v>349</v>
      </c>
      <c r="AR573" s="20"/>
      <c r="AS573" s="20"/>
    </row>
    <row r="574">
      <c r="A574" s="20" t="s">
        <v>4558</v>
      </c>
      <c r="B574" s="20" t="s">
        <v>2843</v>
      </c>
      <c r="C574" s="20" t="s">
        <v>2844</v>
      </c>
      <c r="D574" s="20" t="s">
        <v>2845</v>
      </c>
      <c r="E574" s="20" t="s">
        <v>49</v>
      </c>
      <c r="F574" s="20"/>
      <c r="G574" s="20"/>
      <c r="H574" s="20" t="s">
        <v>303</v>
      </c>
      <c r="I574" s="20" t="s">
        <v>303</v>
      </c>
      <c r="J574" s="20" t="s">
        <v>74</v>
      </c>
      <c r="K574" s="20" t="s">
        <v>55</v>
      </c>
      <c r="L574" s="20" t="s">
        <v>56</v>
      </c>
      <c r="M574" s="20" t="s">
        <v>57</v>
      </c>
      <c r="N574" s="20" t="s">
        <v>333</v>
      </c>
      <c r="O574" s="20" t="s">
        <v>1736</v>
      </c>
      <c r="P574" s="20" t="s">
        <v>1596</v>
      </c>
      <c r="Q574" s="20" t="s">
        <v>59</v>
      </c>
      <c r="R574" s="20" t="s">
        <v>333</v>
      </c>
      <c r="S574" s="20" t="s">
        <v>333</v>
      </c>
      <c r="T574" s="20" t="s">
        <v>2852</v>
      </c>
      <c r="U574" s="20" t="s">
        <v>4559</v>
      </c>
      <c r="V574" s="20" t="s">
        <v>344</v>
      </c>
      <c r="W574" s="20" t="s">
        <v>333</v>
      </c>
      <c r="X574" s="20" t="s">
        <v>333</v>
      </c>
      <c r="Y574" s="20" t="s">
        <v>333</v>
      </c>
      <c r="Z574" s="20" t="s">
        <v>333</v>
      </c>
      <c r="AA574" s="20" t="s">
        <v>333</v>
      </c>
      <c r="AB574" s="20" t="s">
        <v>333</v>
      </c>
      <c r="AC574" s="20"/>
      <c r="AD574" s="20" t="s">
        <v>333</v>
      </c>
      <c r="AE574" s="20" t="s">
        <v>333</v>
      </c>
      <c r="AF574" s="20" t="s">
        <v>333</v>
      </c>
      <c r="AG574" s="20" t="s">
        <v>344</v>
      </c>
      <c r="AH574" s="20" t="s">
        <v>344</v>
      </c>
      <c r="AI574" s="20" t="s">
        <v>333</v>
      </c>
      <c r="AJ574" s="20"/>
      <c r="AK574" s="20" t="s">
        <v>1244</v>
      </c>
      <c r="AL574" s="20" t="s">
        <v>1244</v>
      </c>
      <c r="AM574" s="20" t="s">
        <v>1244</v>
      </c>
      <c r="AN574" s="20" t="s">
        <v>349</v>
      </c>
      <c r="AO574" s="20"/>
      <c r="AP574" s="20" t="s">
        <v>1736</v>
      </c>
      <c r="AQ574" s="20" t="s">
        <v>1596</v>
      </c>
      <c r="AR574" s="20"/>
      <c r="AS574" s="20"/>
    </row>
    <row r="575">
      <c r="A575" s="20" t="s">
        <v>4560</v>
      </c>
      <c r="B575" s="20" t="s">
        <v>3873</v>
      </c>
      <c r="C575" s="20" t="s">
        <v>3874</v>
      </c>
      <c r="D575" s="20"/>
      <c r="E575" s="20" t="s">
        <v>49</v>
      </c>
      <c r="F575" s="20"/>
      <c r="G575" s="20"/>
      <c r="H575" s="20" t="s">
        <v>2393</v>
      </c>
      <c r="I575" s="20" t="s">
        <v>2394</v>
      </c>
      <c r="J575" s="20" t="s">
        <v>74</v>
      </c>
      <c r="K575" s="20" t="s">
        <v>55</v>
      </c>
      <c r="L575" s="20" t="s">
        <v>56</v>
      </c>
      <c r="M575" s="20" t="s">
        <v>57</v>
      </c>
      <c r="N575" s="20" t="s">
        <v>333</v>
      </c>
      <c r="O575" s="20" t="s">
        <v>1596</v>
      </c>
      <c r="P575" s="20" t="s">
        <v>1682</v>
      </c>
      <c r="Q575" s="20" t="s">
        <v>59</v>
      </c>
      <c r="R575" s="20" t="s">
        <v>333</v>
      </c>
      <c r="S575" s="20" t="s">
        <v>333</v>
      </c>
      <c r="T575" s="20"/>
      <c r="U575" s="20"/>
      <c r="V575" s="20" t="s">
        <v>344</v>
      </c>
      <c r="W575" s="20" t="s">
        <v>333</v>
      </c>
      <c r="X575" s="20" t="s">
        <v>333</v>
      </c>
      <c r="Y575" s="20" t="s">
        <v>333</v>
      </c>
      <c r="Z575" s="20" t="s">
        <v>333</v>
      </c>
      <c r="AA575" s="20" t="s">
        <v>333</v>
      </c>
      <c r="AB575" s="20" t="s">
        <v>333</v>
      </c>
      <c r="AC575" s="20"/>
      <c r="AD575" s="20" t="s">
        <v>333</v>
      </c>
      <c r="AE575" s="20" t="s">
        <v>333</v>
      </c>
      <c r="AF575" s="20" t="s">
        <v>333</v>
      </c>
      <c r="AG575" s="20" t="s">
        <v>344</v>
      </c>
      <c r="AH575" s="20" t="s">
        <v>344</v>
      </c>
      <c r="AI575" s="20" t="s">
        <v>333</v>
      </c>
      <c r="AJ575" s="20"/>
      <c r="AK575" s="20" t="s">
        <v>347</v>
      </c>
      <c r="AL575" s="20" t="s">
        <v>2019</v>
      </c>
      <c r="AM575" s="20" t="s">
        <v>347</v>
      </c>
      <c r="AN575" s="20" t="s">
        <v>349</v>
      </c>
      <c r="AO575" s="20"/>
      <c r="AP575" s="20" t="s">
        <v>1596</v>
      </c>
      <c r="AQ575" s="20" t="s">
        <v>1682</v>
      </c>
      <c r="AR575" s="20"/>
      <c r="AS575" s="20"/>
    </row>
    <row r="576">
      <c r="A576" s="20" t="s">
        <v>4561</v>
      </c>
      <c r="B576" s="20" t="s">
        <v>3792</v>
      </c>
      <c r="C576" s="20" t="s">
        <v>3793</v>
      </c>
      <c r="D576" s="20"/>
      <c r="E576" s="20" t="s">
        <v>49</v>
      </c>
      <c r="F576" s="20"/>
      <c r="G576" s="20"/>
      <c r="H576" s="20" t="s">
        <v>2064</v>
      </c>
      <c r="I576" s="20" t="s">
        <v>2065</v>
      </c>
      <c r="J576" s="20" t="s">
        <v>74</v>
      </c>
      <c r="K576" s="20" t="s">
        <v>55</v>
      </c>
      <c r="L576" s="20" t="s">
        <v>56</v>
      </c>
      <c r="M576" s="20" t="s">
        <v>57</v>
      </c>
      <c r="N576" s="20" t="s">
        <v>333</v>
      </c>
      <c r="O576" s="20" t="s">
        <v>1736</v>
      </c>
      <c r="P576" s="20" t="s">
        <v>1695</v>
      </c>
      <c r="Q576" s="20" t="s">
        <v>59</v>
      </c>
      <c r="R576" s="20" t="s">
        <v>333</v>
      </c>
      <c r="S576" s="20" t="s">
        <v>333</v>
      </c>
      <c r="T576" s="20"/>
      <c r="U576" s="20"/>
      <c r="V576" s="20" t="s">
        <v>344</v>
      </c>
      <c r="W576" s="20" t="s">
        <v>333</v>
      </c>
      <c r="X576" s="20" t="s">
        <v>333</v>
      </c>
      <c r="Y576" s="20" t="s">
        <v>333</v>
      </c>
      <c r="Z576" s="20" t="s">
        <v>333</v>
      </c>
      <c r="AA576" s="20" t="s">
        <v>333</v>
      </c>
      <c r="AB576" s="20" t="s">
        <v>333</v>
      </c>
      <c r="AC576" s="20"/>
      <c r="AD576" s="20" t="s">
        <v>333</v>
      </c>
      <c r="AE576" s="20" t="s">
        <v>333</v>
      </c>
      <c r="AF576" s="20" t="s">
        <v>333</v>
      </c>
      <c r="AG576" s="20" t="s">
        <v>344</v>
      </c>
      <c r="AH576" s="20" t="s">
        <v>344</v>
      </c>
      <c r="AI576" s="20" t="s">
        <v>333</v>
      </c>
      <c r="AJ576" s="20"/>
      <c r="AK576" s="20" t="s">
        <v>347</v>
      </c>
      <c r="AL576" s="20" t="s">
        <v>1269</v>
      </c>
      <c r="AM576" s="20" t="s">
        <v>347</v>
      </c>
      <c r="AN576" s="20" t="s">
        <v>349</v>
      </c>
      <c r="AO576" s="20"/>
      <c r="AP576" s="20" t="s">
        <v>1736</v>
      </c>
      <c r="AQ576" s="20" t="s">
        <v>1695</v>
      </c>
      <c r="AR576" s="20"/>
      <c r="AS576" s="20"/>
    </row>
    <row r="577">
      <c r="A577" s="20" t="s">
        <v>4562</v>
      </c>
      <c r="B577" s="20" t="s">
        <v>2773</v>
      </c>
      <c r="C577" s="20" t="s">
        <v>2774</v>
      </c>
      <c r="D577" s="20"/>
      <c r="E577" s="20" t="s">
        <v>49</v>
      </c>
      <c r="F577" s="20"/>
      <c r="G577" s="20"/>
      <c r="H577" s="20" t="s">
        <v>123</v>
      </c>
      <c r="I577" s="20" t="s">
        <v>124</v>
      </c>
      <c r="J577" s="20" t="s">
        <v>74</v>
      </c>
      <c r="K577" s="20" t="s">
        <v>55</v>
      </c>
      <c r="L577" s="20" t="s">
        <v>56</v>
      </c>
      <c r="M577" s="20" t="s">
        <v>57</v>
      </c>
      <c r="N577" s="20" t="s">
        <v>333</v>
      </c>
      <c r="O577" s="20" t="s">
        <v>1591</v>
      </c>
      <c r="P577" s="20" t="s">
        <v>2287</v>
      </c>
      <c r="Q577" s="20" t="s">
        <v>59</v>
      </c>
      <c r="R577" s="20" t="s">
        <v>333</v>
      </c>
      <c r="S577" s="20" t="s">
        <v>333</v>
      </c>
      <c r="T577" s="20"/>
      <c r="U577" s="20"/>
      <c r="V577" s="20" t="s">
        <v>344</v>
      </c>
      <c r="W577" s="20" t="s">
        <v>333</v>
      </c>
      <c r="X577" s="20" t="s">
        <v>333</v>
      </c>
      <c r="Y577" s="20" t="s">
        <v>333</v>
      </c>
      <c r="Z577" s="20" t="s">
        <v>333</v>
      </c>
      <c r="AA577" s="20" t="s">
        <v>333</v>
      </c>
      <c r="AB577" s="20" t="s">
        <v>333</v>
      </c>
      <c r="AC577" s="20"/>
      <c r="AD577" s="20" t="s">
        <v>333</v>
      </c>
      <c r="AE577" s="20" t="s">
        <v>333</v>
      </c>
      <c r="AF577" s="20" t="s">
        <v>333</v>
      </c>
      <c r="AG577" s="20" t="s">
        <v>344</v>
      </c>
      <c r="AH577" s="20" t="s">
        <v>344</v>
      </c>
      <c r="AI577" s="20" t="s">
        <v>333</v>
      </c>
      <c r="AJ577" s="20"/>
      <c r="AK577" s="20" t="s">
        <v>347</v>
      </c>
      <c r="AL577" s="20" t="s">
        <v>348</v>
      </c>
      <c r="AM577" s="20" t="s">
        <v>347</v>
      </c>
      <c r="AN577" s="20" t="s">
        <v>349</v>
      </c>
      <c r="AO577" s="20"/>
      <c r="AP577" s="20" t="s">
        <v>1591</v>
      </c>
      <c r="AQ577" s="20" t="s">
        <v>2287</v>
      </c>
      <c r="AR577" s="20"/>
      <c r="AS577" s="20"/>
    </row>
    <row r="578">
      <c r="A578" s="20" t="s">
        <v>4563</v>
      </c>
      <c r="B578" s="20" t="s">
        <v>3384</v>
      </c>
      <c r="C578" s="20" t="s">
        <v>3385</v>
      </c>
      <c r="D578" s="20"/>
      <c r="E578" s="20" t="s">
        <v>49</v>
      </c>
      <c r="F578" s="20"/>
      <c r="G578" s="20"/>
      <c r="H578" s="20" t="s">
        <v>123</v>
      </c>
      <c r="I578" s="20" t="s">
        <v>124</v>
      </c>
      <c r="J578" s="20" t="s">
        <v>74</v>
      </c>
      <c r="K578" s="20" t="s">
        <v>55</v>
      </c>
      <c r="L578" s="20" t="s">
        <v>56</v>
      </c>
      <c r="M578" s="20" t="s">
        <v>57</v>
      </c>
      <c r="N578" s="20" t="s">
        <v>333</v>
      </c>
      <c r="O578" s="20" t="s">
        <v>1682</v>
      </c>
      <c r="P578" s="20" t="s">
        <v>1559</v>
      </c>
      <c r="Q578" s="20" t="s">
        <v>59</v>
      </c>
      <c r="R578" s="20" t="s">
        <v>333</v>
      </c>
      <c r="S578" s="20" t="s">
        <v>333</v>
      </c>
      <c r="T578" s="20"/>
      <c r="U578" s="20"/>
      <c r="V578" s="20" t="s">
        <v>344</v>
      </c>
      <c r="W578" s="20" t="s">
        <v>333</v>
      </c>
      <c r="X578" s="20" t="s">
        <v>333</v>
      </c>
      <c r="Y578" s="20" t="s">
        <v>333</v>
      </c>
      <c r="Z578" s="20" t="s">
        <v>333</v>
      </c>
      <c r="AA578" s="20" t="s">
        <v>333</v>
      </c>
      <c r="AB578" s="20" t="s">
        <v>333</v>
      </c>
      <c r="AC578" s="20"/>
      <c r="AD578" s="20" t="s">
        <v>333</v>
      </c>
      <c r="AE578" s="20" t="s">
        <v>333</v>
      </c>
      <c r="AF578" s="20" t="s">
        <v>333</v>
      </c>
      <c r="AG578" s="20" t="s">
        <v>344</v>
      </c>
      <c r="AH578" s="20" t="s">
        <v>344</v>
      </c>
      <c r="AI578" s="20" t="s">
        <v>333</v>
      </c>
      <c r="AJ578" s="20"/>
      <c r="AK578" s="20" t="s">
        <v>347</v>
      </c>
      <c r="AL578" s="20" t="s">
        <v>2019</v>
      </c>
      <c r="AM578" s="20" t="s">
        <v>347</v>
      </c>
      <c r="AN578" s="20" t="s">
        <v>349</v>
      </c>
      <c r="AO578" s="20"/>
      <c r="AP578" s="20" t="s">
        <v>1682</v>
      </c>
      <c r="AQ578" s="20" t="s">
        <v>1559</v>
      </c>
      <c r="AR578" s="20"/>
      <c r="AS578" s="20"/>
    </row>
    <row r="579">
      <c r="A579" s="20" t="s">
        <v>4564</v>
      </c>
      <c r="B579" s="20" t="s">
        <v>1990</v>
      </c>
      <c r="C579" s="20" t="s">
        <v>1991</v>
      </c>
      <c r="D579" s="20" t="s">
        <v>1992</v>
      </c>
      <c r="E579" s="20" t="s">
        <v>49</v>
      </c>
      <c r="F579" s="20"/>
      <c r="G579" s="20"/>
      <c r="H579" s="20" t="s">
        <v>303</v>
      </c>
      <c r="I579" s="20" t="s">
        <v>303</v>
      </c>
      <c r="J579" s="20" t="s">
        <v>74</v>
      </c>
      <c r="K579" s="20" t="s">
        <v>55</v>
      </c>
      <c r="L579" s="20" t="s">
        <v>56</v>
      </c>
      <c r="M579" s="20" t="s">
        <v>57</v>
      </c>
      <c r="N579" s="20" t="s">
        <v>333</v>
      </c>
      <c r="O579" s="20" t="s">
        <v>1556</v>
      </c>
      <c r="P579" s="20" t="s">
        <v>1556</v>
      </c>
      <c r="Q579" s="20" t="s">
        <v>59</v>
      </c>
      <c r="R579" s="20" t="s">
        <v>333</v>
      </c>
      <c r="S579" s="20" t="s">
        <v>333</v>
      </c>
      <c r="T579" s="20" t="s">
        <v>4565</v>
      </c>
      <c r="U579" s="20"/>
      <c r="V579" s="20" t="s">
        <v>344</v>
      </c>
      <c r="W579" s="20" t="s">
        <v>333</v>
      </c>
      <c r="X579" s="20" t="s">
        <v>333</v>
      </c>
      <c r="Y579" s="20" t="s">
        <v>333</v>
      </c>
      <c r="Z579" s="20" t="s">
        <v>333</v>
      </c>
      <c r="AA579" s="20" t="s">
        <v>333</v>
      </c>
      <c r="AB579" s="20" t="s">
        <v>333</v>
      </c>
      <c r="AC579" s="20"/>
      <c r="AD579" s="20" t="s">
        <v>333</v>
      </c>
      <c r="AE579" s="20" t="s">
        <v>333</v>
      </c>
      <c r="AF579" s="20" t="s">
        <v>333</v>
      </c>
      <c r="AG579" s="20" t="s">
        <v>344</v>
      </c>
      <c r="AH579" s="20" t="s">
        <v>344</v>
      </c>
      <c r="AI579" s="20" t="s">
        <v>333</v>
      </c>
      <c r="AJ579" s="20"/>
      <c r="AK579" s="20" t="s">
        <v>1260</v>
      </c>
      <c r="AL579" s="20" t="s">
        <v>1245</v>
      </c>
      <c r="AM579" s="20" t="s">
        <v>1260</v>
      </c>
      <c r="AN579" s="20" t="s">
        <v>349</v>
      </c>
      <c r="AO579" s="20"/>
      <c r="AP579" s="20" t="s">
        <v>1556</v>
      </c>
      <c r="AQ579" s="20" t="s">
        <v>1556</v>
      </c>
      <c r="AR579" s="20"/>
      <c r="AS579" s="20"/>
    </row>
    <row r="580">
      <c r="A580" s="20" t="s">
        <v>4566</v>
      </c>
      <c r="B580" s="20" t="s">
        <v>3440</v>
      </c>
      <c r="C580" s="20" t="s">
        <v>3441</v>
      </c>
      <c r="D580" s="20" t="s">
        <v>3443</v>
      </c>
      <c r="E580" s="20" t="s">
        <v>49</v>
      </c>
      <c r="F580" s="20"/>
      <c r="G580" s="20"/>
      <c r="H580" s="20" t="s">
        <v>303</v>
      </c>
      <c r="I580" s="20" t="s">
        <v>303</v>
      </c>
      <c r="J580" s="20" t="s">
        <v>74</v>
      </c>
      <c r="K580" s="20" t="s">
        <v>55</v>
      </c>
      <c r="L580" s="20" t="s">
        <v>56</v>
      </c>
      <c r="M580" s="20" t="s">
        <v>57</v>
      </c>
      <c r="N580" s="20" t="s">
        <v>333</v>
      </c>
      <c r="O580" s="20" t="s">
        <v>1586</v>
      </c>
      <c r="P580" s="20" t="s">
        <v>1941</v>
      </c>
      <c r="Q580" s="20" t="s">
        <v>59</v>
      </c>
      <c r="R580" s="20" t="s">
        <v>333</v>
      </c>
      <c r="S580" s="20" t="s">
        <v>333</v>
      </c>
      <c r="T580" s="20" t="s">
        <v>948</v>
      </c>
      <c r="U580" s="20"/>
      <c r="V580" s="20" t="s">
        <v>344</v>
      </c>
      <c r="W580" s="20" t="s">
        <v>333</v>
      </c>
      <c r="X580" s="20" t="s">
        <v>333</v>
      </c>
      <c r="Y580" s="20" t="s">
        <v>333</v>
      </c>
      <c r="Z580" s="20" t="s">
        <v>333</v>
      </c>
      <c r="AA580" s="20" t="s">
        <v>333</v>
      </c>
      <c r="AB580" s="20" t="s">
        <v>333</v>
      </c>
      <c r="AC580" s="20"/>
      <c r="AD580" s="20" t="s">
        <v>333</v>
      </c>
      <c r="AE580" s="20" t="s">
        <v>333</v>
      </c>
      <c r="AF580" s="20" t="s">
        <v>333</v>
      </c>
      <c r="AG580" s="20" t="s">
        <v>344</v>
      </c>
      <c r="AH580" s="20" t="s">
        <v>344</v>
      </c>
      <c r="AI580" s="20" t="s">
        <v>333</v>
      </c>
      <c r="AJ580" s="20"/>
      <c r="AK580" s="20" t="s">
        <v>349</v>
      </c>
      <c r="AL580" s="20" t="s">
        <v>349</v>
      </c>
      <c r="AM580" s="20" t="s">
        <v>349</v>
      </c>
      <c r="AN580" s="20" t="s">
        <v>349</v>
      </c>
      <c r="AO580" s="20"/>
      <c r="AP580" s="20" t="s">
        <v>1586</v>
      </c>
      <c r="AQ580" s="20" t="s">
        <v>1941</v>
      </c>
      <c r="AR580" s="20"/>
      <c r="AS580" s="20"/>
    </row>
    <row r="581">
      <c r="A581" s="20" t="s">
        <v>4567</v>
      </c>
      <c r="B581" s="20" t="s">
        <v>793</v>
      </c>
      <c r="C581" s="20" t="s">
        <v>795</v>
      </c>
      <c r="D581" s="20"/>
      <c r="E581" s="20" t="s">
        <v>49</v>
      </c>
      <c r="F581" s="20"/>
      <c r="G581" s="20"/>
      <c r="H581" s="20" t="s">
        <v>799</v>
      </c>
      <c r="I581" s="20" t="s">
        <v>800</v>
      </c>
      <c r="J581" s="20" t="s">
        <v>800</v>
      </c>
      <c r="K581" s="20" t="s">
        <v>55</v>
      </c>
      <c r="L581" s="20" t="s">
        <v>56</v>
      </c>
      <c r="M581" s="20" t="s">
        <v>57</v>
      </c>
      <c r="N581" s="20" t="s">
        <v>333</v>
      </c>
      <c r="O581" s="20" t="s">
        <v>1269</v>
      </c>
      <c r="P581" s="20" t="s">
        <v>1661</v>
      </c>
      <c r="Q581" s="20" t="s">
        <v>59</v>
      </c>
      <c r="R581" s="20" t="s">
        <v>333</v>
      </c>
      <c r="S581" s="20" t="s">
        <v>333</v>
      </c>
      <c r="T581" s="20"/>
      <c r="U581" s="20"/>
      <c r="V581" s="20" t="s">
        <v>344</v>
      </c>
      <c r="W581" s="20" t="s">
        <v>333</v>
      </c>
      <c r="X581" s="20" t="s">
        <v>333</v>
      </c>
      <c r="Y581" s="20" t="s">
        <v>333</v>
      </c>
      <c r="Z581" s="20" t="s">
        <v>333</v>
      </c>
      <c r="AA581" s="20" t="s">
        <v>333</v>
      </c>
      <c r="AB581" s="20" t="s">
        <v>333</v>
      </c>
      <c r="AC581" s="20"/>
      <c r="AD581" s="20" t="s">
        <v>333</v>
      </c>
      <c r="AE581" s="20" t="s">
        <v>333</v>
      </c>
      <c r="AF581" s="20" t="s">
        <v>333</v>
      </c>
      <c r="AG581" s="20" t="s">
        <v>344</v>
      </c>
      <c r="AH581" s="20" t="s">
        <v>344</v>
      </c>
      <c r="AI581" s="20" t="s">
        <v>333</v>
      </c>
      <c r="AJ581" s="20"/>
      <c r="AK581" s="20" t="s">
        <v>1595</v>
      </c>
      <c r="AL581" s="20" t="s">
        <v>1736</v>
      </c>
      <c r="AM581" s="20" t="s">
        <v>1595</v>
      </c>
      <c r="AN581" s="20" t="s">
        <v>349</v>
      </c>
      <c r="AO581" s="20"/>
      <c r="AP581" s="20" t="s">
        <v>1269</v>
      </c>
      <c r="AQ581" s="20" t="s">
        <v>1661</v>
      </c>
      <c r="AR581" s="20"/>
      <c r="AS581" s="20"/>
    </row>
    <row r="582">
      <c r="A582" s="20" t="s">
        <v>4568</v>
      </c>
      <c r="B582" s="20" t="s">
        <v>4569</v>
      </c>
      <c r="C582" s="20" t="s">
        <v>4570</v>
      </c>
      <c r="D582" s="20" t="s">
        <v>4571</v>
      </c>
      <c r="E582" s="20" t="s">
        <v>49</v>
      </c>
      <c r="F582" s="20"/>
      <c r="G582" s="20"/>
      <c r="H582" s="20" t="s">
        <v>303</v>
      </c>
      <c r="I582" s="20" t="s">
        <v>303</v>
      </c>
      <c r="J582" s="20" t="s">
        <v>74</v>
      </c>
      <c r="K582" s="20" t="s">
        <v>55</v>
      </c>
      <c r="L582" s="20" t="s">
        <v>56</v>
      </c>
      <c r="M582" s="20" t="s">
        <v>57</v>
      </c>
      <c r="N582" s="20" t="s">
        <v>333</v>
      </c>
      <c r="O582" s="20" t="s">
        <v>1256</v>
      </c>
      <c r="P582" s="20" t="s">
        <v>1591</v>
      </c>
      <c r="Q582" s="20" t="s">
        <v>59</v>
      </c>
      <c r="R582" s="20" t="s">
        <v>333</v>
      </c>
      <c r="S582" s="20" t="s">
        <v>333</v>
      </c>
      <c r="T582" s="20" t="s">
        <v>3186</v>
      </c>
      <c r="U582" s="20"/>
      <c r="V582" s="20" t="s">
        <v>344</v>
      </c>
      <c r="W582" s="20" t="s">
        <v>333</v>
      </c>
      <c r="X582" s="20" t="s">
        <v>333</v>
      </c>
      <c r="Y582" s="20" t="s">
        <v>333</v>
      </c>
      <c r="Z582" s="20" t="s">
        <v>333</v>
      </c>
      <c r="AA582" s="20" t="s">
        <v>333</v>
      </c>
      <c r="AB582" s="20" t="s">
        <v>333</v>
      </c>
      <c r="AC582" s="20"/>
      <c r="AD582" s="20" t="s">
        <v>333</v>
      </c>
      <c r="AE582" s="20" t="s">
        <v>333</v>
      </c>
      <c r="AF582" s="20" t="s">
        <v>333</v>
      </c>
      <c r="AG582" s="20" t="s">
        <v>344</v>
      </c>
      <c r="AH582" s="20" t="s">
        <v>344</v>
      </c>
      <c r="AI582" s="20" t="s">
        <v>333</v>
      </c>
      <c r="AJ582" s="20"/>
      <c r="AK582" s="20" t="s">
        <v>347</v>
      </c>
      <c r="AL582" s="20" t="s">
        <v>1245</v>
      </c>
      <c r="AM582" s="20" t="s">
        <v>347</v>
      </c>
      <c r="AN582" s="20" t="s">
        <v>349</v>
      </c>
      <c r="AO582" s="20"/>
      <c r="AP582" s="20" t="s">
        <v>1256</v>
      </c>
      <c r="AQ582" s="20" t="s">
        <v>1591</v>
      </c>
      <c r="AR582" s="20"/>
      <c r="AS582" s="20"/>
    </row>
    <row r="583">
      <c r="A583" s="20" t="s">
        <v>4572</v>
      </c>
      <c r="B583" s="20" t="s">
        <v>3863</v>
      </c>
      <c r="C583" s="20" t="s">
        <v>3864</v>
      </c>
      <c r="D583" s="20" t="s">
        <v>4573</v>
      </c>
      <c r="E583" s="20" t="s">
        <v>49</v>
      </c>
      <c r="F583" s="20"/>
      <c r="G583" s="20"/>
      <c r="H583" s="20" t="s">
        <v>303</v>
      </c>
      <c r="I583" s="20" t="s">
        <v>303</v>
      </c>
      <c r="J583" s="20" t="s">
        <v>74</v>
      </c>
      <c r="K583" s="20" t="s">
        <v>55</v>
      </c>
      <c r="L583" s="20" t="s">
        <v>56</v>
      </c>
      <c r="M583" s="20" t="s">
        <v>57</v>
      </c>
      <c r="N583" s="20" t="s">
        <v>333</v>
      </c>
      <c r="O583" s="20" t="s">
        <v>1745</v>
      </c>
      <c r="P583" s="20" t="s">
        <v>1596</v>
      </c>
      <c r="Q583" s="20" t="s">
        <v>59</v>
      </c>
      <c r="R583" s="20" t="s">
        <v>333</v>
      </c>
      <c r="S583" s="20" t="s">
        <v>333</v>
      </c>
      <c r="T583" s="20" t="s">
        <v>3867</v>
      </c>
      <c r="U583" s="20" t="s">
        <v>275</v>
      </c>
      <c r="V583" s="20" t="s">
        <v>344</v>
      </c>
      <c r="W583" s="20" t="s">
        <v>333</v>
      </c>
      <c r="X583" s="20" t="s">
        <v>333</v>
      </c>
      <c r="Y583" s="20" t="s">
        <v>333</v>
      </c>
      <c r="Z583" s="20" t="s">
        <v>333</v>
      </c>
      <c r="AA583" s="20" t="s">
        <v>333</v>
      </c>
      <c r="AB583" s="20" t="s">
        <v>333</v>
      </c>
      <c r="AC583" s="20"/>
      <c r="AD583" s="20" t="s">
        <v>333</v>
      </c>
      <c r="AE583" s="20" t="s">
        <v>333</v>
      </c>
      <c r="AF583" s="20" t="s">
        <v>333</v>
      </c>
      <c r="AG583" s="20" t="s">
        <v>344</v>
      </c>
      <c r="AH583" s="20" t="s">
        <v>344</v>
      </c>
      <c r="AI583" s="20" t="s">
        <v>333</v>
      </c>
      <c r="AJ583" s="20"/>
      <c r="AK583" s="20" t="s">
        <v>347</v>
      </c>
      <c r="AL583" s="20" t="s">
        <v>1586</v>
      </c>
      <c r="AM583" s="20" t="s">
        <v>347</v>
      </c>
      <c r="AN583" s="20" t="s">
        <v>349</v>
      </c>
      <c r="AO583" s="20"/>
      <c r="AP583" s="20" t="s">
        <v>1745</v>
      </c>
      <c r="AQ583" s="20" t="s">
        <v>1596</v>
      </c>
      <c r="AR583" s="20"/>
      <c r="AS583" s="20"/>
    </row>
    <row r="584">
      <c r="A584" s="20" t="s">
        <v>4574</v>
      </c>
      <c r="B584" s="20" t="s">
        <v>3194</v>
      </c>
      <c r="C584" s="20" t="s">
        <v>3195</v>
      </c>
      <c r="D584" s="20"/>
      <c r="E584" s="20" t="s">
        <v>49</v>
      </c>
      <c r="F584" s="20"/>
      <c r="G584" s="20"/>
      <c r="H584" s="20" t="s">
        <v>3198</v>
      </c>
      <c r="I584" s="20" t="s">
        <v>3199</v>
      </c>
      <c r="J584" s="20" t="s">
        <v>74</v>
      </c>
      <c r="K584" s="20" t="s">
        <v>55</v>
      </c>
      <c r="L584" s="20" t="s">
        <v>56</v>
      </c>
      <c r="M584" s="20" t="s">
        <v>57</v>
      </c>
      <c r="N584" s="20" t="s">
        <v>333</v>
      </c>
      <c r="O584" s="20" t="s">
        <v>334</v>
      </c>
      <c r="P584" s="20" t="s">
        <v>335</v>
      </c>
      <c r="Q584" s="20" t="s">
        <v>59</v>
      </c>
      <c r="R584" s="20" t="s">
        <v>333</v>
      </c>
      <c r="S584" s="20" t="s">
        <v>333</v>
      </c>
      <c r="T584" s="20"/>
      <c r="U584" s="20"/>
      <c r="V584" s="20" t="s">
        <v>344</v>
      </c>
      <c r="W584" s="20" t="s">
        <v>333</v>
      </c>
      <c r="X584" s="20" t="s">
        <v>333</v>
      </c>
      <c r="Y584" s="20" t="s">
        <v>333</v>
      </c>
      <c r="Z584" s="20" t="s">
        <v>333</v>
      </c>
      <c r="AA584" s="20" t="s">
        <v>333</v>
      </c>
      <c r="AB584" s="20" t="s">
        <v>333</v>
      </c>
      <c r="AC584" s="20"/>
      <c r="AD584" s="20" t="s">
        <v>333</v>
      </c>
      <c r="AE584" s="20" t="s">
        <v>333</v>
      </c>
      <c r="AF584" s="20" t="s">
        <v>333</v>
      </c>
      <c r="AG584" s="20" t="s">
        <v>344</v>
      </c>
      <c r="AH584" s="20" t="s">
        <v>344</v>
      </c>
      <c r="AI584" s="20" t="s">
        <v>333</v>
      </c>
      <c r="AJ584" s="20"/>
      <c r="AK584" s="20" t="s">
        <v>2152</v>
      </c>
      <c r="AL584" s="20" t="s">
        <v>1260</v>
      </c>
      <c r="AM584" s="20" t="s">
        <v>2152</v>
      </c>
      <c r="AN584" s="20" t="s">
        <v>349</v>
      </c>
      <c r="AO584" s="20"/>
      <c r="AP584" s="20" t="s">
        <v>334</v>
      </c>
      <c r="AQ584" s="20" t="s">
        <v>335</v>
      </c>
      <c r="AR584" s="20"/>
      <c r="AS584" s="20"/>
    </row>
    <row r="585">
      <c r="A585" s="20" t="s">
        <v>4575</v>
      </c>
      <c r="B585" s="20" t="s">
        <v>2947</v>
      </c>
      <c r="C585" s="20" t="s">
        <v>2948</v>
      </c>
      <c r="D585" s="20" t="s">
        <v>2949</v>
      </c>
      <c r="E585" s="20" t="s">
        <v>49</v>
      </c>
      <c r="F585" s="20"/>
      <c r="G585" s="20"/>
      <c r="H585" s="20" t="s">
        <v>2953</v>
      </c>
      <c r="I585" s="20" t="s">
        <v>116</v>
      </c>
      <c r="J585" s="20" t="s">
        <v>74</v>
      </c>
      <c r="K585" s="20" t="s">
        <v>55</v>
      </c>
      <c r="L585" s="20" t="s">
        <v>56</v>
      </c>
      <c r="M585" s="20" t="s">
        <v>57</v>
      </c>
      <c r="N585" s="20" t="s">
        <v>333</v>
      </c>
      <c r="O585" s="20" t="s">
        <v>1682</v>
      </c>
      <c r="P585" s="20" t="s">
        <v>1239</v>
      </c>
      <c r="Q585" s="20" t="s">
        <v>59</v>
      </c>
      <c r="R585" s="20" t="s">
        <v>333</v>
      </c>
      <c r="S585" s="20" t="s">
        <v>333</v>
      </c>
      <c r="T585" s="20"/>
      <c r="U585" s="20"/>
      <c r="V585" s="20" t="s">
        <v>344</v>
      </c>
      <c r="W585" s="20" t="s">
        <v>333</v>
      </c>
      <c r="X585" s="20" t="s">
        <v>333</v>
      </c>
      <c r="Y585" s="20" t="s">
        <v>333</v>
      </c>
      <c r="Z585" s="20" t="s">
        <v>333</v>
      </c>
      <c r="AA585" s="20" t="s">
        <v>333</v>
      </c>
      <c r="AB585" s="20" t="s">
        <v>333</v>
      </c>
      <c r="AC585" s="20"/>
      <c r="AD585" s="20" t="s">
        <v>333</v>
      </c>
      <c r="AE585" s="20" t="s">
        <v>333</v>
      </c>
      <c r="AF585" s="20" t="s">
        <v>333</v>
      </c>
      <c r="AG585" s="20" t="s">
        <v>344</v>
      </c>
      <c r="AH585" s="20" t="s">
        <v>344</v>
      </c>
      <c r="AI585" s="20" t="s">
        <v>333</v>
      </c>
      <c r="AJ585" s="20"/>
      <c r="AK585" s="20" t="s">
        <v>1663</v>
      </c>
      <c r="AL585" s="20" t="s">
        <v>2889</v>
      </c>
      <c r="AM585" s="20" t="s">
        <v>1663</v>
      </c>
      <c r="AN585" s="20" t="s">
        <v>349</v>
      </c>
      <c r="AO585" s="20" t="s">
        <v>4576</v>
      </c>
      <c r="AP585" s="20" t="s">
        <v>1682</v>
      </c>
      <c r="AQ585" s="20" t="s">
        <v>1239</v>
      </c>
      <c r="AR585" s="20"/>
      <c r="AS585" s="20"/>
    </row>
    <row r="586">
      <c r="A586" s="20" t="s">
        <v>4577</v>
      </c>
      <c r="B586" s="20" t="s">
        <v>4017</v>
      </c>
      <c r="C586" s="20" t="s">
        <v>4018</v>
      </c>
      <c r="D586" s="20"/>
      <c r="E586" s="20" t="s">
        <v>49</v>
      </c>
      <c r="F586" s="20"/>
      <c r="G586" s="20" t="s">
        <v>4578</v>
      </c>
      <c r="H586" s="20" t="s">
        <v>4024</v>
      </c>
      <c r="I586" s="20" t="s">
        <v>4025</v>
      </c>
      <c r="J586" s="20" t="s">
        <v>74</v>
      </c>
      <c r="K586" s="20" t="s">
        <v>55</v>
      </c>
      <c r="L586" s="20" t="s">
        <v>56</v>
      </c>
      <c r="M586" s="20" t="s">
        <v>57</v>
      </c>
      <c r="N586" s="20" t="s">
        <v>333</v>
      </c>
      <c r="O586" s="20" t="s">
        <v>1269</v>
      </c>
      <c r="P586" s="20"/>
      <c r="Q586" s="20" t="s">
        <v>59</v>
      </c>
      <c r="R586" s="20" t="s">
        <v>333</v>
      </c>
      <c r="S586" s="20" t="s">
        <v>333</v>
      </c>
      <c r="T586" s="20"/>
      <c r="U586" s="20"/>
      <c r="V586" s="20" t="s">
        <v>344</v>
      </c>
      <c r="W586" s="20" t="s">
        <v>333</v>
      </c>
      <c r="X586" s="20" t="s">
        <v>333</v>
      </c>
      <c r="Y586" s="20" t="s">
        <v>333</v>
      </c>
      <c r="Z586" s="20" t="s">
        <v>333</v>
      </c>
      <c r="AA586" s="20" t="s">
        <v>333</v>
      </c>
      <c r="AB586" s="20" t="s">
        <v>333</v>
      </c>
      <c r="AC586" s="20"/>
      <c r="AD586" s="20" t="s">
        <v>333</v>
      </c>
      <c r="AE586" s="20" t="s">
        <v>333</v>
      </c>
      <c r="AF586" s="20" t="s">
        <v>333</v>
      </c>
      <c r="AG586" s="20" t="s">
        <v>344</v>
      </c>
      <c r="AH586" s="20" t="s">
        <v>344</v>
      </c>
      <c r="AI586" s="20" t="s">
        <v>333</v>
      </c>
      <c r="AJ586" s="20"/>
      <c r="AK586" s="20" t="s">
        <v>1581</v>
      </c>
      <c r="AL586" s="20" t="s">
        <v>1673</v>
      </c>
      <c r="AM586" s="20" t="s">
        <v>1581</v>
      </c>
      <c r="AN586" s="20" t="s">
        <v>349</v>
      </c>
      <c r="AO586" s="20"/>
      <c r="AP586" s="20" t="s">
        <v>1269</v>
      </c>
      <c r="AQ586" s="20" t="s">
        <v>349</v>
      </c>
      <c r="AR586" s="20"/>
      <c r="AS586" s="20"/>
    </row>
    <row r="587">
      <c r="A587" s="20" t="s">
        <v>4579</v>
      </c>
      <c r="B587" s="20" t="s">
        <v>4114</v>
      </c>
      <c r="C587" s="20" t="s">
        <v>4115</v>
      </c>
      <c r="D587" s="20"/>
      <c r="E587" s="20" t="s">
        <v>49</v>
      </c>
      <c r="F587" s="20"/>
      <c r="G587" s="20"/>
      <c r="H587" s="20" t="s">
        <v>1110</v>
      </c>
      <c r="I587" s="20" t="s">
        <v>1111</v>
      </c>
      <c r="J587" s="20" t="s">
        <v>74</v>
      </c>
      <c r="K587" s="20" t="s">
        <v>55</v>
      </c>
      <c r="L587" s="20" t="s">
        <v>56</v>
      </c>
      <c r="M587" s="20" t="s">
        <v>57</v>
      </c>
      <c r="N587" s="20" t="s">
        <v>333</v>
      </c>
      <c r="O587" s="20" t="s">
        <v>1596</v>
      </c>
      <c r="P587" s="20" t="s">
        <v>1682</v>
      </c>
      <c r="Q587" s="20" t="s">
        <v>59</v>
      </c>
      <c r="R587" s="20" t="s">
        <v>333</v>
      </c>
      <c r="S587" s="20" t="s">
        <v>333</v>
      </c>
      <c r="T587" s="20"/>
      <c r="U587" s="20"/>
      <c r="V587" s="20" t="s">
        <v>344</v>
      </c>
      <c r="W587" s="20" t="s">
        <v>333</v>
      </c>
      <c r="X587" s="20" t="s">
        <v>333</v>
      </c>
      <c r="Y587" s="20" t="s">
        <v>333</v>
      </c>
      <c r="Z587" s="20" t="s">
        <v>333</v>
      </c>
      <c r="AA587" s="20" t="s">
        <v>333</v>
      </c>
      <c r="AB587" s="20" t="s">
        <v>333</v>
      </c>
      <c r="AC587" s="20"/>
      <c r="AD587" s="20" t="s">
        <v>333</v>
      </c>
      <c r="AE587" s="20" t="s">
        <v>333</v>
      </c>
      <c r="AF587" s="20" t="s">
        <v>333</v>
      </c>
      <c r="AG587" s="20" t="s">
        <v>344</v>
      </c>
      <c r="AH587" s="20" t="s">
        <v>344</v>
      </c>
      <c r="AI587" s="20" t="s">
        <v>333</v>
      </c>
      <c r="AJ587" s="20"/>
      <c r="AK587" s="20" t="s">
        <v>1736</v>
      </c>
      <c r="AL587" s="20" t="s">
        <v>1596</v>
      </c>
      <c r="AM587" s="20" t="s">
        <v>1736</v>
      </c>
      <c r="AN587" s="20" t="s">
        <v>349</v>
      </c>
      <c r="AO587" s="20"/>
      <c r="AP587" s="20" t="s">
        <v>1596</v>
      </c>
      <c r="AQ587" s="20" t="s">
        <v>1682</v>
      </c>
      <c r="AR587" s="20"/>
      <c r="AS587" s="20"/>
    </row>
    <row r="588">
      <c r="A588" s="20" t="s">
        <v>4580</v>
      </c>
      <c r="B588" s="20" t="s">
        <v>2243</v>
      </c>
      <c r="C588" s="20" t="s">
        <v>2244</v>
      </c>
      <c r="D588" s="20"/>
      <c r="E588" s="20" t="s">
        <v>49</v>
      </c>
      <c r="F588" s="20"/>
      <c r="G588" s="20"/>
      <c r="H588" s="20" t="s">
        <v>2064</v>
      </c>
      <c r="I588" s="20" t="s">
        <v>2065</v>
      </c>
      <c r="J588" s="20" t="s">
        <v>74</v>
      </c>
      <c r="K588" s="20" t="s">
        <v>55</v>
      </c>
      <c r="L588" s="20" t="s">
        <v>56</v>
      </c>
      <c r="M588" s="20" t="s">
        <v>57</v>
      </c>
      <c r="N588" s="20" t="s">
        <v>333</v>
      </c>
      <c r="O588" s="20" t="s">
        <v>2287</v>
      </c>
      <c r="P588" s="20" t="s">
        <v>1559</v>
      </c>
      <c r="Q588" s="20" t="s">
        <v>59</v>
      </c>
      <c r="R588" s="20" t="s">
        <v>333</v>
      </c>
      <c r="S588" s="20" t="s">
        <v>333</v>
      </c>
      <c r="T588" s="20"/>
      <c r="U588" s="20"/>
      <c r="V588" s="20" t="s">
        <v>344</v>
      </c>
      <c r="W588" s="20" t="s">
        <v>333</v>
      </c>
      <c r="X588" s="20" t="s">
        <v>333</v>
      </c>
      <c r="Y588" s="20" t="s">
        <v>333</v>
      </c>
      <c r="Z588" s="20" t="s">
        <v>333</v>
      </c>
      <c r="AA588" s="20" t="s">
        <v>333</v>
      </c>
      <c r="AB588" s="20" t="s">
        <v>333</v>
      </c>
      <c r="AC588" s="20"/>
      <c r="AD588" s="20" t="s">
        <v>333</v>
      </c>
      <c r="AE588" s="20" t="s">
        <v>333</v>
      </c>
      <c r="AF588" s="20" t="s">
        <v>333</v>
      </c>
      <c r="AG588" s="20" t="s">
        <v>344</v>
      </c>
      <c r="AH588" s="20" t="s">
        <v>344</v>
      </c>
      <c r="AI588" s="20" t="s">
        <v>333</v>
      </c>
      <c r="AJ588" s="20"/>
      <c r="AK588" s="20" t="s">
        <v>1274</v>
      </c>
      <c r="AL588" s="20" t="s">
        <v>1596</v>
      </c>
      <c r="AM588" s="20" t="s">
        <v>1274</v>
      </c>
      <c r="AN588" s="20" t="s">
        <v>349</v>
      </c>
      <c r="AO588" s="20"/>
      <c r="AP588" s="20" t="s">
        <v>2287</v>
      </c>
      <c r="AQ588" s="20" t="s">
        <v>1559</v>
      </c>
      <c r="AR588" s="20"/>
      <c r="AS588" s="20"/>
    </row>
    <row r="589">
      <c r="A589" s="20" t="s">
        <v>4581</v>
      </c>
      <c r="B589" s="20" t="s">
        <v>4582</v>
      </c>
      <c r="C589" s="20" t="s">
        <v>4583</v>
      </c>
      <c r="D589" s="20"/>
      <c r="E589" s="20" t="s">
        <v>49</v>
      </c>
      <c r="F589" s="20"/>
      <c r="G589" s="20"/>
      <c r="H589" s="20" t="s">
        <v>303</v>
      </c>
      <c r="I589" s="20" t="s">
        <v>303</v>
      </c>
      <c r="J589" s="20" t="s">
        <v>74</v>
      </c>
      <c r="K589" s="20" t="s">
        <v>55</v>
      </c>
      <c r="L589" s="20" t="s">
        <v>56</v>
      </c>
      <c r="M589" s="20" t="s">
        <v>57</v>
      </c>
      <c r="N589" s="20" t="s">
        <v>333</v>
      </c>
      <c r="O589" s="20"/>
      <c r="P589" s="20"/>
      <c r="Q589" s="20" t="s">
        <v>59</v>
      </c>
      <c r="R589" s="20" t="s">
        <v>333</v>
      </c>
      <c r="S589" s="20" t="s">
        <v>333</v>
      </c>
      <c r="T589" s="20"/>
      <c r="U589" s="20"/>
      <c r="V589" s="20" t="s">
        <v>344</v>
      </c>
      <c r="W589" s="20" t="s">
        <v>333</v>
      </c>
      <c r="X589" s="20" t="s">
        <v>333</v>
      </c>
      <c r="Y589" s="20" t="s">
        <v>333</v>
      </c>
      <c r="Z589" s="20" t="s">
        <v>333</v>
      </c>
      <c r="AA589" s="20" t="s">
        <v>333</v>
      </c>
      <c r="AB589" s="20" t="s">
        <v>333</v>
      </c>
      <c r="AC589" s="20"/>
      <c r="AD589" s="20" t="s">
        <v>333</v>
      </c>
      <c r="AE589" s="20" t="s">
        <v>333</v>
      </c>
      <c r="AF589" s="20" t="s">
        <v>333</v>
      </c>
      <c r="AG589" s="20" t="s">
        <v>344</v>
      </c>
      <c r="AH589" s="20" t="s">
        <v>344</v>
      </c>
      <c r="AI589" s="20" t="s">
        <v>333</v>
      </c>
      <c r="AJ589" s="20"/>
      <c r="AK589" s="20" t="s">
        <v>349</v>
      </c>
      <c r="AL589" s="20" t="s">
        <v>349</v>
      </c>
      <c r="AM589" s="20" t="s">
        <v>349</v>
      </c>
      <c r="AN589" s="20" t="s">
        <v>349</v>
      </c>
      <c r="AO589" s="20"/>
      <c r="AP589" s="20" t="s">
        <v>349</v>
      </c>
      <c r="AQ589" s="20" t="s">
        <v>349</v>
      </c>
      <c r="AR589" s="20"/>
      <c r="AS589" s="20"/>
    </row>
    <row r="590">
      <c r="A590" s="20" t="s">
        <v>4584</v>
      </c>
      <c r="B590" s="20" t="s">
        <v>689</v>
      </c>
      <c r="C590" s="20" t="s">
        <v>690</v>
      </c>
      <c r="D590" s="20" t="s">
        <v>692</v>
      </c>
      <c r="E590" s="20" t="s">
        <v>49</v>
      </c>
      <c r="F590" s="20"/>
      <c r="G590" s="20"/>
      <c r="H590" s="20" t="s">
        <v>75</v>
      </c>
      <c r="I590" s="20" t="s">
        <v>76</v>
      </c>
      <c r="J590" s="20" t="s">
        <v>76</v>
      </c>
      <c r="K590" s="20" t="s">
        <v>55</v>
      </c>
      <c r="L590" s="20" t="s">
        <v>56</v>
      </c>
      <c r="M590" s="20" t="s">
        <v>57</v>
      </c>
      <c r="N590" s="20" t="s">
        <v>333</v>
      </c>
      <c r="O590" s="20" t="s">
        <v>1556</v>
      </c>
      <c r="P590" s="20"/>
      <c r="Q590" s="20" t="s">
        <v>59</v>
      </c>
      <c r="R590" s="20" t="s">
        <v>333</v>
      </c>
      <c r="S590" s="20" t="s">
        <v>333</v>
      </c>
      <c r="T590" s="20" t="s">
        <v>696</v>
      </c>
      <c r="U590" s="20"/>
      <c r="V590" s="20" t="s">
        <v>344</v>
      </c>
      <c r="W590" s="20" t="s">
        <v>333</v>
      </c>
      <c r="X590" s="20" t="s">
        <v>333</v>
      </c>
      <c r="Y590" s="20" t="s">
        <v>333</v>
      </c>
      <c r="Z590" s="20" t="s">
        <v>333</v>
      </c>
      <c r="AA590" s="20" t="s">
        <v>333</v>
      </c>
      <c r="AB590" s="20" t="s">
        <v>333</v>
      </c>
      <c r="AC590" s="20"/>
      <c r="AD590" s="20" t="s">
        <v>333</v>
      </c>
      <c r="AE590" s="20" t="s">
        <v>333</v>
      </c>
      <c r="AF590" s="20" t="s">
        <v>333</v>
      </c>
      <c r="AG590" s="20" t="s">
        <v>344</v>
      </c>
      <c r="AH590" s="20" t="s">
        <v>344</v>
      </c>
      <c r="AI590" s="20" t="s">
        <v>333</v>
      </c>
      <c r="AJ590" s="20"/>
      <c r="AK590" s="20" t="s">
        <v>1581</v>
      </c>
      <c r="AL590" s="20" t="s">
        <v>349</v>
      </c>
      <c r="AM590" s="20" t="s">
        <v>1581</v>
      </c>
      <c r="AN590" s="20" t="s">
        <v>349</v>
      </c>
      <c r="AO590" s="20"/>
      <c r="AP590" s="20" t="s">
        <v>1556</v>
      </c>
      <c r="AQ590" s="20" t="s">
        <v>349</v>
      </c>
      <c r="AR590" s="20"/>
      <c r="AS590" s="20"/>
    </row>
    <row r="591">
      <c r="A591" s="20" t="s">
        <v>4585</v>
      </c>
      <c r="B591" s="20" t="s">
        <v>2007</v>
      </c>
      <c r="C591" s="20" t="s">
        <v>2008</v>
      </c>
      <c r="D591" s="20"/>
      <c r="E591" s="20" t="s">
        <v>49</v>
      </c>
      <c r="F591" s="20"/>
      <c r="G591" s="20"/>
      <c r="H591" s="20" t="s">
        <v>285</v>
      </c>
      <c r="I591" s="20" t="s">
        <v>286</v>
      </c>
      <c r="J591" s="20" t="s">
        <v>74</v>
      </c>
      <c r="K591" s="20" t="s">
        <v>55</v>
      </c>
      <c r="L591" s="20" t="s">
        <v>56</v>
      </c>
      <c r="M591" s="20" t="s">
        <v>57</v>
      </c>
      <c r="N591" s="20" t="s">
        <v>333</v>
      </c>
      <c r="O591" s="20" t="s">
        <v>1941</v>
      </c>
      <c r="P591" s="20"/>
      <c r="Q591" s="20" t="s">
        <v>59</v>
      </c>
      <c r="R591" s="20" t="s">
        <v>333</v>
      </c>
      <c r="S591" s="20" t="s">
        <v>333</v>
      </c>
      <c r="T591" s="20"/>
      <c r="U591" s="20"/>
      <c r="V591" s="20" t="s">
        <v>344</v>
      </c>
      <c r="W591" s="20" t="s">
        <v>333</v>
      </c>
      <c r="X591" s="20" t="s">
        <v>333</v>
      </c>
      <c r="Y591" s="20" t="s">
        <v>333</v>
      </c>
      <c r="Z591" s="20" t="s">
        <v>333</v>
      </c>
      <c r="AA591" s="20" t="s">
        <v>333</v>
      </c>
      <c r="AB591" s="20" t="s">
        <v>333</v>
      </c>
      <c r="AC591" s="20"/>
      <c r="AD591" s="20" t="s">
        <v>333</v>
      </c>
      <c r="AE591" s="20" t="s">
        <v>333</v>
      </c>
      <c r="AF591" s="20" t="s">
        <v>333</v>
      </c>
      <c r="AG591" s="20" t="s">
        <v>344</v>
      </c>
      <c r="AH591" s="20" t="s">
        <v>344</v>
      </c>
      <c r="AI591" s="20" t="s">
        <v>333</v>
      </c>
      <c r="AJ591" s="20"/>
      <c r="AK591" s="20" t="s">
        <v>1260</v>
      </c>
      <c r="AL591" s="20" t="s">
        <v>1596</v>
      </c>
      <c r="AM591" s="20" t="s">
        <v>1260</v>
      </c>
      <c r="AN591" s="20" t="s">
        <v>349</v>
      </c>
      <c r="AO591" s="20"/>
      <c r="AP591" s="20" t="s">
        <v>1941</v>
      </c>
      <c r="AQ591" s="20" t="s">
        <v>349</v>
      </c>
      <c r="AR591" s="20"/>
      <c r="AS591" s="20"/>
    </row>
    <row r="592">
      <c r="A592" s="20" t="s">
        <v>4586</v>
      </c>
      <c r="B592" s="20" t="s">
        <v>2388</v>
      </c>
      <c r="C592" s="20" t="s">
        <v>2389</v>
      </c>
      <c r="D592" s="20"/>
      <c r="E592" s="20" t="s">
        <v>49</v>
      </c>
      <c r="F592" s="20"/>
      <c r="G592" s="20"/>
      <c r="H592" s="20" t="s">
        <v>2393</v>
      </c>
      <c r="I592" s="20" t="s">
        <v>2394</v>
      </c>
      <c r="J592" s="20" t="s">
        <v>74</v>
      </c>
      <c r="K592" s="20" t="s">
        <v>55</v>
      </c>
      <c r="L592" s="20" t="s">
        <v>56</v>
      </c>
      <c r="M592" s="20" t="s">
        <v>57</v>
      </c>
      <c r="N592" s="20" t="s">
        <v>333</v>
      </c>
      <c r="O592" s="20" t="s">
        <v>1695</v>
      </c>
      <c r="P592" s="20" t="s">
        <v>1682</v>
      </c>
      <c r="Q592" s="20" t="s">
        <v>59</v>
      </c>
      <c r="R592" s="20" t="s">
        <v>333</v>
      </c>
      <c r="S592" s="20" t="s">
        <v>333</v>
      </c>
      <c r="T592" s="20"/>
      <c r="U592" s="20"/>
      <c r="V592" s="20" t="s">
        <v>344</v>
      </c>
      <c r="W592" s="20" t="s">
        <v>333</v>
      </c>
      <c r="X592" s="20" t="s">
        <v>333</v>
      </c>
      <c r="Y592" s="20" t="s">
        <v>333</v>
      </c>
      <c r="Z592" s="20" t="s">
        <v>333</v>
      </c>
      <c r="AA592" s="20" t="s">
        <v>333</v>
      </c>
      <c r="AB592" s="20" t="s">
        <v>333</v>
      </c>
      <c r="AC592" s="20"/>
      <c r="AD592" s="20" t="s">
        <v>333</v>
      </c>
      <c r="AE592" s="20" t="s">
        <v>333</v>
      </c>
      <c r="AF592" s="20" t="s">
        <v>333</v>
      </c>
      <c r="AG592" s="20" t="s">
        <v>344</v>
      </c>
      <c r="AH592" s="20" t="s">
        <v>344</v>
      </c>
      <c r="AI592" s="20" t="s">
        <v>333</v>
      </c>
      <c r="AJ592" s="20"/>
      <c r="AK592" s="20" t="s">
        <v>1244</v>
      </c>
      <c r="AL592" s="20" t="s">
        <v>348</v>
      </c>
      <c r="AM592" s="20" t="s">
        <v>1244</v>
      </c>
      <c r="AN592" s="20" t="s">
        <v>349</v>
      </c>
      <c r="AO592" s="20"/>
      <c r="AP592" s="20" t="s">
        <v>1695</v>
      </c>
      <c r="AQ592" s="20" t="s">
        <v>1682</v>
      </c>
      <c r="AR592" s="20"/>
      <c r="AS592" s="20"/>
    </row>
    <row r="593">
      <c r="A593" s="20" t="s">
        <v>4587</v>
      </c>
      <c r="B593" s="20" t="s">
        <v>3746</v>
      </c>
      <c r="C593" s="20" t="s">
        <v>3747</v>
      </c>
      <c r="D593" s="20"/>
      <c r="E593" s="20" t="s">
        <v>49</v>
      </c>
      <c r="F593" s="20"/>
      <c r="G593" s="20"/>
      <c r="H593" s="20" t="s">
        <v>142</v>
      </c>
      <c r="I593" s="20" t="s">
        <v>144</v>
      </c>
      <c r="J593" s="20" t="s">
        <v>74</v>
      </c>
      <c r="K593" s="20" t="s">
        <v>55</v>
      </c>
      <c r="L593" s="20" t="s">
        <v>56</v>
      </c>
      <c r="M593" s="20" t="s">
        <v>57</v>
      </c>
      <c r="N593" s="20" t="s">
        <v>333</v>
      </c>
      <c r="O593" s="20" t="s">
        <v>1556</v>
      </c>
      <c r="P593" s="20" t="s">
        <v>1559</v>
      </c>
      <c r="Q593" s="20" t="s">
        <v>59</v>
      </c>
      <c r="R593" s="20" t="s">
        <v>333</v>
      </c>
      <c r="S593" s="20" t="s">
        <v>333</v>
      </c>
      <c r="T593" s="20"/>
      <c r="U593" s="20"/>
      <c r="V593" s="20" t="s">
        <v>344</v>
      </c>
      <c r="W593" s="20" t="s">
        <v>333</v>
      </c>
      <c r="X593" s="20" t="s">
        <v>333</v>
      </c>
      <c r="Y593" s="20" t="s">
        <v>333</v>
      </c>
      <c r="Z593" s="20" t="s">
        <v>333</v>
      </c>
      <c r="AA593" s="20" t="s">
        <v>333</v>
      </c>
      <c r="AB593" s="20" t="s">
        <v>333</v>
      </c>
      <c r="AC593" s="20"/>
      <c r="AD593" s="20" t="s">
        <v>333</v>
      </c>
      <c r="AE593" s="20" t="s">
        <v>333</v>
      </c>
      <c r="AF593" s="20" t="s">
        <v>333</v>
      </c>
      <c r="AG593" s="20" t="s">
        <v>344</v>
      </c>
      <c r="AH593" s="20" t="s">
        <v>344</v>
      </c>
      <c r="AI593" s="20" t="s">
        <v>333</v>
      </c>
      <c r="AJ593" s="20"/>
      <c r="AK593" s="20" t="s">
        <v>1717</v>
      </c>
      <c r="AL593" s="20" t="s">
        <v>1261</v>
      </c>
      <c r="AM593" s="20" t="s">
        <v>1717</v>
      </c>
      <c r="AN593" s="20" t="s">
        <v>349</v>
      </c>
      <c r="AO593" s="20"/>
      <c r="AP593" s="20" t="s">
        <v>1556</v>
      </c>
      <c r="AQ593" s="20" t="s">
        <v>1559</v>
      </c>
      <c r="AR593" s="20"/>
      <c r="AS593" s="20"/>
    </row>
    <row r="594">
      <c r="A594" s="20" t="s">
        <v>4588</v>
      </c>
      <c r="B594" s="20" t="s">
        <v>3030</v>
      </c>
      <c r="C594" s="20" t="s">
        <v>3031</v>
      </c>
      <c r="D594" s="20"/>
      <c r="E594" s="20" t="s">
        <v>49</v>
      </c>
      <c r="F594" s="20"/>
      <c r="G594" s="20"/>
      <c r="H594" s="20" t="s">
        <v>107</v>
      </c>
      <c r="I594" s="20" t="s">
        <v>109</v>
      </c>
      <c r="J594" s="20" t="s">
        <v>74</v>
      </c>
      <c r="K594" s="20" t="s">
        <v>55</v>
      </c>
      <c r="L594" s="20" t="s">
        <v>56</v>
      </c>
      <c r="M594" s="20" t="s">
        <v>57</v>
      </c>
      <c r="N594" s="20" t="s">
        <v>333</v>
      </c>
      <c r="O594" s="20" t="s">
        <v>1682</v>
      </c>
      <c r="P594" s="20" t="s">
        <v>1559</v>
      </c>
      <c r="Q594" s="20" t="s">
        <v>59</v>
      </c>
      <c r="R594" s="20" t="s">
        <v>333</v>
      </c>
      <c r="S594" s="20" t="s">
        <v>333</v>
      </c>
      <c r="T594" s="20"/>
      <c r="U594" s="20"/>
      <c r="V594" s="20" t="s">
        <v>344</v>
      </c>
      <c r="W594" s="20" t="s">
        <v>333</v>
      </c>
      <c r="X594" s="20" t="s">
        <v>333</v>
      </c>
      <c r="Y594" s="20" t="s">
        <v>333</v>
      </c>
      <c r="Z594" s="20" t="s">
        <v>333</v>
      </c>
      <c r="AA594" s="20" t="s">
        <v>333</v>
      </c>
      <c r="AB594" s="20" t="s">
        <v>333</v>
      </c>
      <c r="AC594" s="20"/>
      <c r="AD594" s="20" t="s">
        <v>333</v>
      </c>
      <c r="AE594" s="20" t="s">
        <v>333</v>
      </c>
      <c r="AF594" s="20" t="s">
        <v>333</v>
      </c>
      <c r="AG594" s="20" t="s">
        <v>344</v>
      </c>
      <c r="AH594" s="20" t="s">
        <v>344</v>
      </c>
      <c r="AI594" s="20" t="s">
        <v>333</v>
      </c>
      <c r="AJ594" s="20"/>
      <c r="AK594" s="20" t="s">
        <v>1244</v>
      </c>
      <c r="AL594" s="20" t="s">
        <v>1245</v>
      </c>
      <c r="AM594" s="20" t="s">
        <v>1244</v>
      </c>
      <c r="AN594" s="20" t="s">
        <v>349</v>
      </c>
      <c r="AO594" s="20"/>
      <c r="AP594" s="20" t="s">
        <v>1682</v>
      </c>
      <c r="AQ594" s="20" t="s">
        <v>1559</v>
      </c>
      <c r="AR594" s="20"/>
      <c r="AS594" s="20"/>
    </row>
    <row r="595">
      <c r="A595" s="20" t="s">
        <v>4589</v>
      </c>
      <c r="B595" s="20" t="s">
        <v>4590</v>
      </c>
      <c r="C595" s="20" t="s">
        <v>4591</v>
      </c>
      <c r="D595" s="20"/>
      <c r="E595" s="20" t="s">
        <v>49</v>
      </c>
      <c r="F595" s="20"/>
      <c r="G595" s="20"/>
      <c r="H595" s="20" t="s">
        <v>142</v>
      </c>
      <c r="I595" s="20" t="s">
        <v>144</v>
      </c>
      <c r="J595" s="20" t="s">
        <v>74</v>
      </c>
      <c r="K595" s="20" t="s">
        <v>55</v>
      </c>
      <c r="L595" s="20" t="s">
        <v>56</v>
      </c>
      <c r="M595" s="20" t="s">
        <v>57</v>
      </c>
      <c r="N595" s="20" t="s">
        <v>333</v>
      </c>
      <c r="O595" s="20" t="s">
        <v>1596</v>
      </c>
      <c r="P595" s="20" t="s">
        <v>1238</v>
      </c>
      <c r="Q595" s="20" t="s">
        <v>59</v>
      </c>
      <c r="R595" s="20" t="s">
        <v>333</v>
      </c>
      <c r="S595" s="20" t="s">
        <v>333</v>
      </c>
      <c r="T595" s="20"/>
      <c r="U595" s="20"/>
      <c r="V595" s="20" t="s">
        <v>344</v>
      </c>
      <c r="W595" s="20" t="s">
        <v>333</v>
      </c>
      <c r="X595" s="20" t="s">
        <v>333</v>
      </c>
      <c r="Y595" s="20" t="s">
        <v>333</v>
      </c>
      <c r="Z595" s="20" t="s">
        <v>333</v>
      </c>
      <c r="AA595" s="20" t="s">
        <v>333</v>
      </c>
      <c r="AB595" s="20" t="s">
        <v>333</v>
      </c>
      <c r="AC595" s="20"/>
      <c r="AD595" s="20" t="s">
        <v>333</v>
      </c>
      <c r="AE595" s="20" t="s">
        <v>333</v>
      </c>
      <c r="AF595" s="20" t="s">
        <v>333</v>
      </c>
      <c r="AG595" s="20" t="s">
        <v>344</v>
      </c>
      <c r="AH595" s="20" t="s">
        <v>344</v>
      </c>
      <c r="AI595" s="20" t="s">
        <v>333</v>
      </c>
      <c r="AJ595" s="20"/>
      <c r="AK595" s="20" t="s">
        <v>1244</v>
      </c>
      <c r="AL595" s="20" t="s">
        <v>348</v>
      </c>
      <c r="AM595" s="20" t="s">
        <v>1244</v>
      </c>
      <c r="AN595" s="20" t="s">
        <v>349</v>
      </c>
      <c r="AO595" s="20"/>
      <c r="AP595" s="20" t="s">
        <v>1596</v>
      </c>
      <c r="AQ595" s="20" t="s">
        <v>1238</v>
      </c>
      <c r="AR595" s="20"/>
      <c r="AS595" s="20"/>
    </row>
    <row r="596">
      <c r="A596" s="20" t="s">
        <v>4592</v>
      </c>
      <c r="B596" s="20" t="s">
        <v>4214</v>
      </c>
      <c r="C596" s="20" t="s">
        <v>4216</v>
      </c>
      <c r="D596" s="20"/>
      <c r="E596" s="20" t="s">
        <v>49</v>
      </c>
      <c r="F596" s="20"/>
      <c r="G596" s="20"/>
      <c r="H596" s="20" t="s">
        <v>142</v>
      </c>
      <c r="I596" s="20" t="s">
        <v>144</v>
      </c>
      <c r="J596" s="20" t="s">
        <v>74</v>
      </c>
      <c r="K596" s="20" t="s">
        <v>55</v>
      </c>
      <c r="L596" s="20" t="s">
        <v>56</v>
      </c>
      <c r="M596" s="20" t="s">
        <v>57</v>
      </c>
      <c r="N596" s="20" t="s">
        <v>333</v>
      </c>
      <c r="O596" s="20" t="s">
        <v>1682</v>
      </c>
      <c r="P596" s="20" t="s">
        <v>1559</v>
      </c>
      <c r="Q596" s="20" t="s">
        <v>59</v>
      </c>
      <c r="R596" s="20" t="s">
        <v>333</v>
      </c>
      <c r="S596" s="20" t="s">
        <v>333</v>
      </c>
      <c r="T596" s="20"/>
      <c r="U596" s="20"/>
      <c r="V596" s="20" t="s">
        <v>344</v>
      </c>
      <c r="W596" s="20" t="s">
        <v>333</v>
      </c>
      <c r="X596" s="20" t="s">
        <v>333</v>
      </c>
      <c r="Y596" s="20" t="s">
        <v>333</v>
      </c>
      <c r="Z596" s="20" t="s">
        <v>333</v>
      </c>
      <c r="AA596" s="20" t="s">
        <v>333</v>
      </c>
      <c r="AB596" s="20" t="s">
        <v>333</v>
      </c>
      <c r="AC596" s="20"/>
      <c r="AD596" s="20" t="s">
        <v>333</v>
      </c>
      <c r="AE596" s="20" t="s">
        <v>333</v>
      </c>
      <c r="AF596" s="20" t="s">
        <v>333</v>
      </c>
      <c r="AG596" s="20" t="s">
        <v>344</v>
      </c>
      <c r="AH596" s="20" t="s">
        <v>344</v>
      </c>
      <c r="AI596" s="20" t="s">
        <v>333</v>
      </c>
      <c r="AJ596" s="20"/>
      <c r="AK596" s="20" t="s">
        <v>1736</v>
      </c>
      <c r="AL596" s="20" t="s">
        <v>1556</v>
      </c>
      <c r="AM596" s="20" t="s">
        <v>1736</v>
      </c>
      <c r="AN596" s="20" t="s">
        <v>349</v>
      </c>
      <c r="AO596" s="20"/>
      <c r="AP596" s="20" t="s">
        <v>1682</v>
      </c>
      <c r="AQ596" s="20" t="s">
        <v>1559</v>
      </c>
      <c r="AR596" s="20"/>
      <c r="AS596" s="20"/>
    </row>
    <row r="597">
      <c r="A597" s="20" t="s">
        <v>4593</v>
      </c>
      <c r="B597" s="20" t="s">
        <v>1054</v>
      </c>
      <c r="C597" s="20" t="s">
        <v>1056</v>
      </c>
      <c r="D597" s="20" t="s">
        <v>1058</v>
      </c>
      <c r="E597" s="20" t="s">
        <v>49</v>
      </c>
      <c r="F597" s="20"/>
      <c r="G597" s="20"/>
      <c r="H597" s="20" t="s">
        <v>376</v>
      </c>
      <c r="I597" s="20" t="s">
        <v>377</v>
      </c>
      <c r="J597" s="20" t="s">
        <v>377</v>
      </c>
      <c r="K597" s="20" t="s">
        <v>55</v>
      </c>
      <c r="L597" s="20" t="s">
        <v>56</v>
      </c>
      <c r="M597" s="20" t="s">
        <v>57</v>
      </c>
      <c r="N597" s="20" t="s">
        <v>333</v>
      </c>
      <c r="O597" s="20" t="s">
        <v>1559</v>
      </c>
      <c r="P597" s="20" t="s">
        <v>3419</v>
      </c>
      <c r="Q597" s="20" t="s">
        <v>59</v>
      </c>
      <c r="R597" s="20" t="s">
        <v>333</v>
      </c>
      <c r="S597" s="20" t="s">
        <v>333</v>
      </c>
      <c r="T597" s="20"/>
      <c r="U597" s="20"/>
      <c r="V597" s="20" t="s">
        <v>344</v>
      </c>
      <c r="W597" s="20" t="s">
        <v>333</v>
      </c>
      <c r="X597" s="20" t="s">
        <v>333</v>
      </c>
      <c r="Y597" s="20" t="s">
        <v>333</v>
      </c>
      <c r="Z597" s="20" t="s">
        <v>333</v>
      </c>
      <c r="AA597" s="20" t="s">
        <v>333</v>
      </c>
      <c r="AB597" s="20" t="s">
        <v>333</v>
      </c>
      <c r="AC597" s="20"/>
      <c r="AD597" s="20" t="s">
        <v>333</v>
      </c>
      <c r="AE597" s="20" t="s">
        <v>333</v>
      </c>
      <c r="AF597" s="20" t="s">
        <v>333</v>
      </c>
      <c r="AG597" s="20" t="s">
        <v>344</v>
      </c>
      <c r="AH597" s="20" t="s">
        <v>344</v>
      </c>
      <c r="AI597" s="20" t="s">
        <v>333</v>
      </c>
      <c r="AJ597" s="20"/>
      <c r="AK597" s="20" t="s">
        <v>2094</v>
      </c>
      <c r="AL597" s="20" t="s">
        <v>1556</v>
      </c>
      <c r="AM597" s="20" t="s">
        <v>2094</v>
      </c>
      <c r="AN597" s="20" t="s">
        <v>349</v>
      </c>
      <c r="AO597" s="20"/>
      <c r="AP597" s="20" t="s">
        <v>1559</v>
      </c>
      <c r="AQ597" s="20" t="s">
        <v>3419</v>
      </c>
      <c r="AR597" s="20"/>
      <c r="AS597" s="20"/>
    </row>
    <row r="598">
      <c r="A598" s="20" t="s">
        <v>4594</v>
      </c>
      <c r="B598" s="20" t="s">
        <v>4003</v>
      </c>
      <c r="C598" s="20" t="s">
        <v>4004</v>
      </c>
      <c r="D598" s="20"/>
      <c r="E598" s="20" t="s">
        <v>49</v>
      </c>
      <c r="F598" s="20"/>
      <c r="G598" s="20"/>
      <c r="H598" s="20" t="s">
        <v>1385</v>
      </c>
      <c r="I598" s="20" t="s">
        <v>1386</v>
      </c>
      <c r="J598" s="20" t="s">
        <v>74</v>
      </c>
      <c r="K598" s="20" t="s">
        <v>55</v>
      </c>
      <c r="L598" s="20" t="s">
        <v>56</v>
      </c>
      <c r="M598" s="20" t="s">
        <v>57</v>
      </c>
      <c r="N598" s="20" t="s">
        <v>333</v>
      </c>
      <c r="O598" s="20" t="s">
        <v>3154</v>
      </c>
      <c r="P598" s="20" t="s">
        <v>3434</v>
      </c>
      <c r="Q598" s="20" t="s">
        <v>59</v>
      </c>
      <c r="R598" s="20" t="s">
        <v>333</v>
      </c>
      <c r="S598" s="20" t="s">
        <v>333</v>
      </c>
      <c r="T598" s="20"/>
      <c r="U598" s="20"/>
      <c r="V598" s="20" t="s">
        <v>344</v>
      </c>
      <c r="W598" s="20" t="s">
        <v>333</v>
      </c>
      <c r="X598" s="20" t="s">
        <v>333</v>
      </c>
      <c r="Y598" s="20" t="s">
        <v>333</v>
      </c>
      <c r="Z598" s="20" t="s">
        <v>333</v>
      </c>
      <c r="AA598" s="20" t="s">
        <v>333</v>
      </c>
      <c r="AB598" s="20" t="s">
        <v>333</v>
      </c>
      <c r="AC598" s="20"/>
      <c r="AD598" s="20" t="s">
        <v>333</v>
      </c>
      <c r="AE598" s="20" t="s">
        <v>333</v>
      </c>
      <c r="AF598" s="20" t="s">
        <v>333</v>
      </c>
      <c r="AG598" s="20" t="s">
        <v>344</v>
      </c>
      <c r="AH598" s="20" t="s">
        <v>344</v>
      </c>
      <c r="AI598" s="20" t="s">
        <v>333</v>
      </c>
      <c r="AJ598" s="20"/>
      <c r="AK598" s="20" t="s">
        <v>1663</v>
      </c>
      <c r="AL598" s="20" t="s">
        <v>348</v>
      </c>
      <c r="AM598" s="20" t="s">
        <v>1663</v>
      </c>
      <c r="AN598" s="20" t="s">
        <v>349</v>
      </c>
      <c r="AO598" s="20"/>
      <c r="AP598" s="20" t="s">
        <v>3154</v>
      </c>
      <c r="AQ598" s="20" t="s">
        <v>3434</v>
      </c>
      <c r="AR598" s="20"/>
      <c r="AS598" s="20"/>
    </row>
    <row r="599">
      <c r="A599" s="20" t="s">
        <v>4595</v>
      </c>
      <c r="B599" s="20" t="s">
        <v>2594</v>
      </c>
      <c r="C599" s="20" t="s">
        <v>2595</v>
      </c>
      <c r="D599" s="20"/>
      <c r="E599" s="20" t="s">
        <v>49</v>
      </c>
      <c r="F599" s="20"/>
      <c r="G599" s="20" t="s">
        <v>2597</v>
      </c>
      <c r="H599" s="20" t="s">
        <v>142</v>
      </c>
      <c r="I599" s="20" t="s">
        <v>144</v>
      </c>
      <c r="J599" s="20" t="s">
        <v>74</v>
      </c>
      <c r="K599" s="20" t="s">
        <v>55</v>
      </c>
      <c r="L599" s="20" t="s">
        <v>56</v>
      </c>
      <c r="M599" s="20" t="s">
        <v>57</v>
      </c>
      <c r="N599" s="20" t="s">
        <v>333</v>
      </c>
      <c r="O599" s="20" t="s">
        <v>1238</v>
      </c>
      <c r="P599" s="20" t="s">
        <v>1720</v>
      </c>
      <c r="Q599" s="20" t="s">
        <v>59</v>
      </c>
      <c r="R599" s="20" t="s">
        <v>333</v>
      </c>
      <c r="S599" s="20" t="s">
        <v>333</v>
      </c>
      <c r="T599" s="20"/>
      <c r="U599" s="20"/>
      <c r="V599" s="20" t="s">
        <v>344</v>
      </c>
      <c r="W599" s="20" t="s">
        <v>333</v>
      </c>
      <c r="X599" s="20" t="s">
        <v>333</v>
      </c>
      <c r="Y599" s="20" t="s">
        <v>333</v>
      </c>
      <c r="Z599" s="20" t="s">
        <v>333</v>
      </c>
      <c r="AA599" s="20" t="s">
        <v>333</v>
      </c>
      <c r="AB599" s="20" t="s">
        <v>333</v>
      </c>
      <c r="AC599" s="20"/>
      <c r="AD599" s="20" t="s">
        <v>333</v>
      </c>
      <c r="AE599" s="20" t="s">
        <v>333</v>
      </c>
      <c r="AF599" s="20" t="s">
        <v>333</v>
      </c>
      <c r="AG599" s="20" t="s">
        <v>344</v>
      </c>
      <c r="AH599" s="20" t="s">
        <v>344</v>
      </c>
      <c r="AI599" s="20" t="s">
        <v>333</v>
      </c>
      <c r="AJ599" s="20"/>
      <c r="AK599" s="20" t="s">
        <v>1717</v>
      </c>
      <c r="AL599" s="20" t="s">
        <v>1245</v>
      </c>
      <c r="AM599" s="20" t="s">
        <v>1717</v>
      </c>
      <c r="AN599" s="20" t="s">
        <v>349</v>
      </c>
      <c r="AO599" s="20"/>
      <c r="AP599" s="20" t="s">
        <v>1238</v>
      </c>
      <c r="AQ599" s="20" t="s">
        <v>1720</v>
      </c>
      <c r="AR599" s="20"/>
      <c r="AS599" s="20"/>
    </row>
    <row r="600">
      <c r="A600" s="20" t="s">
        <v>3674</v>
      </c>
      <c r="B600" s="20" t="s">
        <v>3161</v>
      </c>
      <c r="C600" s="20" t="s">
        <v>3162</v>
      </c>
      <c r="D600" s="20"/>
      <c r="E600" s="20" t="s">
        <v>49</v>
      </c>
      <c r="F600" s="20"/>
      <c r="G600" s="20" t="s">
        <v>4596</v>
      </c>
      <c r="H600" s="20" t="s">
        <v>1091</v>
      </c>
      <c r="I600" s="20" t="s">
        <v>1092</v>
      </c>
      <c r="J600" s="20" t="s">
        <v>74</v>
      </c>
      <c r="K600" s="20" t="s">
        <v>55</v>
      </c>
      <c r="L600" s="20" t="s">
        <v>56</v>
      </c>
      <c r="M600" s="20" t="s">
        <v>57</v>
      </c>
      <c r="N600" s="20" t="s">
        <v>333</v>
      </c>
      <c r="O600" s="20" t="s">
        <v>2262</v>
      </c>
      <c r="P600" s="20" t="s">
        <v>1669</v>
      </c>
      <c r="Q600" s="20" t="s">
        <v>59</v>
      </c>
      <c r="R600" s="20" t="s">
        <v>333</v>
      </c>
      <c r="S600" s="20" t="s">
        <v>333</v>
      </c>
      <c r="T600" s="20"/>
      <c r="U600" s="20"/>
      <c r="V600" s="20" t="s">
        <v>344</v>
      </c>
      <c r="W600" s="20" t="s">
        <v>333</v>
      </c>
      <c r="X600" s="20" t="s">
        <v>333</v>
      </c>
      <c r="Y600" s="20" t="s">
        <v>333</v>
      </c>
      <c r="Z600" s="20" t="s">
        <v>333</v>
      </c>
      <c r="AA600" s="20" t="s">
        <v>333</v>
      </c>
      <c r="AB600" s="20" t="s">
        <v>333</v>
      </c>
      <c r="AC600" s="20"/>
      <c r="AD600" s="20" t="s">
        <v>333</v>
      </c>
      <c r="AE600" s="20" t="s">
        <v>333</v>
      </c>
      <c r="AF600" s="20" t="s">
        <v>333</v>
      </c>
      <c r="AG600" s="20" t="s">
        <v>344</v>
      </c>
      <c r="AH600" s="20" t="s">
        <v>344</v>
      </c>
      <c r="AI600" s="20" t="s">
        <v>333</v>
      </c>
      <c r="AJ600" s="20"/>
      <c r="AK600" s="20" t="s">
        <v>1663</v>
      </c>
      <c r="AL600" s="20" t="s">
        <v>1261</v>
      </c>
      <c r="AM600" s="20" t="s">
        <v>1663</v>
      </c>
      <c r="AN600" s="20" t="s">
        <v>349</v>
      </c>
      <c r="AO600" s="20"/>
      <c r="AP600" s="20" t="s">
        <v>2262</v>
      </c>
      <c r="AQ600" s="20" t="s">
        <v>1669</v>
      </c>
      <c r="AR600" s="20"/>
      <c r="AS600" s="20"/>
    </row>
    <row r="601">
      <c r="A601" s="34">
        <v>681.0</v>
      </c>
      <c r="B601" s="32" t="s">
        <v>1721</v>
      </c>
      <c r="C601" s="32" t="s">
        <v>1722</v>
      </c>
      <c r="D601" s="48" t="s">
        <v>1723</v>
      </c>
      <c r="E601" s="32" t="s">
        <v>49</v>
      </c>
      <c r="F601" s="40" t="s">
        <v>1724</v>
      </c>
      <c r="G601" s="83">
        <f>+919711837638</f>
        <v>919711837638</v>
      </c>
      <c r="H601" s="32" t="s">
        <v>389</v>
      </c>
      <c r="I601" s="32" t="s">
        <v>390</v>
      </c>
      <c r="J601" s="32" t="s">
        <v>390</v>
      </c>
      <c r="K601" s="32" t="s">
        <v>55</v>
      </c>
      <c r="L601" s="32" t="s">
        <v>56</v>
      </c>
      <c r="M601" s="32" t="s">
        <v>57</v>
      </c>
      <c r="N601" s="32" t="s">
        <v>58</v>
      </c>
      <c r="O601" s="31">
        <v>600.0</v>
      </c>
      <c r="P601" s="32"/>
      <c r="Q601" s="32" t="s">
        <v>59</v>
      </c>
      <c r="R601" s="32" t="s">
        <v>58</v>
      </c>
      <c r="S601" s="32" t="s">
        <v>58</v>
      </c>
      <c r="T601" s="32"/>
      <c r="U601" s="32"/>
      <c r="V601" s="32" t="s">
        <v>61</v>
      </c>
      <c r="W601" s="32" t="s">
        <v>58</v>
      </c>
      <c r="X601" s="32" t="s">
        <v>58</v>
      </c>
      <c r="Y601" s="32" t="s">
        <v>58</v>
      </c>
      <c r="Z601" s="32" t="s">
        <v>58</v>
      </c>
      <c r="AA601" s="32" t="s">
        <v>58</v>
      </c>
      <c r="AB601" s="32" t="s">
        <v>58</v>
      </c>
      <c r="AC601" s="32" t="s">
        <v>58</v>
      </c>
      <c r="AD601" s="32" t="s">
        <v>58</v>
      </c>
      <c r="AE601" s="32" t="s">
        <v>58</v>
      </c>
      <c r="AF601" s="32" t="s">
        <v>61</v>
      </c>
      <c r="AG601" s="32" t="s">
        <v>61</v>
      </c>
      <c r="AH601" s="32" t="s">
        <v>58</v>
      </c>
      <c r="AI601" s="31">
        <v>100.0</v>
      </c>
      <c r="AJ601" s="31">
        <v>2000.0</v>
      </c>
      <c r="AK601" s="31">
        <v>100.0</v>
      </c>
      <c r="AL601" s="31">
        <v>0.0</v>
      </c>
      <c r="AM601" s="32"/>
      <c r="AN601" s="31">
        <v>600.0</v>
      </c>
      <c r="AO601" s="31">
        <v>0.0</v>
      </c>
      <c r="AP601" s="32"/>
      <c r="AQ601" s="32"/>
      <c r="AR601" s="16" t="s">
        <v>757</v>
      </c>
      <c r="AS601" s="21">
        <v>2.0</v>
      </c>
    </row>
    <row r="602">
      <c r="A602" s="20"/>
      <c r="B602" s="20"/>
      <c r="C602" s="20"/>
      <c r="D602" s="77"/>
      <c r="E602" s="20"/>
      <c r="F602" s="20"/>
      <c r="G602" s="65"/>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9"/>
      <c r="AS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9"/>
      <c r="AS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9"/>
      <c r="AS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9"/>
      <c r="AS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9"/>
      <c r="AS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9"/>
      <c r="AS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9"/>
      <c r="AS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9"/>
      <c r="AS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c r="AS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R897" s="20"/>
      <c r="AS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c r="AS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R899" s="20"/>
      <c r="AS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c r="AR900" s="20"/>
      <c r="AS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c r="AR901" s="20"/>
      <c r="AS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c r="AS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c r="AS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R904" s="20"/>
      <c r="AS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c r="AR905" s="20"/>
      <c r="AS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c r="AQ906" s="20"/>
      <c r="AR906" s="20"/>
      <c r="AS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c r="AO907" s="20"/>
      <c r="AP907" s="20"/>
      <c r="AQ907" s="20"/>
      <c r="AR907" s="20"/>
      <c r="AS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c r="AO908" s="20"/>
      <c r="AP908" s="20"/>
      <c r="AQ908" s="20"/>
      <c r="AR908" s="20"/>
      <c r="AS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c r="AO909" s="20"/>
      <c r="AP909" s="20"/>
      <c r="AQ909" s="20"/>
      <c r="AR909" s="20"/>
      <c r="AS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c r="AM910" s="20"/>
      <c r="AN910" s="20"/>
      <c r="AO910" s="20"/>
      <c r="AP910" s="20"/>
      <c r="AQ910" s="20"/>
      <c r="AR910" s="20"/>
      <c r="AS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c r="AM911" s="20"/>
      <c r="AN911" s="20"/>
      <c r="AO911" s="20"/>
      <c r="AP911" s="20"/>
      <c r="AQ911" s="20"/>
      <c r="AR911" s="20"/>
      <c r="AS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c r="AM912" s="20"/>
      <c r="AN912" s="20"/>
      <c r="AO912" s="20"/>
      <c r="AP912" s="20"/>
      <c r="AQ912" s="20"/>
      <c r="AR912" s="20"/>
      <c r="AS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c r="AM913" s="20"/>
      <c r="AN913" s="20"/>
      <c r="AO913" s="20"/>
      <c r="AP913" s="20"/>
      <c r="AQ913" s="20"/>
      <c r="AR913" s="20"/>
      <c r="AS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c r="AM914" s="20"/>
      <c r="AN914" s="20"/>
      <c r="AO914" s="20"/>
      <c r="AP914" s="20"/>
      <c r="AQ914" s="20"/>
      <c r="AR914" s="20"/>
      <c r="AS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c r="AM915" s="20"/>
      <c r="AN915" s="20"/>
      <c r="AO915" s="20"/>
      <c r="AP915" s="20"/>
      <c r="AQ915" s="20"/>
      <c r="AR915" s="20"/>
      <c r="AS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c r="AM916" s="20"/>
      <c r="AN916" s="20"/>
      <c r="AO916" s="20"/>
      <c r="AP916" s="20"/>
      <c r="AQ916" s="20"/>
      <c r="AR916" s="20"/>
      <c r="AS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c r="AM917" s="20"/>
      <c r="AN917" s="20"/>
      <c r="AO917" s="20"/>
      <c r="AP917" s="20"/>
      <c r="AQ917" s="20"/>
      <c r="AR917" s="20"/>
      <c r="AS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c r="AM918" s="20"/>
      <c r="AN918" s="20"/>
      <c r="AO918" s="20"/>
      <c r="AP918" s="20"/>
      <c r="AQ918" s="20"/>
      <c r="AR918" s="20"/>
      <c r="AS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c r="AM919" s="20"/>
      <c r="AN919" s="20"/>
      <c r="AO919" s="20"/>
      <c r="AP919" s="20"/>
      <c r="AQ919" s="20"/>
      <c r="AR919" s="20"/>
      <c r="AS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c r="AM920" s="20"/>
      <c r="AN920" s="20"/>
      <c r="AO920" s="20"/>
      <c r="AP920" s="20"/>
      <c r="AQ920" s="20"/>
      <c r="AR920" s="20"/>
      <c r="AS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c r="AM921" s="20"/>
      <c r="AN921" s="20"/>
      <c r="AO921" s="20"/>
      <c r="AP921" s="20"/>
      <c r="AQ921" s="20"/>
      <c r="AR921" s="20"/>
      <c r="AS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c r="AM922" s="20"/>
      <c r="AN922" s="20"/>
      <c r="AO922" s="20"/>
      <c r="AP922" s="20"/>
      <c r="AQ922" s="20"/>
      <c r="AR922" s="20"/>
      <c r="AS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c r="AM923" s="20"/>
      <c r="AN923" s="20"/>
      <c r="AO923" s="20"/>
      <c r="AP923" s="20"/>
      <c r="AQ923" s="20"/>
      <c r="AR923" s="20"/>
      <c r="AS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c r="AM924" s="20"/>
      <c r="AN924" s="20"/>
      <c r="AO924" s="20"/>
      <c r="AP924" s="20"/>
      <c r="AQ924" s="20"/>
      <c r="AR924" s="20"/>
      <c r="AS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c r="AM925" s="20"/>
      <c r="AN925" s="20"/>
      <c r="AO925" s="20"/>
      <c r="AP925" s="20"/>
      <c r="AQ925" s="20"/>
      <c r="AR925" s="20"/>
      <c r="AS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c r="AM926" s="20"/>
      <c r="AN926" s="20"/>
      <c r="AO926" s="20"/>
      <c r="AP926" s="20"/>
      <c r="AQ926" s="20"/>
      <c r="AR926" s="20"/>
      <c r="AS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c r="AM927" s="20"/>
      <c r="AN927" s="20"/>
      <c r="AO927" s="20"/>
      <c r="AP927" s="20"/>
      <c r="AQ927" s="20"/>
      <c r="AR927" s="20"/>
      <c r="AS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c r="AM928" s="20"/>
      <c r="AN928" s="20"/>
      <c r="AO928" s="20"/>
      <c r="AP928" s="20"/>
      <c r="AQ928" s="20"/>
      <c r="AR928" s="20"/>
      <c r="AS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c r="AM929" s="20"/>
      <c r="AN929" s="20"/>
      <c r="AO929" s="20"/>
      <c r="AP929" s="20"/>
      <c r="AQ929" s="20"/>
      <c r="AR929" s="20"/>
      <c r="AS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c r="AM930" s="20"/>
      <c r="AN930" s="20"/>
      <c r="AO930" s="20"/>
      <c r="AP930" s="20"/>
      <c r="AQ930" s="20"/>
      <c r="AR930" s="20"/>
      <c r="AS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c r="AM931" s="20"/>
      <c r="AN931" s="20"/>
      <c r="AO931" s="20"/>
      <c r="AP931" s="20"/>
      <c r="AQ931" s="20"/>
      <c r="AR931" s="20"/>
      <c r="AS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c r="AM932" s="20"/>
      <c r="AN932" s="20"/>
      <c r="AO932" s="20"/>
      <c r="AP932" s="20"/>
      <c r="AQ932" s="20"/>
      <c r="AR932" s="20"/>
      <c r="AS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c r="AM933" s="20"/>
      <c r="AN933" s="20"/>
      <c r="AO933" s="20"/>
      <c r="AP933" s="20"/>
      <c r="AQ933" s="20"/>
      <c r="AR933" s="20"/>
      <c r="AS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c r="AM934" s="20"/>
      <c r="AN934" s="20"/>
      <c r="AO934" s="20"/>
      <c r="AP934" s="20"/>
      <c r="AQ934" s="20"/>
      <c r="AR934" s="20"/>
      <c r="AS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c r="AM935" s="20"/>
      <c r="AN935" s="20"/>
      <c r="AO935" s="20"/>
      <c r="AP935" s="20"/>
      <c r="AQ935" s="20"/>
      <c r="AR935" s="20"/>
      <c r="AS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c r="AM936" s="20"/>
      <c r="AN936" s="20"/>
      <c r="AO936" s="20"/>
      <c r="AP936" s="20"/>
      <c r="AQ936" s="20"/>
      <c r="AR936" s="20"/>
      <c r="AS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c r="AM937" s="20"/>
      <c r="AN937" s="20"/>
      <c r="AO937" s="20"/>
      <c r="AP937" s="20"/>
      <c r="AQ937" s="20"/>
      <c r="AR937" s="20"/>
      <c r="AS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c r="AM938" s="20"/>
      <c r="AN938" s="20"/>
      <c r="AO938" s="20"/>
      <c r="AP938" s="20"/>
      <c r="AQ938" s="20"/>
      <c r="AR938" s="20"/>
      <c r="AS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c r="AM939" s="20"/>
      <c r="AN939" s="20"/>
      <c r="AO939" s="20"/>
      <c r="AP939" s="20"/>
      <c r="AQ939" s="20"/>
      <c r="AR939" s="20"/>
      <c r="AS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c r="AM940" s="20"/>
      <c r="AN940" s="20"/>
      <c r="AO940" s="20"/>
      <c r="AP940" s="20"/>
      <c r="AQ940" s="20"/>
      <c r="AR940" s="20"/>
      <c r="AS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c r="AM941" s="20"/>
      <c r="AN941" s="20"/>
      <c r="AO941" s="20"/>
      <c r="AP941" s="20"/>
      <c r="AQ941" s="20"/>
      <c r="AR941" s="20"/>
      <c r="AS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c r="AM942" s="20"/>
      <c r="AN942" s="20"/>
      <c r="AO942" s="20"/>
      <c r="AP942" s="20"/>
      <c r="AQ942" s="20"/>
      <c r="AR942" s="20"/>
      <c r="AS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c r="AM943" s="20"/>
      <c r="AN943" s="20"/>
      <c r="AO943" s="20"/>
      <c r="AP943" s="20"/>
      <c r="AQ943" s="20"/>
      <c r="AR943" s="20"/>
      <c r="AS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c r="AM944" s="20"/>
      <c r="AN944" s="20"/>
      <c r="AO944" s="20"/>
      <c r="AP944" s="20"/>
      <c r="AQ944" s="20"/>
      <c r="AR944" s="20"/>
      <c r="AS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c r="AM945" s="20"/>
      <c r="AN945" s="20"/>
      <c r="AO945" s="20"/>
      <c r="AP945" s="20"/>
      <c r="AQ945" s="20"/>
      <c r="AR945" s="20"/>
      <c r="AS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c r="AM946" s="20"/>
      <c r="AN946" s="20"/>
      <c r="AO946" s="20"/>
      <c r="AP946" s="20"/>
      <c r="AQ946" s="20"/>
      <c r="AR946" s="20"/>
      <c r="AS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c r="AM947" s="20"/>
      <c r="AN947" s="20"/>
      <c r="AO947" s="20"/>
      <c r="AP947" s="20"/>
      <c r="AQ947" s="20"/>
      <c r="AR947" s="20"/>
      <c r="AS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c r="AM948" s="20"/>
      <c r="AN948" s="20"/>
      <c r="AO948" s="20"/>
      <c r="AP948" s="20"/>
      <c r="AQ948" s="20"/>
      <c r="AR948" s="20"/>
      <c r="AS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c r="AM949" s="20"/>
      <c r="AN949" s="20"/>
      <c r="AO949" s="20"/>
      <c r="AP949" s="20"/>
      <c r="AQ949" s="20"/>
      <c r="AR949" s="20"/>
      <c r="AS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c r="AM950" s="20"/>
      <c r="AN950" s="20"/>
      <c r="AO950" s="20"/>
      <c r="AP950" s="20"/>
      <c r="AQ950" s="20"/>
      <c r="AR950" s="20"/>
      <c r="AS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c r="AM951" s="20"/>
      <c r="AN951" s="20"/>
      <c r="AO951" s="20"/>
      <c r="AP951" s="20"/>
      <c r="AQ951" s="20"/>
      <c r="AR951" s="20"/>
      <c r="AS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c r="AM952" s="20"/>
      <c r="AN952" s="20"/>
      <c r="AO952" s="20"/>
      <c r="AP952" s="20"/>
      <c r="AQ952" s="20"/>
      <c r="AR952" s="20"/>
      <c r="AS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c r="AM953" s="20"/>
      <c r="AN953" s="20"/>
      <c r="AO953" s="20"/>
      <c r="AP953" s="20"/>
      <c r="AQ953" s="20"/>
      <c r="AR953" s="20"/>
      <c r="AS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c r="AM954" s="20"/>
      <c r="AN954" s="20"/>
      <c r="AO954" s="20"/>
      <c r="AP954" s="20"/>
      <c r="AQ954" s="20"/>
      <c r="AR954" s="20"/>
      <c r="AS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c r="AM955" s="20"/>
      <c r="AN955" s="20"/>
      <c r="AO955" s="20"/>
      <c r="AP955" s="20"/>
      <c r="AQ955" s="20"/>
      <c r="AR955" s="20"/>
      <c r="AS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c r="AM956" s="20"/>
      <c r="AN956" s="20"/>
      <c r="AO956" s="20"/>
      <c r="AP956" s="20"/>
      <c r="AQ956" s="20"/>
      <c r="AR956" s="20"/>
      <c r="AS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c r="AM957" s="20"/>
      <c r="AN957" s="20"/>
      <c r="AO957" s="20"/>
      <c r="AP957" s="20"/>
      <c r="AQ957" s="20"/>
      <c r="AR957" s="20"/>
      <c r="AS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c r="AM958" s="20"/>
      <c r="AN958" s="20"/>
      <c r="AO958" s="20"/>
      <c r="AP958" s="20"/>
      <c r="AQ958" s="20"/>
      <c r="AR958" s="20"/>
      <c r="AS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c r="AM959" s="20"/>
      <c r="AN959" s="20"/>
      <c r="AO959" s="20"/>
      <c r="AP959" s="20"/>
      <c r="AQ959" s="20"/>
      <c r="AR959" s="20"/>
      <c r="AS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c r="AM960" s="20"/>
      <c r="AN960" s="20"/>
      <c r="AO960" s="20"/>
      <c r="AP960" s="20"/>
      <c r="AQ960" s="20"/>
      <c r="AR960" s="20"/>
      <c r="AS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c r="AM961" s="20"/>
      <c r="AN961" s="20"/>
      <c r="AO961" s="20"/>
      <c r="AP961" s="20"/>
      <c r="AQ961" s="20"/>
      <c r="AR961" s="20"/>
      <c r="AS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c r="AM962" s="20"/>
      <c r="AN962" s="20"/>
      <c r="AO962" s="20"/>
      <c r="AP962" s="20"/>
      <c r="AQ962" s="20"/>
      <c r="AR962" s="20"/>
      <c r="AS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c r="AM963" s="20"/>
      <c r="AN963" s="20"/>
      <c r="AO963" s="20"/>
      <c r="AP963" s="20"/>
      <c r="AQ963" s="20"/>
      <c r="AR963" s="20"/>
      <c r="AS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c r="AM964" s="20"/>
      <c r="AN964" s="20"/>
      <c r="AO964" s="20"/>
      <c r="AP964" s="20"/>
      <c r="AQ964" s="20"/>
      <c r="AR964" s="20"/>
      <c r="AS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c r="AM965" s="20"/>
      <c r="AN965" s="20"/>
      <c r="AO965" s="20"/>
      <c r="AP965" s="20"/>
      <c r="AQ965" s="20"/>
      <c r="AR965" s="20"/>
      <c r="AS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c r="AM966" s="20"/>
      <c r="AN966" s="20"/>
      <c r="AO966" s="20"/>
      <c r="AP966" s="20"/>
      <c r="AQ966" s="20"/>
      <c r="AR966" s="20"/>
      <c r="AS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c r="AM968" s="20"/>
      <c r="AN968" s="20"/>
      <c r="AO968" s="20"/>
      <c r="AP968" s="20"/>
      <c r="AQ968" s="20"/>
      <c r="AR968" s="20"/>
      <c r="AS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c r="AM969" s="20"/>
      <c r="AN969" s="20"/>
      <c r="AO969" s="20"/>
      <c r="AP969" s="20"/>
      <c r="AQ969" s="20"/>
      <c r="AR969" s="20"/>
      <c r="AS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c r="AM970" s="20"/>
      <c r="AN970" s="20"/>
      <c r="AO970" s="20"/>
      <c r="AP970" s="20"/>
      <c r="AQ970" s="20"/>
      <c r="AR970" s="20"/>
      <c r="AS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c r="AM971" s="20"/>
      <c r="AN971" s="20"/>
      <c r="AO971" s="20"/>
      <c r="AP971" s="20"/>
      <c r="AQ971" s="20"/>
      <c r="AR971" s="20"/>
      <c r="AS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c r="AM972" s="20"/>
      <c r="AN972" s="20"/>
      <c r="AO972" s="20"/>
      <c r="AP972" s="20"/>
      <c r="AQ972" s="20"/>
      <c r="AR972" s="20"/>
      <c r="AS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c r="AM973" s="20"/>
      <c r="AN973" s="20"/>
      <c r="AO973" s="20"/>
      <c r="AP973" s="20"/>
      <c r="AQ973" s="20"/>
      <c r="AR973" s="20"/>
      <c r="AS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c r="AM974" s="20"/>
      <c r="AN974" s="20"/>
      <c r="AO974" s="20"/>
      <c r="AP974" s="20"/>
      <c r="AQ974" s="20"/>
      <c r="AR974" s="20"/>
      <c r="AS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c r="AM975" s="20"/>
      <c r="AN975" s="20"/>
      <c r="AO975" s="20"/>
      <c r="AP975" s="20"/>
      <c r="AQ975" s="20"/>
      <c r="AR975" s="20"/>
      <c r="AS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c r="AM976" s="20"/>
      <c r="AN976" s="20"/>
      <c r="AO976" s="20"/>
      <c r="AP976" s="20"/>
      <c r="AQ976" s="20"/>
      <c r="AR976" s="20"/>
      <c r="AS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c r="AM977" s="20"/>
      <c r="AN977" s="20"/>
      <c r="AO977" s="20"/>
      <c r="AP977" s="20"/>
      <c r="AQ977" s="20"/>
      <c r="AR977" s="20"/>
      <c r="AS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c r="AM978" s="20"/>
      <c r="AN978" s="20"/>
      <c r="AO978" s="20"/>
      <c r="AP978" s="20"/>
      <c r="AQ978" s="20"/>
      <c r="AR978" s="20"/>
      <c r="AS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c r="AM979" s="20"/>
      <c r="AN979" s="20"/>
      <c r="AO979" s="20"/>
      <c r="AP979" s="20"/>
      <c r="AQ979" s="20"/>
      <c r="AR979" s="20"/>
      <c r="AS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c r="AM980" s="20"/>
      <c r="AN980" s="20"/>
      <c r="AO980" s="20"/>
      <c r="AP980" s="20"/>
      <c r="AQ980" s="20"/>
      <c r="AR980" s="20"/>
      <c r="AS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c r="AM981" s="20"/>
      <c r="AN981" s="20"/>
      <c r="AO981" s="20"/>
      <c r="AP981" s="20"/>
      <c r="AQ981" s="20"/>
      <c r="AR981" s="20"/>
      <c r="AS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c r="AM982" s="20"/>
      <c r="AN982" s="20"/>
      <c r="AO982" s="20"/>
      <c r="AP982" s="20"/>
      <c r="AQ982" s="20"/>
      <c r="AR982" s="20"/>
      <c r="AS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c r="AM983" s="20"/>
      <c r="AN983" s="20"/>
      <c r="AO983" s="20"/>
      <c r="AP983" s="20"/>
      <c r="AQ983" s="20"/>
      <c r="AR983" s="20"/>
      <c r="AS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c r="AM984" s="20"/>
      <c r="AN984" s="20"/>
      <c r="AO984" s="20"/>
      <c r="AP984" s="20"/>
      <c r="AQ984" s="20"/>
      <c r="AR984" s="20"/>
      <c r="AS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c r="AM985" s="20"/>
      <c r="AN985" s="20"/>
      <c r="AO985" s="20"/>
      <c r="AP985" s="20"/>
      <c r="AQ985" s="20"/>
      <c r="AR985" s="20"/>
      <c r="AS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c r="AM986" s="20"/>
      <c r="AN986" s="20"/>
      <c r="AO986" s="20"/>
      <c r="AP986" s="20"/>
      <c r="AQ986" s="20"/>
      <c r="AR986" s="20"/>
      <c r="AS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c r="AM987" s="20"/>
      <c r="AN987" s="20"/>
      <c r="AO987" s="20"/>
      <c r="AP987" s="20"/>
      <c r="AQ987" s="20"/>
      <c r="AR987" s="20"/>
      <c r="AS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c r="AM988" s="20"/>
      <c r="AN988" s="20"/>
      <c r="AO988" s="20"/>
      <c r="AP988" s="20"/>
      <c r="AQ988" s="20"/>
      <c r="AR988" s="20"/>
      <c r="AS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c r="AM989" s="20"/>
      <c r="AN989" s="20"/>
      <c r="AO989" s="20"/>
      <c r="AP989" s="20"/>
      <c r="AQ989" s="20"/>
      <c r="AR989" s="20"/>
      <c r="AS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c r="AM990" s="20"/>
      <c r="AN990" s="20"/>
      <c r="AO990" s="20"/>
      <c r="AP990" s="20"/>
      <c r="AQ990" s="20"/>
      <c r="AR990" s="20"/>
      <c r="AS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c r="AM991" s="20"/>
      <c r="AN991" s="20"/>
      <c r="AO991" s="20"/>
      <c r="AP991" s="20"/>
      <c r="AQ991" s="20"/>
      <c r="AR991" s="20"/>
      <c r="AS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c r="AM992" s="20"/>
      <c r="AN992" s="20"/>
      <c r="AO992" s="20"/>
      <c r="AP992" s="20"/>
      <c r="AQ992" s="20"/>
      <c r="AR992" s="20"/>
      <c r="AS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c r="AM993" s="20"/>
      <c r="AN993" s="20"/>
      <c r="AO993" s="20"/>
      <c r="AP993" s="20"/>
      <c r="AQ993" s="20"/>
      <c r="AR993" s="20"/>
      <c r="AS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c r="AM994" s="20"/>
      <c r="AN994" s="20"/>
      <c r="AO994" s="20"/>
      <c r="AP994" s="20"/>
      <c r="AQ994" s="20"/>
      <c r="AR994" s="20"/>
      <c r="AS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c r="AM995" s="20"/>
      <c r="AN995" s="20"/>
      <c r="AO995" s="20"/>
      <c r="AP995" s="20"/>
      <c r="AQ995" s="20"/>
      <c r="AR995" s="20"/>
      <c r="AS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c r="AM996" s="20"/>
      <c r="AN996" s="20"/>
      <c r="AO996" s="20"/>
      <c r="AP996" s="20"/>
      <c r="AQ996" s="20"/>
      <c r="AR996" s="20"/>
      <c r="AS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c r="AM997" s="20"/>
      <c r="AN997" s="20"/>
      <c r="AO997" s="20"/>
      <c r="AP997" s="20"/>
      <c r="AQ997" s="20"/>
      <c r="AR997" s="20"/>
      <c r="AS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c r="AM998" s="20"/>
      <c r="AN998" s="20"/>
      <c r="AO998" s="20"/>
      <c r="AP998" s="20"/>
      <c r="AQ998" s="20"/>
      <c r="AR998" s="20"/>
      <c r="AS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c r="AL999" s="20"/>
      <c r="AM999" s="20"/>
      <c r="AN999" s="20"/>
      <c r="AO999" s="20"/>
      <c r="AP999" s="20"/>
      <c r="AQ999" s="20"/>
      <c r="AR999" s="20"/>
      <c r="AS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c r="AL1000" s="20"/>
      <c r="AM1000" s="20"/>
      <c r="AN1000" s="20"/>
      <c r="AO1000" s="20"/>
      <c r="AP1000" s="20"/>
      <c r="AQ1000" s="20"/>
      <c r="AR1000" s="20"/>
      <c r="AS1000" s="20"/>
    </row>
    <row r="1001">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c r="AA1001" s="20"/>
      <c r="AB1001" s="20"/>
      <c r="AC1001" s="20"/>
      <c r="AD1001" s="20"/>
      <c r="AE1001" s="20"/>
      <c r="AF1001" s="20"/>
      <c r="AG1001" s="20"/>
      <c r="AH1001" s="20"/>
      <c r="AI1001" s="20"/>
      <c r="AJ1001" s="20"/>
      <c r="AK1001" s="20"/>
      <c r="AL1001" s="20"/>
      <c r="AM1001" s="20"/>
      <c r="AN1001" s="20"/>
      <c r="AO1001" s="20"/>
      <c r="AP1001" s="20"/>
      <c r="AQ1001" s="20"/>
      <c r="AR1001" s="20"/>
      <c r="AS1001" s="20"/>
    </row>
    <row r="1002">
      <c r="A1002" s="20"/>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c r="AA1002" s="20"/>
      <c r="AB1002" s="20"/>
      <c r="AC1002" s="20"/>
      <c r="AD1002" s="20"/>
      <c r="AE1002" s="20"/>
      <c r="AF1002" s="20"/>
      <c r="AG1002" s="20"/>
      <c r="AH1002" s="20"/>
      <c r="AI1002" s="20"/>
      <c r="AJ1002" s="20"/>
      <c r="AK1002" s="20"/>
      <c r="AL1002" s="20"/>
      <c r="AM1002" s="20"/>
      <c r="AN1002" s="20"/>
      <c r="AO1002" s="20"/>
      <c r="AP1002" s="20"/>
      <c r="AQ1002" s="20"/>
      <c r="AR1002" s="20"/>
      <c r="AS1002" s="20"/>
    </row>
    <row r="1003">
      <c r="A1003" s="20"/>
      <c r="B1003" s="20"/>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c r="AA1003" s="20"/>
      <c r="AB1003" s="20"/>
      <c r="AC1003" s="20"/>
      <c r="AD1003" s="20"/>
      <c r="AE1003" s="20"/>
      <c r="AF1003" s="20"/>
      <c r="AG1003" s="20"/>
      <c r="AH1003" s="20"/>
      <c r="AI1003" s="20"/>
      <c r="AJ1003" s="20"/>
      <c r="AK1003" s="20"/>
      <c r="AL1003" s="20"/>
      <c r="AM1003" s="20"/>
      <c r="AN1003" s="20"/>
      <c r="AO1003" s="20"/>
      <c r="AP1003" s="20"/>
      <c r="AQ1003" s="20"/>
      <c r="AR1003" s="20"/>
      <c r="AS1003" s="20"/>
    </row>
    <row r="1004">
      <c r="A1004" s="20"/>
      <c r="B1004" s="20"/>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c r="AA1004" s="20"/>
      <c r="AB1004" s="20"/>
      <c r="AC1004" s="20"/>
      <c r="AD1004" s="20"/>
      <c r="AE1004" s="20"/>
      <c r="AF1004" s="20"/>
      <c r="AG1004" s="20"/>
      <c r="AH1004" s="20"/>
      <c r="AI1004" s="20"/>
      <c r="AJ1004" s="20"/>
      <c r="AK1004" s="20"/>
      <c r="AL1004" s="20"/>
      <c r="AM1004" s="20"/>
      <c r="AN1004" s="20"/>
      <c r="AO1004" s="20"/>
      <c r="AP1004" s="20"/>
      <c r="AQ1004" s="20"/>
      <c r="AR1004" s="20"/>
      <c r="AS1004" s="20"/>
    </row>
    <row r="1005">
      <c r="A1005" s="20"/>
      <c r="B1005" s="20"/>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c r="AA1005" s="20"/>
      <c r="AB1005" s="20"/>
      <c r="AC1005" s="20"/>
      <c r="AD1005" s="20"/>
      <c r="AE1005" s="20"/>
      <c r="AF1005" s="20"/>
      <c r="AG1005" s="20"/>
      <c r="AH1005" s="20"/>
      <c r="AI1005" s="20"/>
      <c r="AJ1005" s="20"/>
      <c r="AK1005" s="20"/>
      <c r="AL1005" s="20"/>
      <c r="AM1005" s="20"/>
      <c r="AN1005" s="20"/>
      <c r="AO1005" s="20"/>
      <c r="AP1005" s="20"/>
      <c r="AQ1005" s="20"/>
      <c r="AR1005" s="20"/>
      <c r="AS1005" s="20"/>
    </row>
    <row r="1006">
      <c r="A1006" s="20"/>
      <c r="B1006" s="20"/>
      <c r="C1006" s="20"/>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c r="AA1006" s="20"/>
      <c r="AB1006" s="20"/>
      <c r="AC1006" s="20"/>
      <c r="AD1006" s="20"/>
      <c r="AE1006" s="20"/>
      <c r="AF1006" s="20"/>
      <c r="AG1006" s="20"/>
      <c r="AH1006" s="20"/>
      <c r="AI1006" s="20"/>
      <c r="AJ1006" s="20"/>
      <c r="AK1006" s="20"/>
      <c r="AL1006" s="20"/>
      <c r="AM1006" s="20"/>
      <c r="AN1006" s="20"/>
      <c r="AO1006" s="20"/>
      <c r="AP1006" s="20"/>
      <c r="AQ1006" s="20"/>
      <c r="AR1006" s="20"/>
      <c r="AS1006" s="20"/>
    </row>
    <row r="1007">
      <c r="A1007" s="20"/>
      <c r="B1007" s="20"/>
      <c r="C1007" s="20"/>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c r="AA1007" s="20"/>
      <c r="AB1007" s="20"/>
      <c r="AC1007" s="20"/>
      <c r="AD1007" s="20"/>
      <c r="AE1007" s="20"/>
      <c r="AF1007" s="20"/>
      <c r="AG1007" s="20"/>
      <c r="AH1007" s="20"/>
      <c r="AI1007" s="20"/>
      <c r="AJ1007" s="20"/>
      <c r="AK1007" s="20"/>
      <c r="AL1007" s="20"/>
      <c r="AM1007" s="20"/>
      <c r="AN1007" s="20"/>
      <c r="AO1007" s="20"/>
      <c r="AP1007" s="20"/>
      <c r="AQ1007" s="20"/>
      <c r="AR1007" s="20"/>
      <c r="AS1007" s="20"/>
    </row>
    <row r="1008">
      <c r="A1008" s="20"/>
      <c r="B1008" s="20"/>
      <c r="C1008" s="20"/>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c r="Z1008" s="20"/>
      <c r="AA1008" s="20"/>
      <c r="AB1008" s="20"/>
      <c r="AC1008" s="20"/>
      <c r="AD1008" s="20"/>
      <c r="AE1008" s="20"/>
      <c r="AF1008" s="20"/>
      <c r="AG1008" s="20"/>
      <c r="AH1008" s="20"/>
      <c r="AI1008" s="20"/>
      <c r="AJ1008" s="20"/>
      <c r="AK1008" s="20"/>
      <c r="AL1008" s="20"/>
      <c r="AM1008" s="20"/>
      <c r="AN1008" s="20"/>
      <c r="AO1008" s="20"/>
      <c r="AP1008" s="20"/>
      <c r="AQ1008" s="20"/>
      <c r="AR1008" s="20"/>
      <c r="AS1008" s="20"/>
    </row>
    <row r="1009">
      <c r="A1009" s="20"/>
      <c r="B1009" s="20"/>
      <c r="C1009" s="20"/>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c r="AA1009" s="20"/>
      <c r="AB1009" s="20"/>
      <c r="AC1009" s="20"/>
      <c r="AD1009" s="20"/>
      <c r="AE1009" s="20"/>
      <c r="AF1009" s="20"/>
      <c r="AG1009" s="20"/>
      <c r="AH1009" s="20"/>
      <c r="AI1009" s="20"/>
      <c r="AJ1009" s="20"/>
      <c r="AK1009" s="20"/>
      <c r="AL1009" s="20"/>
      <c r="AM1009" s="20"/>
      <c r="AN1009" s="20"/>
      <c r="AO1009" s="20"/>
      <c r="AP1009" s="20"/>
      <c r="AQ1009" s="20"/>
      <c r="AR1009" s="20"/>
      <c r="AS1009" s="20"/>
    </row>
    <row r="1010">
      <c r="A1010" s="20"/>
      <c r="B1010" s="20"/>
      <c r="C1010" s="20"/>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c r="Z1010" s="20"/>
      <c r="AA1010" s="20"/>
      <c r="AB1010" s="20"/>
      <c r="AC1010" s="20"/>
      <c r="AD1010" s="20"/>
      <c r="AE1010" s="20"/>
      <c r="AF1010" s="20"/>
      <c r="AG1010" s="20"/>
      <c r="AH1010" s="20"/>
      <c r="AI1010" s="20"/>
      <c r="AJ1010" s="20"/>
      <c r="AK1010" s="20"/>
      <c r="AL1010" s="20"/>
      <c r="AM1010" s="20"/>
      <c r="AN1010" s="20"/>
      <c r="AO1010" s="20"/>
      <c r="AP1010" s="20"/>
      <c r="AQ1010" s="20"/>
      <c r="AR1010" s="20"/>
      <c r="AS1010" s="20"/>
    </row>
    <row r="1011">
      <c r="A1011" s="20"/>
      <c r="B1011" s="20"/>
      <c r="C1011" s="20"/>
      <c r="D1011" s="20"/>
      <c r="E1011" s="20"/>
      <c r="F1011" s="20"/>
      <c r="G1011" s="20"/>
      <c r="H1011" s="20"/>
      <c r="I1011" s="20"/>
      <c r="J1011" s="20"/>
      <c r="K1011" s="20"/>
      <c r="L1011" s="20"/>
      <c r="M1011" s="20"/>
      <c r="N1011" s="20"/>
      <c r="O1011" s="20"/>
      <c r="P1011" s="20"/>
      <c r="Q1011" s="20"/>
      <c r="R1011" s="20"/>
      <c r="S1011" s="20"/>
      <c r="T1011" s="20"/>
      <c r="U1011" s="20"/>
      <c r="V1011" s="20"/>
      <c r="W1011" s="20"/>
      <c r="X1011" s="20"/>
      <c r="Y1011" s="20"/>
      <c r="Z1011" s="20"/>
      <c r="AA1011" s="20"/>
      <c r="AB1011" s="20"/>
      <c r="AC1011" s="20"/>
      <c r="AD1011" s="20"/>
      <c r="AE1011" s="20"/>
      <c r="AF1011" s="20"/>
      <c r="AG1011" s="20"/>
      <c r="AH1011" s="20"/>
      <c r="AI1011" s="20"/>
      <c r="AJ1011" s="20"/>
      <c r="AK1011" s="20"/>
      <c r="AL1011" s="20"/>
      <c r="AM1011" s="20"/>
      <c r="AN1011" s="20"/>
      <c r="AO1011" s="20"/>
      <c r="AP1011" s="20"/>
      <c r="AQ1011" s="20"/>
      <c r="AR1011" s="20"/>
      <c r="AS1011" s="20"/>
    </row>
    <row r="1012">
      <c r="A1012" s="20"/>
      <c r="B1012" s="20"/>
      <c r="C1012" s="20"/>
      <c r="D1012" s="20"/>
      <c r="E1012" s="20"/>
      <c r="F1012" s="20"/>
      <c r="G1012" s="20"/>
      <c r="H1012" s="20"/>
      <c r="I1012" s="20"/>
      <c r="J1012" s="20"/>
      <c r="K1012" s="20"/>
      <c r="L1012" s="20"/>
      <c r="M1012" s="20"/>
      <c r="N1012" s="20"/>
      <c r="O1012" s="20"/>
      <c r="P1012" s="20"/>
      <c r="Q1012" s="20"/>
      <c r="R1012" s="20"/>
      <c r="S1012" s="20"/>
      <c r="T1012" s="20"/>
      <c r="U1012" s="20"/>
      <c r="V1012" s="20"/>
      <c r="W1012" s="20"/>
      <c r="X1012" s="20"/>
      <c r="Y1012" s="20"/>
      <c r="Z1012" s="20"/>
      <c r="AA1012" s="20"/>
      <c r="AB1012" s="20"/>
      <c r="AC1012" s="20"/>
      <c r="AD1012" s="20"/>
      <c r="AE1012" s="20"/>
      <c r="AF1012" s="20"/>
      <c r="AG1012" s="20"/>
      <c r="AH1012" s="20"/>
      <c r="AI1012" s="20"/>
      <c r="AJ1012" s="20"/>
      <c r="AK1012" s="20"/>
      <c r="AL1012" s="20"/>
      <c r="AM1012" s="20"/>
      <c r="AN1012" s="20"/>
      <c r="AO1012" s="20"/>
      <c r="AP1012" s="20"/>
      <c r="AQ1012" s="20"/>
      <c r="AR1012" s="20"/>
      <c r="AS1012" s="20"/>
    </row>
    <row r="1013">
      <c r="A1013" s="20"/>
      <c r="B1013" s="20"/>
      <c r="C1013" s="20"/>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c r="Z1013" s="20"/>
      <c r="AA1013" s="20"/>
      <c r="AB1013" s="20"/>
      <c r="AC1013" s="20"/>
      <c r="AD1013" s="20"/>
      <c r="AE1013" s="20"/>
      <c r="AF1013" s="20"/>
      <c r="AG1013" s="20"/>
      <c r="AH1013" s="20"/>
      <c r="AI1013" s="20"/>
      <c r="AJ1013" s="20"/>
      <c r="AK1013" s="20"/>
      <c r="AL1013" s="20"/>
      <c r="AM1013" s="20"/>
      <c r="AN1013" s="20"/>
      <c r="AO1013" s="20"/>
      <c r="AP1013" s="20"/>
      <c r="AQ1013" s="20"/>
      <c r="AR1013" s="20"/>
      <c r="AS1013" s="20"/>
    </row>
    <row r="1014">
      <c r="A1014" s="20"/>
      <c r="B1014" s="20"/>
      <c r="C1014" s="20"/>
      <c r="D1014" s="20"/>
      <c r="E1014" s="20"/>
      <c r="F1014" s="20"/>
      <c r="G1014" s="20"/>
      <c r="H1014" s="20"/>
      <c r="I1014" s="20"/>
      <c r="J1014" s="20"/>
      <c r="K1014" s="20"/>
      <c r="L1014" s="20"/>
      <c r="M1014" s="20"/>
      <c r="N1014" s="20"/>
      <c r="O1014" s="20"/>
      <c r="P1014" s="20"/>
      <c r="Q1014" s="20"/>
      <c r="R1014" s="20"/>
      <c r="S1014" s="20"/>
      <c r="T1014" s="20"/>
      <c r="U1014" s="20"/>
      <c r="V1014" s="20"/>
      <c r="W1014" s="20"/>
      <c r="X1014" s="20"/>
      <c r="Y1014" s="20"/>
      <c r="Z1014" s="20"/>
      <c r="AA1014" s="20"/>
      <c r="AB1014" s="20"/>
      <c r="AC1014" s="20"/>
      <c r="AD1014" s="20"/>
      <c r="AE1014" s="20"/>
      <c r="AF1014" s="20"/>
      <c r="AG1014" s="20"/>
      <c r="AH1014" s="20"/>
      <c r="AI1014" s="20"/>
      <c r="AJ1014" s="20"/>
      <c r="AK1014" s="20"/>
      <c r="AL1014" s="20"/>
      <c r="AM1014" s="20"/>
      <c r="AN1014" s="20"/>
      <c r="AO1014" s="20"/>
      <c r="AP1014" s="20"/>
      <c r="AQ1014" s="20"/>
      <c r="AR1014" s="20"/>
      <c r="AS1014" s="20"/>
    </row>
    <row r="1015">
      <c r="A1015" s="20"/>
      <c r="B1015" s="20"/>
      <c r="C1015" s="20"/>
      <c r="D1015" s="20"/>
      <c r="E1015" s="20"/>
      <c r="F1015" s="20"/>
      <c r="G1015" s="20"/>
      <c r="H1015" s="20"/>
      <c r="I1015" s="20"/>
      <c r="J1015" s="20"/>
      <c r="K1015" s="20"/>
      <c r="L1015" s="20"/>
      <c r="M1015" s="20"/>
      <c r="N1015" s="20"/>
      <c r="O1015" s="20"/>
      <c r="P1015" s="20"/>
      <c r="Q1015" s="20"/>
      <c r="R1015" s="20"/>
      <c r="S1015" s="20"/>
      <c r="T1015" s="20"/>
      <c r="U1015" s="20"/>
      <c r="V1015" s="20"/>
      <c r="W1015" s="20"/>
      <c r="X1015" s="20"/>
      <c r="Y1015" s="20"/>
      <c r="Z1015" s="20"/>
      <c r="AA1015" s="20"/>
      <c r="AB1015" s="20"/>
      <c r="AC1015" s="20"/>
      <c r="AD1015" s="20"/>
      <c r="AE1015" s="20"/>
      <c r="AF1015" s="20"/>
      <c r="AG1015" s="20"/>
      <c r="AH1015" s="20"/>
      <c r="AI1015" s="20"/>
      <c r="AJ1015" s="20"/>
      <c r="AK1015" s="20"/>
      <c r="AL1015" s="20"/>
      <c r="AM1015" s="20"/>
      <c r="AN1015" s="20"/>
      <c r="AO1015" s="20"/>
      <c r="AP1015" s="20"/>
      <c r="AQ1015" s="20"/>
      <c r="AR1015" s="20"/>
      <c r="AS1015" s="20"/>
    </row>
    <row r="1016">
      <c r="A1016" s="20"/>
      <c r="B1016" s="20"/>
      <c r="C1016" s="20"/>
      <c r="D1016" s="20"/>
      <c r="E1016" s="20"/>
      <c r="F1016" s="20"/>
      <c r="G1016" s="20"/>
      <c r="H1016" s="20"/>
      <c r="I1016" s="20"/>
      <c r="J1016" s="20"/>
      <c r="K1016" s="20"/>
      <c r="L1016" s="20"/>
      <c r="M1016" s="20"/>
      <c r="N1016" s="20"/>
      <c r="O1016" s="20"/>
      <c r="P1016" s="20"/>
      <c r="Q1016" s="20"/>
      <c r="R1016" s="20"/>
      <c r="S1016" s="20"/>
      <c r="T1016" s="20"/>
      <c r="U1016" s="20"/>
      <c r="V1016" s="20"/>
      <c r="W1016" s="20"/>
      <c r="X1016" s="20"/>
      <c r="Y1016" s="20"/>
      <c r="Z1016" s="20"/>
      <c r="AA1016" s="20"/>
      <c r="AB1016" s="20"/>
      <c r="AC1016" s="20"/>
      <c r="AD1016" s="20"/>
      <c r="AE1016" s="20"/>
      <c r="AF1016" s="20"/>
      <c r="AG1016" s="20"/>
      <c r="AH1016" s="20"/>
      <c r="AI1016" s="20"/>
      <c r="AJ1016" s="20"/>
      <c r="AK1016" s="20"/>
      <c r="AL1016" s="20"/>
      <c r="AM1016" s="20"/>
      <c r="AN1016" s="20"/>
      <c r="AO1016" s="20"/>
      <c r="AP1016" s="20"/>
      <c r="AQ1016" s="20"/>
      <c r="AR1016" s="20"/>
      <c r="AS1016" s="20"/>
    </row>
    <row r="1017">
      <c r="A1017" s="20"/>
      <c r="B1017" s="20"/>
      <c r="C1017" s="20"/>
      <c r="D1017" s="20"/>
      <c r="E1017" s="20"/>
      <c r="F1017" s="20"/>
      <c r="G1017" s="20"/>
      <c r="H1017" s="20"/>
      <c r="I1017" s="20"/>
      <c r="J1017" s="20"/>
      <c r="K1017" s="20"/>
      <c r="L1017" s="20"/>
      <c r="M1017" s="20"/>
      <c r="N1017" s="20"/>
      <c r="O1017" s="20"/>
      <c r="P1017" s="20"/>
      <c r="Q1017" s="20"/>
      <c r="R1017" s="20"/>
      <c r="S1017" s="20"/>
      <c r="T1017" s="20"/>
      <c r="U1017" s="20"/>
      <c r="V1017" s="20"/>
      <c r="W1017" s="20"/>
      <c r="X1017" s="20"/>
      <c r="Y1017" s="20"/>
      <c r="Z1017" s="20"/>
      <c r="AA1017" s="20"/>
      <c r="AB1017" s="20"/>
      <c r="AC1017" s="20"/>
      <c r="AD1017" s="20"/>
      <c r="AE1017" s="20"/>
      <c r="AF1017" s="20"/>
      <c r="AG1017" s="20"/>
      <c r="AH1017" s="20"/>
      <c r="AI1017" s="20"/>
      <c r="AJ1017" s="20"/>
      <c r="AK1017" s="20"/>
      <c r="AL1017" s="20"/>
      <c r="AM1017" s="20"/>
      <c r="AN1017" s="20"/>
      <c r="AO1017" s="20"/>
      <c r="AP1017" s="20"/>
      <c r="AQ1017" s="20"/>
      <c r="AR1017" s="20"/>
      <c r="AS1017" s="20"/>
    </row>
    <row r="1018">
      <c r="A1018" s="20"/>
      <c r="B1018" s="20"/>
      <c r="C1018" s="20"/>
      <c r="D1018" s="20"/>
      <c r="E1018" s="20"/>
      <c r="F1018" s="20"/>
      <c r="G1018" s="20"/>
      <c r="H1018" s="20"/>
      <c r="I1018" s="20"/>
      <c r="J1018" s="20"/>
      <c r="K1018" s="20"/>
      <c r="L1018" s="20"/>
      <c r="M1018" s="20"/>
      <c r="N1018" s="20"/>
      <c r="O1018" s="20"/>
      <c r="P1018" s="20"/>
      <c r="Q1018" s="20"/>
      <c r="R1018" s="20"/>
      <c r="S1018" s="20"/>
      <c r="T1018" s="20"/>
      <c r="U1018" s="20"/>
      <c r="V1018" s="20"/>
      <c r="W1018" s="20"/>
      <c r="X1018" s="20"/>
      <c r="Y1018" s="20"/>
      <c r="Z1018" s="20"/>
      <c r="AA1018" s="20"/>
      <c r="AB1018" s="20"/>
      <c r="AC1018" s="20"/>
      <c r="AD1018" s="20"/>
      <c r="AE1018" s="20"/>
      <c r="AF1018" s="20"/>
      <c r="AG1018" s="20"/>
      <c r="AH1018" s="20"/>
      <c r="AI1018" s="20"/>
      <c r="AJ1018" s="20"/>
      <c r="AK1018" s="20"/>
      <c r="AL1018" s="20"/>
      <c r="AM1018" s="20"/>
      <c r="AN1018" s="20"/>
      <c r="AO1018" s="20"/>
      <c r="AP1018" s="20"/>
      <c r="AQ1018" s="20"/>
      <c r="AR1018" s="20"/>
      <c r="AS1018" s="20"/>
    </row>
    <row r="1019">
      <c r="A1019" s="20"/>
      <c r="B1019" s="20"/>
      <c r="C1019" s="20"/>
      <c r="D1019" s="20"/>
      <c r="E1019" s="20"/>
      <c r="F1019" s="20"/>
      <c r="G1019" s="20"/>
      <c r="H1019" s="20"/>
      <c r="I1019" s="20"/>
      <c r="J1019" s="20"/>
      <c r="K1019" s="20"/>
      <c r="L1019" s="20"/>
      <c r="M1019" s="20"/>
      <c r="N1019" s="20"/>
      <c r="O1019" s="20"/>
      <c r="P1019" s="20"/>
      <c r="Q1019" s="20"/>
      <c r="R1019" s="20"/>
      <c r="S1019" s="20"/>
      <c r="T1019" s="20"/>
      <c r="U1019" s="20"/>
      <c r="V1019" s="20"/>
      <c r="W1019" s="20"/>
      <c r="X1019" s="20"/>
      <c r="Y1019" s="20"/>
      <c r="Z1019" s="20"/>
      <c r="AA1019" s="20"/>
      <c r="AB1019" s="20"/>
      <c r="AC1019" s="20"/>
      <c r="AD1019" s="20"/>
      <c r="AE1019" s="20"/>
      <c r="AF1019" s="20"/>
      <c r="AG1019" s="20"/>
      <c r="AH1019" s="20"/>
      <c r="AI1019" s="20"/>
      <c r="AJ1019" s="20"/>
      <c r="AK1019" s="20"/>
      <c r="AL1019" s="20"/>
      <c r="AM1019" s="20"/>
      <c r="AN1019" s="20"/>
      <c r="AO1019" s="20"/>
      <c r="AP1019" s="20"/>
      <c r="AQ1019" s="20"/>
      <c r="AR1019" s="20"/>
      <c r="AS1019" s="20"/>
    </row>
    <row r="1020">
      <c r="A1020" s="20"/>
      <c r="B1020" s="20"/>
      <c r="C1020" s="20"/>
      <c r="D1020" s="20"/>
      <c r="E1020" s="20"/>
      <c r="F1020" s="20"/>
      <c r="G1020" s="20"/>
      <c r="H1020" s="20"/>
      <c r="I1020" s="20"/>
      <c r="J1020" s="20"/>
      <c r="K1020" s="20"/>
      <c r="L1020" s="20"/>
      <c r="M1020" s="20"/>
      <c r="N1020" s="20"/>
      <c r="O1020" s="20"/>
      <c r="P1020" s="20"/>
      <c r="Q1020" s="20"/>
      <c r="R1020" s="20"/>
      <c r="S1020" s="20"/>
      <c r="T1020" s="20"/>
      <c r="U1020" s="20"/>
      <c r="V1020" s="20"/>
      <c r="W1020" s="20"/>
      <c r="X1020" s="20"/>
      <c r="Y1020" s="20"/>
      <c r="Z1020" s="20"/>
      <c r="AA1020" s="20"/>
      <c r="AB1020" s="20"/>
      <c r="AC1020" s="20"/>
      <c r="AD1020" s="20"/>
      <c r="AE1020" s="20"/>
      <c r="AF1020" s="20"/>
      <c r="AG1020" s="20"/>
      <c r="AH1020" s="20"/>
      <c r="AI1020" s="20"/>
      <c r="AJ1020" s="20"/>
      <c r="AK1020" s="20"/>
      <c r="AL1020" s="20"/>
      <c r="AM1020" s="20"/>
      <c r="AN1020" s="20"/>
      <c r="AO1020" s="20"/>
      <c r="AP1020" s="20"/>
      <c r="AQ1020" s="20"/>
      <c r="AR1020" s="20"/>
      <c r="AS1020" s="20"/>
    </row>
    <row r="1021">
      <c r="A1021" s="20"/>
      <c r="B1021" s="20"/>
      <c r="C1021" s="20"/>
      <c r="D1021" s="20"/>
      <c r="E1021" s="20"/>
      <c r="F1021" s="20"/>
      <c r="G1021" s="20"/>
      <c r="H1021" s="20"/>
      <c r="I1021" s="20"/>
      <c r="J1021" s="20"/>
      <c r="K1021" s="20"/>
      <c r="L1021" s="20"/>
      <c r="M1021" s="20"/>
      <c r="N1021" s="20"/>
      <c r="O1021" s="20"/>
      <c r="P1021" s="20"/>
      <c r="Q1021" s="20"/>
      <c r="R1021" s="20"/>
      <c r="S1021" s="20"/>
      <c r="T1021" s="20"/>
      <c r="U1021" s="20"/>
      <c r="V1021" s="20"/>
      <c r="W1021" s="20"/>
      <c r="X1021" s="20"/>
      <c r="Y1021" s="20"/>
      <c r="Z1021" s="20"/>
      <c r="AA1021" s="20"/>
      <c r="AB1021" s="20"/>
      <c r="AC1021" s="20"/>
      <c r="AD1021" s="20"/>
      <c r="AE1021" s="20"/>
      <c r="AF1021" s="20"/>
      <c r="AG1021" s="20"/>
      <c r="AH1021" s="20"/>
      <c r="AI1021" s="20"/>
      <c r="AJ1021" s="20"/>
      <c r="AK1021" s="20"/>
      <c r="AL1021" s="20"/>
      <c r="AM1021" s="20"/>
      <c r="AN1021" s="20"/>
      <c r="AO1021" s="20"/>
      <c r="AP1021" s="20"/>
      <c r="AQ1021" s="20"/>
      <c r="AR1021" s="20"/>
      <c r="AS1021" s="20"/>
    </row>
    <row r="1022">
      <c r="A1022" s="20"/>
      <c r="B1022" s="20"/>
      <c r="C1022" s="20"/>
      <c r="D1022" s="20"/>
      <c r="E1022" s="20"/>
      <c r="F1022" s="20"/>
      <c r="G1022" s="20"/>
      <c r="H1022" s="20"/>
      <c r="I1022" s="20"/>
      <c r="J1022" s="20"/>
      <c r="K1022" s="20"/>
      <c r="L1022" s="20"/>
      <c r="M1022" s="20"/>
      <c r="N1022" s="20"/>
      <c r="O1022" s="20"/>
      <c r="P1022" s="20"/>
      <c r="Q1022" s="20"/>
      <c r="R1022" s="20"/>
      <c r="S1022" s="20"/>
      <c r="T1022" s="20"/>
      <c r="U1022" s="20"/>
      <c r="V1022" s="20"/>
      <c r="W1022" s="20"/>
      <c r="X1022" s="20"/>
      <c r="Y1022" s="20"/>
      <c r="Z1022" s="20"/>
      <c r="AA1022" s="20"/>
      <c r="AB1022" s="20"/>
      <c r="AC1022" s="20"/>
      <c r="AD1022" s="20"/>
      <c r="AE1022" s="20"/>
      <c r="AF1022" s="20"/>
      <c r="AG1022" s="20"/>
      <c r="AH1022" s="20"/>
      <c r="AI1022" s="20"/>
      <c r="AJ1022" s="20"/>
      <c r="AK1022" s="20"/>
      <c r="AL1022" s="20"/>
      <c r="AM1022" s="20"/>
      <c r="AN1022" s="20"/>
      <c r="AO1022" s="20"/>
      <c r="AP1022" s="20"/>
      <c r="AQ1022" s="20"/>
      <c r="AR1022" s="20"/>
      <c r="AS1022" s="20"/>
    </row>
    <row r="1023">
      <c r="A1023" s="20"/>
      <c r="B1023" s="20"/>
      <c r="C1023" s="20"/>
      <c r="D1023" s="20"/>
      <c r="E1023" s="20"/>
      <c r="F1023" s="20"/>
      <c r="G1023" s="20"/>
      <c r="H1023" s="20"/>
      <c r="I1023" s="20"/>
      <c r="J1023" s="20"/>
      <c r="K1023" s="20"/>
      <c r="L1023" s="20"/>
      <c r="M1023" s="20"/>
      <c r="N1023" s="20"/>
      <c r="O1023" s="20"/>
      <c r="P1023" s="20"/>
      <c r="Q1023" s="20"/>
      <c r="R1023" s="20"/>
      <c r="S1023" s="20"/>
      <c r="T1023" s="20"/>
      <c r="U1023" s="20"/>
      <c r="V1023" s="20"/>
      <c r="W1023" s="20"/>
      <c r="X1023" s="20"/>
      <c r="Y1023" s="20"/>
      <c r="Z1023" s="20"/>
      <c r="AA1023" s="20"/>
      <c r="AB1023" s="20"/>
      <c r="AC1023" s="20"/>
      <c r="AD1023" s="20"/>
      <c r="AE1023" s="20"/>
      <c r="AF1023" s="20"/>
      <c r="AG1023" s="20"/>
      <c r="AH1023" s="20"/>
      <c r="AI1023" s="20"/>
      <c r="AJ1023" s="20"/>
      <c r="AK1023" s="20"/>
      <c r="AL1023" s="20"/>
      <c r="AM1023" s="20"/>
      <c r="AN1023" s="20"/>
      <c r="AO1023" s="20"/>
      <c r="AP1023" s="20"/>
      <c r="AQ1023" s="20"/>
      <c r="AR1023" s="20"/>
      <c r="AS1023" s="20"/>
    </row>
    <row r="1024">
      <c r="A1024" s="20"/>
      <c r="B1024" s="20"/>
      <c r="C1024" s="20"/>
      <c r="D1024" s="20"/>
      <c r="E1024" s="20"/>
      <c r="F1024" s="20"/>
      <c r="G1024" s="20"/>
      <c r="H1024" s="20"/>
      <c r="I1024" s="20"/>
      <c r="J1024" s="20"/>
      <c r="K1024" s="20"/>
      <c r="L1024" s="20"/>
      <c r="M1024" s="20"/>
      <c r="N1024" s="20"/>
      <c r="O1024" s="20"/>
      <c r="P1024" s="20"/>
      <c r="Q1024" s="20"/>
      <c r="R1024" s="20"/>
      <c r="S1024" s="20"/>
      <c r="T1024" s="20"/>
      <c r="U1024" s="20"/>
      <c r="V1024" s="20"/>
      <c r="W1024" s="20"/>
      <c r="X1024" s="20"/>
      <c r="Y1024" s="20"/>
      <c r="Z1024" s="20"/>
      <c r="AA1024" s="20"/>
      <c r="AB1024" s="20"/>
      <c r="AC1024" s="20"/>
      <c r="AD1024" s="20"/>
      <c r="AE1024" s="20"/>
      <c r="AF1024" s="20"/>
      <c r="AG1024" s="20"/>
      <c r="AH1024" s="20"/>
      <c r="AI1024" s="20"/>
      <c r="AJ1024" s="20"/>
      <c r="AK1024" s="20"/>
      <c r="AL1024" s="20"/>
      <c r="AM1024" s="20"/>
      <c r="AN1024" s="20"/>
      <c r="AO1024" s="20"/>
      <c r="AP1024" s="20"/>
      <c r="AQ1024" s="20"/>
      <c r="AR1024" s="20"/>
      <c r="AS1024" s="20"/>
    </row>
    <row r="1025">
      <c r="A1025" s="20"/>
      <c r="B1025" s="20"/>
      <c r="C1025" s="20"/>
      <c r="D1025" s="20"/>
      <c r="E1025" s="20"/>
      <c r="F1025" s="20"/>
      <c r="G1025" s="20"/>
      <c r="H1025" s="20"/>
      <c r="I1025" s="20"/>
      <c r="J1025" s="20"/>
      <c r="K1025" s="20"/>
      <c r="L1025" s="20"/>
      <c r="M1025" s="20"/>
      <c r="N1025" s="20"/>
      <c r="O1025" s="20"/>
      <c r="P1025" s="20"/>
      <c r="Q1025" s="20"/>
      <c r="R1025" s="20"/>
      <c r="S1025" s="20"/>
      <c r="T1025" s="20"/>
      <c r="U1025" s="20"/>
      <c r="V1025" s="20"/>
      <c r="W1025" s="20"/>
      <c r="X1025" s="20"/>
      <c r="Y1025" s="20"/>
      <c r="Z1025" s="20"/>
      <c r="AA1025" s="20"/>
      <c r="AB1025" s="20"/>
      <c r="AC1025" s="20"/>
      <c r="AD1025" s="20"/>
      <c r="AE1025" s="20"/>
      <c r="AF1025" s="20"/>
      <c r="AG1025" s="20"/>
      <c r="AH1025" s="20"/>
      <c r="AI1025" s="20"/>
      <c r="AJ1025" s="20"/>
      <c r="AK1025" s="20"/>
      <c r="AL1025" s="20"/>
      <c r="AM1025" s="20"/>
      <c r="AN1025" s="20"/>
      <c r="AO1025" s="20"/>
      <c r="AP1025" s="20"/>
      <c r="AQ1025" s="20"/>
      <c r="AR1025" s="20"/>
      <c r="AS1025" s="20"/>
    </row>
    <row r="1026">
      <c r="A1026" s="20"/>
      <c r="B1026" s="20"/>
      <c r="C1026" s="20"/>
      <c r="D1026" s="20"/>
      <c r="E1026" s="20"/>
      <c r="F1026" s="20"/>
      <c r="G1026" s="20"/>
      <c r="H1026" s="20"/>
      <c r="I1026" s="20"/>
      <c r="J1026" s="20"/>
      <c r="K1026" s="20"/>
      <c r="L1026" s="20"/>
      <c r="M1026" s="20"/>
      <c r="N1026" s="20"/>
      <c r="O1026" s="20"/>
      <c r="P1026" s="20"/>
      <c r="Q1026" s="20"/>
      <c r="R1026" s="20"/>
      <c r="S1026" s="20"/>
      <c r="T1026" s="20"/>
      <c r="U1026" s="20"/>
      <c r="V1026" s="20"/>
      <c r="W1026" s="20"/>
      <c r="X1026" s="20"/>
      <c r="Y1026" s="20"/>
      <c r="Z1026" s="20"/>
      <c r="AA1026" s="20"/>
      <c r="AB1026" s="20"/>
      <c r="AC1026" s="20"/>
      <c r="AD1026" s="20"/>
      <c r="AE1026" s="20"/>
      <c r="AF1026" s="20"/>
      <c r="AG1026" s="20"/>
      <c r="AH1026" s="20"/>
      <c r="AI1026" s="20"/>
      <c r="AJ1026" s="20"/>
      <c r="AK1026" s="20"/>
      <c r="AL1026" s="20"/>
      <c r="AM1026" s="20"/>
      <c r="AN1026" s="20"/>
      <c r="AO1026" s="20"/>
      <c r="AP1026" s="20"/>
      <c r="AQ1026" s="20"/>
      <c r="AR1026" s="20"/>
      <c r="AS1026" s="20"/>
    </row>
    <row r="1027">
      <c r="A1027" s="20"/>
      <c r="B1027" s="20"/>
      <c r="C1027" s="20"/>
      <c r="D1027" s="20"/>
      <c r="E1027" s="20"/>
      <c r="F1027" s="20"/>
      <c r="G1027" s="20"/>
      <c r="H1027" s="20"/>
      <c r="I1027" s="20"/>
      <c r="J1027" s="20"/>
      <c r="K1027" s="20"/>
      <c r="L1027" s="20"/>
      <c r="M1027" s="20"/>
      <c r="N1027" s="20"/>
      <c r="O1027" s="20"/>
      <c r="P1027" s="20"/>
      <c r="Q1027" s="20"/>
      <c r="R1027" s="20"/>
      <c r="S1027" s="20"/>
      <c r="T1027" s="20"/>
      <c r="U1027" s="20"/>
      <c r="V1027" s="20"/>
      <c r="W1027" s="20"/>
      <c r="X1027" s="20"/>
      <c r="Y1027" s="20"/>
      <c r="Z1027" s="20"/>
      <c r="AA1027" s="20"/>
      <c r="AB1027" s="20"/>
      <c r="AC1027" s="20"/>
      <c r="AD1027" s="20"/>
      <c r="AE1027" s="20"/>
      <c r="AF1027" s="20"/>
      <c r="AG1027" s="20"/>
      <c r="AH1027" s="20"/>
      <c r="AI1027" s="20"/>
      <c r="AJ1027" s="20"/>
      <c r="AK1027" s="20"/>
      <c r="AL1027" s="20"/>
      <c r="AM1027" s="20"/>
      <c r="AN1027" s="20"/>
      <c r="AO1027" s="20"/>
      <c r="AP1027" s="20"/>
      <c r="AQ1027" s="20"/>
      <c r="AR1027" s="20"/>
      <c r="AS1027" s="20"/>
    </row>
    <row r="1028">
      <c r="A1028" s="20"/>
      <c r="B1028" s="20"/>
      <c r="C1028" s="20"/>
      <c r="D1028" s="20"/>
      <c r="E1028" s="20"/>
      <c r="F1028" s="20"/>
      <c r="G1028" s="20"/>
      <c r="H1028" s="20"/>
      <c r="I1028" s="20"/>
      <c r="J1028" s="20"/>
      <c r="K1028" s="20"/>
      <c r="L1028" s="20"/>
      <c r="M1028" s="20"/>
      <c r="N1028" s="20"/>
      <c r="O1028" s="20"/>
      <c r="P1028" s="20"/>
      <c r="Q1028" s="20"/>
      <c r="R1028" s="20"/>
      <c r="S1028" s="20"/>
      <c r="T1028" s="20"/>
      <c r="U1028" s="20"/>
      <c r="V1028" s="20"/>
      <c r="W1028" s="20"/>
      <c r="X1028" s="20"/>
      <c r="Y1028" s="20"/>
      <c r="Z1028" s="20"/>
      <c r="AA1028" s="20"/>
      <c r="AB1028" s="20"/>
      <c r="AC1028" s="20"/>
      <c r="AD1028" s="20"/>
      <c r="AE1028" s="20"/>
      <c r="AF1028" s="20"/>
      <c r="AG1028" s="20"/>
      <c r="AH1028" s="20"/>
      <c r="AI1028" s="20"/>
      <c r="AJ1028" s="20"/>
      <c r="AK1028" s="20"/>
      <c r="AL1028" s="20"/>
      <c r="AM1028" s="20"/>
      <c r="AN1028" s="20"/>
      <c r="AO1028" s="20"/>
      <c r="AP1028" s="20"/>
      <c r="AQ1028" s="20"/>
      <c r="AR1028" s="20"/>
      <c r="AS1028" s="20"/>
    </row>
    <row r="1029">
      <c r="A1029" s="20"/>
      <c r="B1029" s="20"/>
      <c r="C1029" s="20"/>
      <c r="D1029" s="20"/>
      <c r="E1029" s="20"/>
      <c r="F1029" s="20"/>
      <c r="G1029" s="20"/>
      <c r="H1029" s="20"/>
      <c r="I1029" s="20"/>
      <c r="J1029" s="20"/>
      <c r="K1029" s="20"/>
      <c r="L1029" s="20"/>
      <c r="M1029" s="20"/>
      <c r="N1029" s="20"/>
      <c r="O1029" s="20"/>
      <c r="P1029" s="20"/>
      <c r="Q1029" s="20"/>
      <c r="R1029" s="20"/>
      <c r="S1029" s="20"/>
      <c r="T1029" s="20"/>
      <c r="U1029" s="20"/>
      <c r="V1029" s="20"/>
      <c r="W1029" s="20"/>
      <c r="X1029" s="20"/>
      <c r="Y1029" s="20"/>
      <c r="Z1029" s="20"/>
      <c r="AA1029" s="20"/>
      <c r="AB1029" s="20"/>
      <c r="AC1029" s="20"/>
      <c r="AD1029" s="20"/>
      <c r="AE1029" s="20"/>
      <c r="AF1029" s="20"/>
      <c r="AG1029" s="20"/>
      <c r="AH1029" s="20"/>
      <c r="AI1029" s="20"/>
      <c r="AJ1029" s="20"/>
      <c r="AK1029" s="20"/>
      <c r="AL1029" s="20"/>
      <c r="AM1029" s="20"/>
      <c r="AN1029" s="20"/>
      <c r="AO1029" s="20"/>
      <c r="AP1029" s="20"/>
      <c r="AQ1029" s="20"/>
      <c r="AR1029" s="20"/>
      <c r="AS1029" s="20"/>
    </row>
    <row r="1030">
      <c r="A1030" s="20"/>
      <c r="B1030" s="20"/>
      <c r="C1030" s="20"/>
      <c r="D1030" s="20"/>
      <c r="E1030" s="20"/>
      <c r="F1030" s="20"/>
      <c r="G1030" s="20"/>
      <c r="H1030" s="20"/>
      <c r="I1030" s="20"/>
      <c r="J1030" s="20"/>
      <c r="K1030" s="20"/>
      <c r="L1030" s="20"/>
      <c r="M1030" s="20"/>
      <c r="N1030" s="20"/>
      <c r="O1030" s="20"/>
      <c r="P1030" s="20"/>
      <c r="Q1030" s="20"/>
      <c r="R1030" s="20"/>
      <c r="S1030" s="20"/>
      <c r="T1030" s="20"/>
      <c r="U1030" s="20"/>
      <c r="V1030" s="20"/>
      <c r="W1030" s="20"/>
      <c r="X1030" s="20"/>
      <c r="Y1030" s="20"/>
      <c r="Z1030" s="20"/>
      <c r="AA1030" s="20"/>
      <c r="AB1030" s="20"/>
      <c r="AC1030" s="20"/>
      <c r="AD1030" s="20"/>
      <c r="AE1030" s="20"/>
      <c r="AF1030" s="20"/>
      <c r="AG1030" s="20"/>
      <c r="AH1030" s="20"/>
      <c r="AI1030" s="20"/>
      <c r="AJ1030" s="20"/>
      <c r="AK1030" s="20"/>
      <c r="AL1030" s="20"/>
      <c r="AM1030" s="20"/>
      <c r="AN1030" s="20"/>
      <c r="AO1030" s="20"/>
      <c r="AP1030" s="20"/>
      <c r="AQ1030" s="20"/>
      <c r="AR1030" s="20"/>
      <c r="AS1030" s="20"/>
    </row>
    <row r="1031">
      <c r="A1031" s="20"/>
      <c r="B1031" s="20"/>
      <c r="C1031" s="20"/>
      <c r="D1031" s="20"/>
      <c r="E1031" s="20"/>
      <c r="F1031" s="20"/>
      <c r="G1031" s="20"/>
      <c r="H1031" s="20"/>
      <c r="I1031" s="20"/>
      <c r="J1031" s="20"/>
      <c r="K1031" s="20"/>
      <c r="L1031" s="20"/>
      <c r="M1031" s="20"/>
      <c r="N1031" s="20"/>
      <c r="O1031" s="20"/>
      <c r="P1031" s="20"/>
      <c r="Q1031" s="20"/>
      <c r="R1031" s="20"/>
      <c r="S1031" s="20"/>
      <c r="T1031" s="20"/>
      <c r="U1031" s="20"/>
      <c r="V1031" s="20"/>
      <c r="W1031" s="20"/>
      <c r="X1031" s="20"/>
      <c r="Y1031" s="20"/>
      <c r="Z1031" s="20"/>
      <c r="AA1031" s="20"/>
      <c r="AB1031" s="20"/>
      <c r="AC1031" s="20"/>
      <c r="AD1031" s="20"/>
      <c r="AE1031" s="20"/>
      <c r="AF1031" s="20"/>
      <c r="AG1031" s="20"/>
      <c r="AH1031" s="20"/>
      <c r="AI1031" s="20"/>
      <c r="AJ1031" s="20"/>
      <c r="AK1031" s="20"/>
      <c r="AL1031" s="20"/>
      <c r="AM1031" s="20"/>
      <c r="AN1031" s="20"/>
      <c r="AO1031" s="20"/>
      <c r="AP1031" s="20"/>
      <c r="AQ1031" s="20"/>
      <c r="AR1031" s="20"/>
      <c r="AS1031" s="20"/>
    </row>
    <row r="1032">
      <c r="A1032" s="20"/>
      <c r="B1032" s="20"/>
      <c r="C1032" s="20"/>
      <c r="D1032" s="20"/>
      <c r="E1032" s="20"/>
      <c r="F1032" s="20"/>
      <c r="G1032" s="20"/>
      <c r="H1032" s="20"/>
      <c r="I1032" s="20"/>
      <c r="J1032" s="20"/>
      <c r="K1032" s="20"/>
      <c r="L1032" s="20"/>
      <c r="M1032" s="20"/>
      <c r="N1032" s="20"/>
      <c r="O1032" s="20"/>
      <c r="P1032" s="20"/>
      <c r="Q1032" s="20"/>
      <c r="R1032" s="20"/>
      <c r="S1032" s="20"/>
      <c r="T1032" s="20"/>
      <c r="U1032" s="20"/>
      <c r="V1032" s="20"/>
      <c r="W1032" s="20"/>
      <c r="X1032" s="20"/>
      <c r="Y1032" s="20"/>
      <c r="Z1032" s="20"/>
      <c r="AA1032" s="20"/>
      <c r="AB1032" s="20"/>
      <c r="AC1032" s="20"/>
      <c r="AD1032" s="20"/>
      <c r="AE1032" s="20"/>
      <c r="AF1032" s="20"/>
      <c r="AG1032" s="20"/>
      <c r="AH1032" s="20"/>
      <c r="AI1032" s="20"/>
      <c r="AJ1032" s="20"/>
      <c r="AK1032" s="20"/>
      <c r="AL1032" s="20"/>
      <c r="AM1032" s="20"/>
      <c r="AN1032" s="20"/>
      <c r="AO1032" s="20"/>
      <c r="AP1032" s="20"/>
      <c r="AQ1032" s="20"/>
      <c r="AR1032" s="20"/>
      <c r="AS1032" s="20"/>
    </row>
    <row r="1033">
      <c r="A1033" s="20"/>
      <c r="B1033" s="20"/>
      <c r="C1033" s="20"/>
      <c r="D1033" s="20"/>
      <c r="E1033" s="20"/>
      <c r="F1033" s="20"/>
      <c r="G1033" s="20"/>
      <c r="H1033" s="20"/>
      <c r="I1033" s="20"/>
      <c r="J1033" s="20"/>
      <c r="K1033" s="20"/>
      <c r="L1033" s="20"/>
      <c r="M1033" s="20"/>
      <c r="N1033" s="20"/>
      <c r="O1033" s="20"/>
      <c r="P1033" s="20"/>
      <c r="Q1033" s="20"/>
      <c r="R1033" s="20"/>
      <c r="S1033" s="20"/>
      <c r="T1033" s="20"/>
      <c r="U1033" s="20"/>
      <c r="V1033" s="20"/>
      <c r="W1033" s="20"/>
      <c r="X1033" s="20"/>
      <c r="Y1033" s="20"/>
      <c r="Z1033" s="20"/>
      <c r="AA1033" s="20"/>
      <c r="AB1033" s="20"/>
      <c r="AC1033" s="20"/>
      <c r="AD1033" s="20"/>
      <c r="AE1033" s="20"/>
      <c r="AF1033" s="20"/>
      <c r="AG1033" s="20"/>
      <c r="AH1033" s="20"/>
      <c r="AI1033" s="20"/>
      <c r="AJ1033" s="20"/>
      <c r="AK1033" s="20"/>
      <c r="AL1033" s="20"/>
      <c r="AM1033" s="20"/>
      <c r="AN1033" s="20"/>
      <c r="AO1033" s="20"/>
      <c r="AP1033" s="20"/>
      <c r="AQ1033" s="20"/>
      <c r="AR1033" s="20"/>
      <c r="AS1033" s="20"/>
    </row>
    <row r="1034">
      <c r="A1034" s="20"/>
      <c r="B1034" s="20"/>
      <c r="C1034" s="20"/>
      <c r="D1034" s="20"/>
      <c r="E1034" s="20"/>
      <c r="F1034" s="20"/>
      <c r="G1034" s="20"/>
      <c r="H1034" s="20"/>
      <c r="I1034" s="20"/>
      <c r="J1034" s="20"/>
      <c r="K1034" s="20"/>
      <c r="L1034" s="20"/>
      <c r="M1034" s="20"/>
      <c r="N1034" s="20"/>
      <c r="O1034" s="20"/>
      <c r="P1034" s="20"/>
      <c r="Q1034" s="20"/>
      <c r="R1034" s="20"/>
      <c r="S1034" s="20"/>
      <c r="T1034" s="20"/>
      <c r="U1034" s="20"/>
      <c r="V1034" s="20"/>
      <c r="W1034" s="20"/>
      <c r="X1034" s="20"/>
      <c r="Y1034" s="20"/>
      <c r="Z1034" s="20"/>
      <c r="AA1034" s="20"/>
      <c r="AB1034" s="20"/>
      <c r="AC1034" s="20"/>
      <c r="AD1034" s="20"/>
      <c r="AE1034" s="20"/>
      <c r="AF1034" s="20"/>
      <c r="AG1034" s="20"/>
      <c r="AH1034" s="20"/>
      <c r="AI1034" s="20"/>
      <c r="AJ1034" s="20"/>
      <c r="AK1034" s="20"/>
      <c r="AL1034" s="20"/>
      <c r="AM1034" s="20"/>
      <c r="AN1034" s="20"/>
      <c r="AO1034" s="20"/>
      <c r="AP1034" s="20"/>
      <c r="AQ1034" s="20"/>
      <c r="AR1034" s="20"/>
      <c r="AS1034" s="20"/>
    </row>
    <row r="1035">
      <c r="A1035" s="20"/>
      <c r="B1035" s="20"/>
      <c r="C1035" s="20"/>
      <c r="D1035" s="20"/>
      <c r="E1035" s="20"/>
      <c r="F1035" s="20"/>
      <c r="G1035" s="20"/>
      <c r="H1035" s="20"/>
      <c r="I1035" s="20"/>
      <c r="J1035" s="20"/>
      <c r="K1035" s="20"/>
      <c r="L1035" s="20"/>
      <c r="M1035" s="20"/>
      <c r="N1035" s="20"/>
      <c r="O1035" s="20"/>
      <c r="P1035" s="20"/>
      <c r="Q1035" s="20"/>
      <c r="R1035" s="20"/>
      <c r="S1035" s="20"/>
      <c r="T1035" s="20"/>
      <c r="U1035" s="20"/>
      <c r="V1035" s="20"/>
      <c r="W1035" s="20"/>
      <c r="X1035" s="20"/>
      <c r="Y1035" s="20"/>
      <c r="Z1035" s="20"/>
      <c r="AA1035" s="20"/>
      <c r="AB1035" s="20"/>
      <c r="AC1035" s="20"/>
      <c r="AD1035" s="20"/>
      <c r="AE1035" s="20"/>
      <c r="AF1035" s="20"/>
      <c r="AG1035" s="20"/>
      <c r="AH1035" s="20"/>
      <c r="AI1035" s="20"/>
      <c r="AJ1035" s="20"/>
      <c r="AK1035" s="20"/>
      <c r="AL1035" s="20"/>
      <c r="AM1035" s="20"/>
      <c r="AN1035" s="20"/>
      <c r="AO1035" s="20"/>
      <c r="AP1035" s="20"/>
      <c r="AQ1035" s="20"/>
      <c r="AR1035" s="20"/>
      <c r="AS1035" s="20"/>
    </row>
    <row r="1036">
      <c r="A1036" s="20"/>
      <c r="B1036" s="20"/>
      <c r="C1036" s="20"/>
      <c r="D1036" s="20"/>
      <c r="E1036" s="20"/>
      <c r="F1036" s="20"/>
      <c r="G1036" s="20"/>
      <c r="H1036" s="20"/>
      <c r="I1036" s="20"/>
      <c r="J1036" s="20"/>
      <c r="K1036" s="20"/>
      <c r="L1036" s="20"/>
      <c r="M1036" s="20"/>
      <c r="N1036" s="20"/>
      <c r="O1036" s="20"/>
      <c r="P1036" s="20"/>
      <c r="Q1036" s="20"/>
      <c r="R1036" s="20"/>
      <c r="S1036" s="20"/>
      <c r="T1036" s="20"/>
      <c r="U1036" s="20"/>
      <c r="V1036" s="20"/>
      <c r="W1036" s="20"/>
      <c r="X1036" s="20"/>
      <c r="Y1036" s="20"/>
      <c r="Z1036" s="20"/>
      <c r="AA1036" s="20"/>
      <c r="AB1036" s="20"/>
      <c r="AC1036" s="20"/>
      <c r="AD1036" s="20"/>
      <c r="AE1036" s="20"/>
      <c r="AF1036" s="20"/>
      <c r="AG1036" s="20"/>
      <c r="AH1036" s="20"/>
      <c r="AI1036" s="20"/>
      <c r="AJ1036" s="20"/>
      <c r="AK1036" s="20"/>
      <c r="AL1036" s="20"/>
      <c r="AM1036" s="20"/>
      <c r="AN1036" s="20"/>
      <c r="AO1036" s="20"/>
      <c r="AP1036" s="20"/>
      <c r="AQ1036" s="20"/>
      <c r="AR1036" s="20"/>
      <c r="AS1036" s="20"/>
    </row>
    <row r="1037">
      <c r="A1037" s="20"/>
      <c r="B1037" s="20"/>
      <c r="C1037" s="20"/>
      <c r="D1037" s="20"/>
      <c r="E1037" s="20"/>
      <c r="F1037" s="20"/>
      <c r="G1037" s="20"/>
      <c r="H1037" s="20"/>
      <c r="I1037" s="20"/>
      <c r="J1037" s="20"/>
      <c r="K1037" s="20"/>
      <c r="L1037" s="20"/>
      <c r="M1037" s="20"/>
      <c r="N1037" s="20"/>
      <c r="O1037" s="20"/>
      <c r="P1037" s="20"/>
      <c r="Q1037" s="20"/>
      <c r="R1037" s="20"/>
      <c r="S1037" s="20"/>
      <c r="T1037" s="20"/>
      <c r="U1037" s="20"/>
      <c r="V1037" s="20"/>
      <c r="W1037" s="20"/>
      <c r="X1037" s="20"/>
      <c r="Y1037" s="20"/>
      <c r="Z1037" s="20"/>
      <c r="AA1037" s="20"/>
      <c r="AB1037" s="20"/>
      <c r="AC1037" s="20"/>
      <c r="AD1037" s="20"/>
      <c r="AE1037" s="20"/>
      <c r="AF1037" s="20"/>
      <c r="AG1037" s="20"/>
      <c r="AH1037" s="20"/>
      <c r="AI1037" s="20"/>
      <c r="AJ1037" s="20"/>
      <c r="AK1037" s="20"/>
      <c r="AL1037" s="20"/>
      <c r="AM1037" s="20"/>
      <c r="AN1037" s="20"/>
      <c r="AO1037" s="20"/>
      <c r="AP1037" s="20"/>
      <c r="AQ1037" s="20"/>
      <c r="AR1037" s="20"/>
      <c r="AS1037" s="20"/>
    </row>
    <row r="1038">
      <c r="A1038" s="20"/>
      <c r="B1038" s="20"/>
      <c r="C1038" s="20"/>
      <c r="D1038" s="20"/>
      <c r="E1038" s="20"/>
      <c r="F1038" s="20"/>
      <c r="G1038" s="20"/>
      <c r="H1038" s="20"/>
      <c r="I1038" s="20"/>
      <c r="J1038" s="20"/>
      <c r="K1038" s="20"/>
      <c r="L1038" s="20"/>
      <c r="M1038" s="20"/>
      <c r="N1038" s="20"/>
      <c r="O1038" s="20"/>
      <c r="P1038" s="20"/>
      <c r="Q1038" s="20"/>
      <c r="R1038" s="20"/>
      <c r="S1038" s="20"/>
      <c r="T1038" s="20"/>
      <c r="U1038" s="20"/>
      <c r="V1038" s="20"/>
      <c r="W1038" s="20"/>
      <c r="X1038" s="20"/>
      <c r="Y1038" s="20"/>
      <c r="Z1038" s="20"/>
      <c r="AA1038" s="20"/>
      <c r="AB1038" s="20"/>
      <c r="AC1038" s="20"/>
      <c r="AD1038" s="20"/>
      <c r="AE1038" s="20"/>
      <c r="AF1038" s="20"/>
      <c r="AG1038" s="20"/>
      <c r="AH1038" s="20"/>
      <c r="AI1038" s="20"/>
      <c r="AJ1038" s="20"/>
      <c r="AK1038" s="20"/>
      <c r="AL1038" s="20"/>
      <c r="AM1038" s="20"/>
      <c r="AN1038" s="20"/>
      <c r="AO1038" s="20"/>
      <c r="AP1038" s="20"/>
      <c r="AQ1038" s="20"/>
      <c r="AR1038" s="20"/>
      <c r="AS1038" s="20"/>
    </row>
    <row r="1039">
      <c r="A1039" s="20"/>
      <c r="B1039" s="20"/>
      <c r="C1039" s="20"/>
      <c r="D1039" s="20"/>
      <c r="E1039" s="20"/>
      <c r="F1039" s="20"/>
      <c r="G1039" s="20"/>
      <c r="H1039" s="20"/>
      <c r="I1039" s="20"/>
      <c r="J1039" s="20"/>
      <c r="K1039" s="20"/>
      <c r="L1039" s="20"/>
      <c r="M1039" s="20"/>
      <c r="N1039" s="20"/>
      <c r="O1039" s="20"/>
      <c r="P1039" s="20"/>
      <c r="Q1039" s="20"/>
      <c r="R1039" s="20"/>
      <c r="S1039" s="20"/>
      <c r="T1039" s="20"/>
      <c r="U1039" s="20"/>
      <c r="V1039" s="20"/>
      <c r="W1039" s="20"/>
      <c r="X1039" s="20"/>
      <c r="Y1039" s="20"/>
      <c r="Z1039" s="20"/>
      <c r="AA1039" s="20"/>
      <c r="AB1039" s="20"/>
      <c r="AC1039" s="20"/>
      <c r="AD1039" s="20"/>
      <c r="AE1039" s="20"/>
      <c r="AF1039" s="20"/>
      <c r="AG1039" s="20"/>
      <c r="AH1039" s="20"/>
      <c r="AI1039" s="20"/>
      <c r="AJ1039" s="20"/>
      <c r="AK1039" s="20"/>
      <c r="AL1039" s="20"/>
      <c r="AM1039" s="20"/>
      <c r="AN1039" s="20"/>
      <c r="AO1039" s="20"/>
      <c r="AP1039" s="20"/>
      <c r="AQ1039" s="20"/>
      <c r="AR1039" s="20"/>
      <c r="AS1039" s="20"/>
    </row>
    <row r="1040">
      <c r="A1040" s="20"/>
      <c r="B1040" s="20"/>
      <c r="C1040" s="20"/>
      <c r="D1040" s="20"/>
      <c r="E1040" s="20"/>
      <c r="F1040" s="20"/>
      <c r="G1040" s="20"/>
      <c r="H1040" s="20"/>
      <c r="I1040" s="20"/>
      <c r="J1040" s="20"/>
      <c r="K1040" s="20"/>
      <c r="L1040" s="20"/>
      <c r="M1040" s="20"/>
      <c r="N1040" s="20"/>
      <c r="O1040" s="20"/>
      <c r="P1040" s="20"/>
      <c r="Q1040" s="20"/>
      <c r="R1040" s="20"/>
      <c r="S1040" s="20"/>
      <c r="T1040" s="20"/>
      <c r="U1040" s="20"/>
      <c r="V1040" s="20"/>
      <c r="W1040" s="20"/>
      <c r="X1040" s="20"/>
      <c r="Y1040" s="20"/>
      <c r="Z1040" s="20"/>
      <c r="AA1040" s="20"/>
      <c r="AB1040" s="20"/>
      <c r="AC1040" s="20"/>
      <c r="AD1040" s="20"/>
      <c r="AE1040" s="20"/>
      <c r="AF1040" s="20"/>
      <c r="AG1040" s="20"/>
      <c r="AH1040" s="20"/>
      <c r="AI1040" s="20"/>
      <c r="AJ1040" s="20"/>
      <c r="AK1040" s="20"/>
      <c r="AL1040" s="20"/>
      <c r="AM1040" s="20"/>
      <c r="AN1040" s="20"/>
      <c r="AO1040" s="20"/>
      <c r="AP1040" s="20"/>
      <c r="AQ1040" s="20"/>
      <c r="AR1040" s="20"/>
      <c r="AS1040" s="20"/>
    </row>
    <row r="1041">
      <c r="A1041" s="20"/>
      <c r="B1041" s="20"/>
      <c r="C1041" s="20"/>
      <c r="D1041" s="20"/>
      <c r="E1041" s="20"/>
      <c r="F1041" s="20"/>
      <c r="G1041" s="20"/>
      <c r="H1041" s="20"/>
      <c r="I1041" s="20"/>
      <c r="J1041" s="20"/>
      <c r="K1041" s="20"/>
      <c r="L1041" s="20"/>
      <c r="M1041" s="20"/>
      <c r="N1041" s="20"/>
      <c r="O1041" s="20"/>
      <c r="P1041" s="20"/>
      <c r="Q1041" s="20"/>
      <c r="R1041" s="20"/>
      <c r="S1041" s="20"/>
      <c r="T1041" s="20"/>
      <c r="U1041" s="20"/>
      <c r="V1041" s="20"/>
      <c r="W1041" s="20"/>
      <c r="X1041" s="20"/>
      <c r="Y1041" s="20"/>
      <c r="Z1041" s="20"/>
      <c r="AA1041" s="20"/>
      <c r="AB1041" s="20"/>
      <c r="AC1041" s="20"/>
      <c r="AD1041" s="20"/>
      <c r="AE1041" s="20"/>
      <c r="AF1041" s="20"/>
      <c r="AG1041" s="20"/>
      <c r="AH1041" s="20"/>
      <c r="AI1041" s="20"/>
      <c r="AJ1041" s="20"/>
      <c r="AK1041" s="20"/>
      <c r="AL1041" s="20"/>
      <c r="AM1041" s="20"/>
      <c r="AN1041" s="20"/>
      <c r="AO1041" s="20"/>
      <c r="AP1041" s="20"/>
      <c r="AQ1041" s="20"/>
      <c r="AR1041" s="20"/>
      <c r="AS1041" s="20"/>
    </row>
    <row r="1042">
      <c r="A1042" s="20"/>
      <c r="B1042" s="20"/>
      <c r="C1042" s="20"/>
      <c r="D1042" s="20"/>
      <c r="E1042" s="20"/>
      <c r="F1042" s="20"/>
      <c r="G1042" s="20"/>
      <c r="H1042" s="20"/>
      <c r="I1042" s="20"/>
      <c r="J1042" s="20"/>
      <c r="K1042" s="20"/>
      <c r="L1042" s="20"/>
      <c r="M1042" s="20"/>
      <c r="N1042" s="20"/>
      <c r="O1042" s="20"/>
      <c r="P1042" s="20"/>
      <c r="Q1042" s="20"/>
      <c r="R1042" s="20"/>
      <c r="S1042" s="20"/>
      <c r="T1042" s="20"/>
      <c r="U1042" s="20"/>
      <c r="V1042" s="20"/>
      <c r="W1042" s="20"/>
      <c r="X1042" s="20"/>
      <c r="Y1042" s="20"/>
      <c r="Z1042" s="20"/>
      <c r="AA1042" s="20"/>
      <c r="AB1042" s="20"/>
      <c r="AC1042" s="20"/>
      <c r="AD1042" s="20"/>
      <c r="AE1042" s="20"/>
      <c r="AF1042" s="20"/>
      <c r="AG1042" s="20"/>
      <c r="AH1042" s="20"/>
      <c r="AI1042" s="20"/>
      <c r="AJ1042" s="20"/>
      <c r="AK1042" s="20"/>
      <c r="AL1042" s="20"/>
      <c r="AM1042" s="20"/>
      <c r="AN1042" s="20"/>
      <c r="AO1042" s="20"/>
      <c r="AP1042" s="20"/>
      <c r="AQ1042" s="20"/>
      <c r="AR1042" s="20"/>
      <c r="AS1042" s="20"/>
    </row>
    <row r="1043">
      <c r="A1043" s="20"/>
      <c r="B1043" s="20"/>
      <c r="C1043" s="20"/>
      <c r="D1043" s="20"/>
      <c r="E1043" s="20"/>
      <c r="F1043" s="20"/>
      <c r="G1043" s="20"/>
      <c r="H1043" s="20"/>
      <c r="I1043" s="20"/>
      <c r="J1043" s="20"/>
      <c r="K1043" s="20"/>
      <c r="L1043" s="20"/>
      <c r="M1043" s="20"/>
      <c r="N1043" s="20"/>
      <c r="O1043" s="20"/>
      <c r="P1043" s="20"/>
      <c r="Q1043" s="20"/>
      <c r="R1043" s="20"/>
      <c r="S1043" s="20"/>
      <c r="T1043" s="20"/>
      <c r="U1043" s="20"/>
      <c r="V1043" s="20"/>
      <c r="W1043" s="20"/>
      <c r="X1043" s="20"/>
      <c r="Y1043" s="20"/>
      <c r="Z1043" s="20"/>
      <c r="AA1043" s="20"/>
      <c r="AB1043" s="20"/>
      <c r="AC1043" s="20"/>
      <c r="AD1043" s="20"/>
      <c r="AE1043" s="20"/>
      <c r="AF1043" s="20"/>
      <c r="AG1043" s="20"/>
      <c r="AH1043" s="20"/>
      <c r="AI1043" s="20"/>
      <c r="AJ1043" s="20"/>
      <c r="AK1043" s="20"/>
      <c r="AL1043" s="20"/>
      <c r="AM1043" s="20"/>
      <c r="AN1043" s="20"/>
      <c r="AO1043" s="20"/>
      <c r="AP1043" s="20"/>
      <c r="AQ1043" s="20"/>
      <c r="AR1043" s="20"/>
      <c r="AS1043" s="20"/>
    </row>
    <row r="1044">
      <c r="A1044" s="20"/>
      <c r="B1044" s="20"/>
      <c r="C1044" s="20"/>
      <c r="D1044" s="20"/>
      <c r="E1044" s="20"/>
      <c r="F1044" s="20"/>
      <c r="G1044" s="20"/>
      <c r="H1044" s="20"/>
      <c r="I1044" s="20"/>
      <c r="J1044" s="20"/>
      <c r="K1044" s="20"/>
      <c r="L1044" s="20"/>
      <c r="M1044" s="20"/>
      <c r="N1044" s="20"/>
      <c r="O1044" s="20"/>
      <c r="P1044" s="20"/>
      <c r="Q1044" s="20"/>
      <c r="R1044" s="20"/>
      <c r="S1044" s="20"/>
      <c r="T1044" s="20"/>
      <c r="U1044" s="20"/>
      <c r="V1044" s="20"/>
      <c r="W1044" s="20"/>
      <c r="X1044" s="20"/>
      <c r="Y1044" s="20"/>
      <c r="Z1044" s="20"/>
      <c r="AA1044" s="20"/>
      <c r="AB1044" s="20"/>
      <c r="AC1044" s="20"/>
      <c r="AD1044" s="20"/>
      <c r="AE1044" s="20"/>
      <c r="AF1044" s="20"/>
      <c r="AG1044" s="20"/>
      <c r="AH1044" s="20"/>
      <c r="AI1044" s="20"/>
      <c r="AJ1044" s="20"/>
      <c r="AK1044" s="20"/>
      <c r="AL1044" s="20"/>
      <c r="AM1044" s="20"/>
      <c r="AN1044" s="20"/>
      <c r="AO1044" s="20"/>
      <c r="AP1044" s="20"/>
      <c r="AQ1044" s="20"/>
      <c r="AR1044" s="20"/>
      <c r="AS1044" s="20"/>
    </row>
    <row r="1045">
      <c r="A1045" s="20"/>
      <c r="B1045" s="20"/>
      <c r="C1045" s="20"/>
      <c r="D1045" s="20"/>
      <c r="E1045" s="20"/>
      <c r="F1045" s="20"/>
      <c r="G1045" s="20"/>
      <c r="H1045" s="20"/>
      <c r="I1045" s="20"/>
      <c r="J1045" s="20"/>
      <c r="K1045" s="20"/>
      <c r="L1045" s="20"/>
      <c r="M1045" s="20"/>
      <c r="N1045" s="20"/>
      <c r="O1045" s="20"/>
      <c r="P1045" s="20"/>
      <c r="Q1045" s="20"/>
      <c r="R1045" s="20"/>
      <c r="S1045" s="20"/>
      <c r="T1045" s="20"/>
      <c r="U1045" s="20"/>
      <c r="V1045" s="20"/>
      <c r="W1045" s="20"/>
      <c r="X1045" s="20"/>
      <c r="Y1045" s="20"/>
      <c r="Z1045" s="20"/>
      <c r="AA1045" s="20"/>
      <c r="AB1045" s="20"/>
      <c r="AC1045" s="20"/>
      <c r="AD1045" s="20"/>
      <c r="AE1045" s="20"/>
      <c r="AF1045" s="20"/>
      <c r="AG1045" s="20"/>
      <c r="AH1045" s="20"/>
      <c r="AI1045" s="20"/>
      <c r="AJ1045" s="20"/>
      <c r="AK1045" s="20"/>
      <c r="AL1045" s="20"/>
      <c r="AM1045" s="20"/>
      <c r="AN1045" s="20"/>
      <c r="AO1045" s="20"/>
      <c r="AP1045" s="20"/>
      <c r="AQ1045" s="20"/>
      <c r="AR1045" s="20"/>
      <c r="AS1045" s="20"/>
    </row>
    <row r="1046">
      <c r="A1046" s="20"/>
      <c r="B1046" s="20"/>
      <c r="C1046" s="20"/>
      <c r="D1046" s="20"/>
      <c r="E1046" s="20"/>
      <c r="F1046" s="20"/>
      <c r="G1046" s="20"/>
      <c r="H1046" s="20"/>
      <c r="I1046" s="20"/>
      <c r="J1046" s="20"/>
      <c r="K1046" s="20"/>
      <c r="L1046" s="20"/>
      <c r="M1046" s="20"/>
      <c r="N1046" s="20"/>
      <c r="O1046" s="20"/>
      <c r="P1046" s="20"/>
      <c r="Q1046" s="20"/>
      <c r="R1046" s="20"/>
      <c r="S1046" s="20"/>
      <c r="T1046" s="20"/>
      <c r="U1046" s="20"/>
      <c r="V1046" s="20"/>
      <c r="W1046" s="20"/>
      <c r="X1046" s="20"/>
      <c r="Y1046" s="20"/>
      <c r="Z1046" s="20"/>
      <c r="AA1046" s="20"/>
      <c r="AB1046" s="20"/>
      <c r="AC1046" s="20"/>
      <c r="AD1046" s="20"/>
      <c r="AE1046" s="20"/>
      <c r="AF1046" s="20"/>
      <c r="AG1046" s="20"/>
      <c r="AH1046" s="20"/>
      <c r="AI1046" s="20"/>
      <c r="AJ1046" s="20"/>
      <c r="AK1046" s="20"/>
      <c r="AL1046" s="20"/>
      <c r="AM1046" s="20"/>
      <c r="AN1046" s="20"/>
      <c r="AO1046" s="20"/>
      <c r="AP1046" s="20"/>
      <c r="AQ1046" s="20"/>
      <c r="AR1046" s="20"/>
      <c r="AS1046" s="20"/>
    </row>
    <row r="1047">
      <c r="A1047" s="20"/>
      <c r="B1047" s="20"/>
      <c r="C1047" s="20"/>
      <c r="D1047" s="20"/>
      <c r="E1047" s="20"/>
      <c r="F1047" s="20"/>
      <c r="G1047" s="20"/>
      <c r="H1047" s="20"/>
      <c r="I1047" s="20"/>
      <c r="J1047" s="20"/>
      <c r="K1047" s="20"/>
      <c r="L1047" s="20"/>
      <c r="M1047" s="20"/>
      <c r="N1047" s="20"/>
      <c r="O1047" s="20"/>
      <c r="P1047" s="20"/>
      <c r="Q1047" s="20"/>
      <c r="R1047" s="20"/>
      <c r="S1047" s="20"/>
      <c r="T1047" s="20"/>
      <c r="U1047" s="20"/>
      <c r="V1047" s="20"/>
      <c r="W1047" s="20"/>
      <c r="X1047" s="20"/>
      <c r="Y1047" s="20"/>
      <c r="Z1047" s="20"/>
      <c r="AA1047" s="20"/>
      <c r="AB1047" s="20"/>
      <c r="AC1047" s="20"/>
      <c r="AD1047" s="20"/>
      <c r="AE1047" s="20"/>
      <c r="AF1047" s="20"/>
      <c r="AG1047" s="20"/>
      <c r="AH1047" s="20"/>
      <c r="AI1047" s="20"/>
      <c r="AJ1047" s="20"/>
      <c r="AK1047" s="20"/>
      <c r="AL1047" s="20"/>
      <c r="AM1047" s="20"/>
      <c r="AN1047" s="20"/>
      <c r="AO1047" s="20"/>
      <c r="AP1047" s="20"/>
      <c r="AQ1047" s="20"/>
      <c r="AR1047" s="20"/>
      <c r="AS1047" s="20"/>
    </row>
    <row r="1048">
      <c r="A1048" s="20"/>
      <c r="B1048" s="20"/>
      <c r="C1048" s="20"/>
      <c r="D1048" s="20"/>
      <c r="E1048" s="20"/>
      <c r="F1048" s="20"/>
      <c r="G1048" s="20"/>
      <c r="H1048" s="20"/>
      <c r="I1048" s="20"/>
      <c r="J1048" s="20"/>
      <c r="K1048" s="20"/>
      <c r="L1048" s="20"/>
      <c r="M1048" s="20"/>
      <c r="N1048" s="20"/>
      <c r="O1048" s="20"/>
      <c r="P1048" s="20"/>
      <c r="Q1048" s="20"/>
      <c r="R1048" s="20"/>
      <c r="S1048" s="20"/>
      <c r="T1048" s="20"/>
      <c r="U1048" s="20"/>
      <c r="V1048" s="20"/>
      <c r="W1048" s="20"/>
      <c r="X1048" s="20"/>
      <c r="Y1048" s="20"/>
      <c r="Z1048" s="20"/>
      <c r="AA1048" s="20"/>
      <c r="AB1048" s="20"/>
      <c r="AC1048" s="20"/>
      <c r="AD1048" s="20"/>
      <c r="AE1048" s="20"/>
      <c r="AF1048" s="20"/>
      <c r="AG1048" s="20"/>
      <c r="AH1048" s="20"/>
      <c r="AI1048" s="20"/>
      <c r="AJ1048" s="20"/>
      <c r="AK1048" s="20"/>
      <c r="AL1048" s="20"/>
      <c r="AM1048" s="20"/>
      <c r="AN1048" s="20"/>
      <c r="AO1048" s="20"/>
      <c r="AP1048" s="20"/>
      <c r="AQ1048" s="20"/>
      <c r="AR1048" s="20"/>
      <c r="AS1048" s="20"/>
    </row>
    <row r="1049">
      <c r="A1049" s="20"/>
      <c r="B1049" s="20"/>
      <c r="C1049" s="20"/>
      <c r="D1049" s="20"/>
      <c r="E1049" s="20"/>
      <c r="F1049" s="20"/>
      <c r="G1049" s="20"/>
      <c r="H1049" s="20"/>
      <c r="I1049" s="20"/>
      <c r="J1049" s="20"/>
      <c r="K1049" s="20"/>
      <c r="L1049" s="20"/>
      <c r="M1049" s="20"/>
      <c r="N1049" s="20"/>
      <c r="O1049" s="20"/>
      <c r="P1049" s="20"/>
      <c r="Q1049" s="20"/>
      <c r="R1049" s="20"/>
      <c r="S1049" s="20"/>
      <c r="T1049" s="20"/>
      <c r="U1049" s="20"/>
      <c r="V1049" s="20"/>
      <c r="W1049" s="20"/>
      <c r="X1049" s="20"/>
      <c r="Y1049" s="20"/>
      <c r="Z1049" s="20"/>
      <c r="AA1049" s="20"/>
      <c r="AB1049" s="20"/>
      <c r="AC1049" s="20"/>
      <c r="AD1049" s="20"/>
      <c r="AE1049" s="20"/>
      <c r="AF1049" s="20"/>
      <c r="AG1049" s="20"/>
      <c r="AH1049" s="20"/>
      <c r="AI1049" s="20"/>
      <c r="AJ1049" s="20"/>
      <c r="AK1049" s="20"/>
      <c r="AL1049" s="20"/>
      <c r="AM1049" s="20"/>
      <c r="AN1049" s="20"/>
      <c r="AO1049" s="20"/>
      <c r="AP1049" s="20"/>
      <c r="AQ1049" s="20"/>
      <c r="AR1049" s="20"/>
      <c r="AS1049" s="20"/>
    </row>
    <row r="1050">
      <c r="A1050" s="20"/>
      <c r="B1050" s="20"/>
      <c r="C1050" s="20"/>
      <c r="D1050" s="20"/>
      <c r="E1050" s="20"/>
      <c r="F1050" s="20"/>
      <c r="G1050" s="20"/>
      <c r="H1050" s="20"/>
      <c r="I1050" s="20"/>
      <c r="J1050" s="20"/>
      <c r="K1050" s="20"/>
      <c r="L1050" s="20"/>
      <c r="M1050" s="20"/>
      <c r="N1050" s="20"/>
      <c r="O1050" s="20"/>
      <c r="P1050" s="20"/>
      <c r="Q1050" s="20"/>
      <c r="R1050" s="20"/>
      <c r="S1050" s="20"/>
      <c r="T1050" s="20"/>
      <c r="U1050" s="20"/>
      <c r="V1050" s="20"/>
      <c r="W1050" s="20"/>
      <c r="X1050" s="20"/>
      <c r="Y1050" s="20"/>
      <c r="Z1050" s="20"/>
      <c r="AA1050" s="20"/>
      <c r="AB1050" s="20"/>
      <c r="AC1050" s="20"/>
      <c r="AD1050" s="20"/>
      <c r="AE1050" s="20"/>
      <c r="AF1050" s="20"/>
      <c r="AG1050" s="20"/>
      <c r="AH1050" s="20"/>
      <c r="AI1050" s="20"/>
      <c r="AJ1050" s="20"/>
      <c r="AK1050" s="20"/>
      <c r="AL1050" s="20"/>
      <c r="AM1050" s="20"/>
      <c r="AN1050" s="20"/>
      <c r="AO1050" s="20"/>
      <c r="AP1050" s="20"/>
      <c r="AQ1050" s="20"/>
      <c r="AR1050" s="20"/>
      <c r="AS1050" s="20"/>
    </row>
    <row r="1051">
      <c r="A1051" s="20"/>
      <c r="B1051" s="20"/>
      <c r="C1051" s="20"/>
      <c r="D1051" s="20"/>
      <c r="E1051" s="20"/>
      <c r="F1051" s="20"/>
      <c r="G1051" s="20"/>
      <c r="H1051" s="20"/>
      <c r="I1051" s="20"/>
      <c r="J1051" s="20"/>
      <c r="K1051" s="20"/>
      <c r="L1051" s="20"/>
      <c r="M1051" s="20"/>
      <c r="N1051" s="20"/>
      <c r="O1051" s="20"/>
      <c r="P1051" s="20"/>
      <c r="Q1051" s="20"/>
      <c r="R1051" s="20"/>
      <c r="S1051" s="20"/>
      <c r="T1051" s="20"/>
      <c r="U1051" s="20"/>
      <c r="V1051" s="20"/>
      <c r="W1051" s="20"/>
      <c r="X1051" s="20"/>
      <c r="Y1051" s="20"/>
      <c r="Z1051" s="20"/>
      <c r="AA1051" s="20"/>
      <c r="AB1051" s="20"/>
      <c r="AC1051" s="20"/>
      <c r="AD1051" s="20"/>
      <c r="AE1051" s="20"/>
      <c r="AF1051" s="20"/>
      <c r="AG1051" s="20"/>
      <c r="AH1051" s="20"/>
      <c r="AI1051" s="20"/>
      <c r="AJ1051" s="20"/>
      <c r="AK1051" s="20"/>
      <c r="AL1051" s="20"/>
      <c r="AM1051" s="20"/>
      <c r="AN1051" s="20"/>
      <c r="AO1051" s="20"/>
      <c r="AP1051" s="20"/>
      <c r="AQ1051" s="20"/>
      <c r="AR1051" s="20"/>
      <c r="AS1051" s="20"/>
    </row>
    <row r="1052">
      <c r="A1052" s="20"/>
      <c r="B1052" s="20"/>
      <c r="C1052" s="20"/>
      <c r="D1052" s="20"/>
      <c r="E1052" s="20"/>
      <c r="F1052" s="20"/>
      <c r="G1052" s="20"/>
      <c r="H1052" s="20"/>
      <c r="I1052" s="20"/>
      <c r="J1052" s="20"/>
      <c r="K1052" s="20"/>
      <c r="L1052" s="20"/>
      <c r="M1052" s="20"/>
      <c r="N1052" s="20"/>
      <c r="O1052" s="20"/>
      <c r="P1052" s="20"/>
      <c r="Q1052" s="20"/>
      <c r="R1052" s="20"/>
      <c r="S1052" s="20"/>
      <c r="T1052" s="20"/>
      <c r="U1052" s="20"/>
      <c r="V1052" s="20"/>
      <c r="W1052" s="20"/>
      <c r="X1052" s="20"/>
      <c r="Y1052" s="20"/>
      <c r="Z1052" s="20"/>
      <c r="AA1052" s="20"/>
      <c r="AB1052" s="20"/>
      <c r="AC1052" s="20"/>
      <c r="AD1052" s="20"/>
      <c r="AE1052" s="20"/>
      <c r="AF1052" s="20"/>
      <c r="AG1052" s="20"/>
      <c r="AH1052" s="20"/>
      <c r="AI1052" s="20"/>
      <c r="AJ1052" s="20"/>
      <c r="AK1052" s="20"/>
      <c r="AL1052" s="20"/>
      <c r="AM1052" s="20"/>
      <c r="AN1052" s="20"/>
      <c r="AO1052" s="20"/>
      <c r="AP1052" s="20"/>
      <c r="AQ1052" s="20"/>
      <c r="AR1052" s="20"/>
      <c r="AS1052" s="20"/>
    </row>
    <row r="1053">
      <c r="A1053" s="20"/>
      <c r="B1053" s="20"/>
      <c r="C1053" s="20"/>
      <c r="D1053" s="20"/>
      <c r="E1053" s="20"/>
      <c r="F1053" s="20"/>
      <c r="G1053" s="20"/>
      <c r="H1053" s="20"/>
      <c r="I1053" s="20"/>
      <c r="J1053" s="20"/>
      <c r="K1053" s="20"/>
      <c r="L1053" s="20"/>
      <c r="M1053" s="20"/>
      <c r="N1053" s="20"/>
      <c r="O1053" s="20"/>
      <c r="P1053" s="20"/>
      <c r="Q1053" s="20"/>
      <c r="R1053" s="20"/>
      <c r="S1053" s="20"/>
      <c r="T1053" s="20"/>
      <c r="U1053" s="20"/>
      <c r="V1053" s="20"/>
      <c r="W1053" s="20"/>
      <c r="X1053" s="20"/>
      <c r="Y1053" s="20"/>
      <c r="Z1053" s="20"/>
      <c r="AA1053" s="20"/>
      <c r="AB1053" s="20"/>
      <c r="AC1053" s="20"/>
      <c r="AD1053" s="20"/>
      <c r="AE1053" s="20"/>
      <c r="AF1053" s="20"/>
      <c r="AG1053" s="20"/>
      <c r="AH1053" s="20"/>
      <c r="AI1053" s="20"/>
      <c r="AJ1053" s="20"/>
      <c r="AK1053" s="20"/>
      <c r="AL1053" s="20"/>
      <c r="AM1053" s="20"/>
      <c r="AN1053" s="20"/>
      <c r="AO1053" s="20"/>
      <c r="AP1053" s="20"/>
      <c r="AQ1053" s="20"/>
      <c r="AR1053" s="20"/>
      <c r="AS1053" s="20"/>
    </row>
    <row r="1054">
      <c r="A1054" s="20"/>
      <c r="B1054" s="20"/>
      <c r="C1054" s="20"/>
      <c r="D1054" s="20"/>
      <c r="E1054" s="20"/>
      <c r="F1054" s="20"/>
      <c r="G1054" s="20"/>
      <c r="H1054" s="20"/>
      <c r="I1054" s="20"/>
      <c r="J1054" s="20"/>
      <c r="K1054" s="20"/>
      <c r="L1054" s="20"/>
      <c r="M1054" s="20"/>
      <c r="N1054" s="20"/>
      <c r="O1054" s="20"/>
      <c r="P1054" s="20"/>
      <c r="Q1054" s="20"/>
      <c r="R1054" s="20"/>
      <c r="S1054" s="20"/>
      <c r="T1054" s="20"/>
      <c r="U1054" s="20"/>
      <c r="V1054" s="20"/>
      <c r="W1054" s="20"/>
      <c r="X1054" s="20"/>
      <c r="Y1054" s="20"/>
      <c r="Z1054" s="20"/>
      <c r="AA1054" s="20"/>
      <c r="AB1054" s="20"/>
      <c r="AC1054" s="20"/>
      <c r="AD1054" s="20"/>
      <c r="AE1054" s="20"/>
      <c r="AF1054" s="20"/>
      <c r="AG1054" s="20"/>
      <c r="AH1054" s="20"/>
      <c r="AI1054" s="20"/>
      <c r="AJ1054" s="20"/>
      <c r="AK1054" s="20"/>
      <c r="AL1054" s="20"/>
      <c r="AM1054" s="20"/>
      <c r="AN1054" s="20"/>
      <c r="AO1054" s="20"/>
      <c r="AP1054" s="20"/>
      <c r="AQ1054" s="20"/>
      <c r="AR1054" s="20"/>
      <c r="AS1054" s="20"/>
    </row>
    <row r="1055">
      <c r="A1055" s="20"/>
      <c r="B1055" s="20"/>
      <c r="C1055" s="20"/>
      <c r="D1055" s="20"/>
      <c r="E1055" s="20"/>
      <c r="F1055" s="20"/>
      <c r="G1055" s="20"/>
      <c r="H1055" s="20"/>
      <c r="I1055" s="20"/>
      <c r="J1055" s="20"/>
      <c r="K1055" s="20"/>
      <c r="L1055" s="20"/>
      <c r="M1055" s="20"/>
      <c r="N1055" s="20"/>
      <c r="O1055" s="20"/>
      <c r="P1055" s="20"/>
      <c r="Q1055" s="20"/>
      <c r="R1055" s="20"/>
      <c r="S1055" s="20"/>
      <c r="T1055" s="20"/>
      <c r="U1055" s="20"/>
      <c r="V1055" s="20"/>
      <c r="W1055" s="20"/>
      <c r="X1055" s="20"/>
      <c r="Y1055" s="20"/>
      <c r="Z1055" s="20"/>
      <c r="AA1055" s="20"/>
      <c r="AB1055" s="20"/>
      <c r="AC1055" s="20"/>
      <c r="AD1055" s="20"/>
      <c r="AE1055" s="20"/>
      <c r="AF1055" s="20"/>
      <c r="AG1055" s="20"/>
      <c r="AH1055" s="20"/>
      <c r="AI1055" s="20"/>
      <c r="AJ1055" s="20"/>
      <c r="AK1055" s="20"/>
      <c r="AL1055" s="20"/>
      <c r="AM1055" s="20"/>
      <c r="AN1055" s="20"/>
      <c r="AO1055" s="20"/>
      <c r="AP1055" s="20"/>
      <c r="AQ1055" s="20"/>
      <c r="AR1055" s="20"/>
      <c r="AS1055" s="20"/>
    </row>
    <row r="1056">
      <c r="A1056" s="20"/>
      <c r="B1056" s="20"/>
      <c r="C1056" s="20"/>
      <c r="D1056" s="20"/>
      <c r="E1056" s="20"/>
      <c r="F1056" s="20"/>
      <c r="G1056" s="20"/>
      <c r="H1056" s="20"/>
      <c r="I1056" s="20"/>
      <c r="J1056" s="20"/>
      <c r="K1056" s="20"/>
      <c r="L1056" s="20"/>
      <c r="M1056" s="20"/>
      <c r="N1056" s="20"/>
      <c r="O1056" s="20"/>
      <c r="P1056" s="20"/>
      <c r="Q1056" s="20"/>
      <c r="R1056" s="20"/>
      <c r="S1056" s="20"/>
      <c r="T1056" s="20"/>
      <c r="U1056" s="20"/>
      <c r="V1056" s="20"/>
      <c r="W1056" s="20"/>
      <c r="X1056" s="20"/>
      <c r="Y1056" s="20"/>
      <c r="Z1056" s="20"/>
      <c r="AA1056" s="20"/>
      <c r="AB1056" s="20"/>
      <c r="AC1056" s="20"/>
      <c r="AD1056" s="20"/>
      <c r="AE1056" s="20"/>
      <c r="AF1056" s="20"/>
      <c r="AG1056" s="20"/>
      <c r="AH1056" s="20"/>
      <c r="AI1056" s="20"/>
      <c r="AJ1056" s="20"/>
      <c r="AK1056" s="20"/>
      <c r="AL1056" s="20"/>
      <c r="AM1056" s="20"/>
      <c r="AN1056" s="20"/>
      <c r="AO1056" s="20"/>
      <c r="AP1056" s="20"/>
      <c r="AQ1056" s="20"/>
      <c r="AR1056" s="20"/>
      <c r="AS1056" s="20"/>
    </row>
    <row r="1057">
      <c r="A1057" s="20"/>
      <c r="B1057" s="20"/>
      <c r="C1057" s="20"/>
      <c r="D1057" s="20"/>
      <c r="E1057" s="20"/>
      <c r="F1057" s="20"/>
      <c r="G1057" s="20"/>
      <c r="H1057" s="20"/>
      <c r="I1057" s="20"/>
      <c r="J1057" s="20"/>
      <c r="K1057" s="20"/>
      <c r="L1057" s="20"/>
      <c r="M1057" s="20"/>
      <c r="N1057" s="20"/>
      <c r="O1057" s="20"/>
      <c r="P1057" s="20"/>
      <c r="Q1057" s="20"/>
      <c r="R1057" s="20"/>
      <c r="S1057" s="20"/>
      <c r="T1057" s="20"/>
      <c r="U1057" s="20"/>
      <c r="V1057" s="20"/>
      <c r="W1057" s="20"/>
      <c r="X1057" s="20"/>
      <c r="Y1057" s="20"/>
      <c r="Z1057" s="20"/>
      <c r="AA1057" s="20"/>
      <c r="AB1057" s="20"/>
      <c r="AC1057" s="20"/>
      <c r="AD1057" s="20"/>
      <c r="AE1057" s="20"/>
      <c r="AF1057" s="20"/>
      <c r="AG1057" s="20"/>
      <c r="AH1057" s="20"/>
      <c r="AI1057" s="20"/>
      <c r="AJ1057" s="20"/>
      <c r="AK1057" s="20"/>
      <c r="AL1057" s="20"/>
      <c r="AM1057" s="20"/>
      <c r="AN1057" s="20"/>
      <c r="AO1057" s="20"/>
      <c r="AP1057" s="20"/>
      <c r="AQ1057" s="20"/>
      <c r="AR1057" s="20"/>
      <c r="AS1057" s="20"/>
    </row>
    <row r="1058">
      <c r="A1058" s="20"/>
      <c r="B1058" s="20"/>
      <c r="C1058" s="20"/>
      <c r="D1058" s="20"/>
      <c r="E1058" s="20"/>
      <c r="F1058" s="20"/>
      <c r="G1058" s="20"/>
      <c r="H1058" s="20"/>
      <c r="I1058" s="20"/>
      <c r="J1058" s="20"/>
      <c r="K1058" s="20"/>
      <c r="L1058" s="20"/>
      <c r="M1058" s="20"/>
      <c r="N1058" s="20"/>
      <c r="O1058" s="20"/>
      <c r="P1058" s="20"/>
      <c r="Q1058" s="20"/>
      <c r="R1058" s="20"/>
      <c r="S1058" s="20"/>
      <c r="T1058" s="20"/>
      <c r="U1058" s="20"/>
      <c r="V1058" s="20"/>
      <c r="W1058" s="20"/>
      <c r="X1058" s="20"/>
      <c r="Y1058" s="20"/>
      <c r="Z1058" s="20"/>
      <c r="AA1058" s="20"/>
      <c r="AB1058" s="20"/>
      <c r="AC1058" s="20"/>
      <c r="AD1058" s="20"/>
      <c r="AE1058" s="20"/>
      <c r="AF1058" s="20"/>
      <c r="AG1058" s="20"/>
      <c r="AH1058" s="20"/>
      <c r="AI1058" s="20"/>
      <c r="AJ1058" s="20"/>
      <c r="AK1058" s="20"/>
      <c r="AL1058" s="20"/>
      <c r="AM1058" s="20"/>
      <c r="AN1058" s="20"/>
      <c r="AO1058" s="20"/>
      <c r="AP1058" s="20"/>
      <c r="AQ1058" s="20"/>
      <c r="AR1058" s="20"/>
      <c r="AS1058" s="20"/>
    </row>
    <row r="1059">
      <c r="A1059" s="20"/>
      <c r="B1059" s="20"/>
      <c r="C1059" s="20"/>
      <c r="D1059" s="20"/>
      <c r="E1059" s="20"/>
      <c r="F1059" s="20"/>
      <c r="G1059" s="20"/>
      <c r="H1059" s="20"/>
      <c r="I1059" s="20"/>
      <c r="J1059" s="20"/>
      <c r="K1059" s="20"/>
      <c r="L1059" s="20"/>
      <c r="M1059" s="20"/>
      <c r="N1059" s="20"/>
      <c r="O1059" s="20"/>
      <c r="P1059" s="20"/>
      <c r="Q1059" s="20"/>
      <c r="R1059" s="20"/>
      <c r="S1059" s="20"/>
      <c r="T1059" s="20"/>
      <c r="U1059" s="20"/>
      <c r="V1059" s="20"/>
      <c r="W1059" s="20"/>
      <c r="X1059" s="20"/>
      <c r="Y1059" s="20"/>
      <c r="Z1059" s="20"/>
      <c r="AA1059" s="20"/>
      <c r="AB1059" s="20"/>
      <c r="AC1059" s="20"/>
      <c r="AD1059" s="20"/>
      <c r="AE1059" s="20"/>
      <c r="AF1059" s="20"/>
      <c r="AG1059" s="20"/>
      <c r="AH1059" s="20"/>
      <c r="AI1059" s="20"/>
      <c r="AJ1059" s="20"/>
      <c r="AK1059" s="20"/>
      <c r="AL1059" s="20"/>
      <c r="AM1059" s="20"/>
      <c r="AN1059" s="20"/>
      <c r="AO1059" s="20"/>
      <c r="AP1059" s="20"/>
      <c r="AQ1059" s="20"/>
      <c r="AR1059" s="20"/>
      <c r="AS1059" s="20"/>
    </row>
    <row r="1060">
      <c r="A1060" s="20"/>
      <c r="B1060" s="20"/>
      <c r="C1060" s="20"/>
      <c r="D1060" s="20"/>
      <c r="E1060" s="20"/>
      <c r="F1060" s="20"/>
      <c r="G1060" s="20"/>
      <c r="H1060" s="20"/>
      <c r="I1060" s="20"/>
      <c r="J1060" s="20"/>
      <c r="K1060" s="20"/>
      <c r="L1060" s="20"/>
      <c r="M1060" s="20"/>
      <c r="N1060" s="20"/>
      <c r="O1060" s="20"/>
      <c r="P1060" s="20"/>
      <c r="Q1060" s="20"/>
      <c r="R1060" s="20"/>
      <c r="S1060" s="20"/>
      <c r="T1060" s="20"/>
      <c r="U1060" s="20"/>
      <c r="V1060" s="20"/>
      <c r="W1060" s="20"/>
      <c r="X1060" s="20"/>
      <c r="Y1060" s="20"/>
      <c r="Z1060" s="20"/>
      <c r="AA1060" s="20"/>
      <c r="AB1060" s="20"/>
      <c r="AC1060" s="20"/>
      <c r="AD1060" s="20"/>
      <c r="AE1060" s="20"/>
      <c r="AF1060" s="20"/>
      <c r="AG1060" s="20"/>
      <c r="AH1060" s="20"/>
      <c r="AI1060" s="20"/>
      <c r="AJ1060" s="20"/>
      <c r="AK1060" s="20"/>
      <c r="AL1060" s="20"/>
      <c r="AM1060" s="20"/>
      <c r="AN1060" s="20"/>
      <c r="AO1060" s="20"/>
      <c r="AP1060" s="20"/>
      <c r="AQ1060" s="20"/>
      <c r="AR1060" s="20"/>
      <c r="AS1060" s="20"/>
    </row>
    <row r="1061">
      <c r="A1061" s="20"/>
      <c r="B1061" s="20"/>
      <c r="C1061" s="20"/>
      <c r="D1061" s="20"/>
      <c r="E1061" s="20"/>
      <c r="F1061" s="20"/>
      <c r="G1061" s="20"/>
      <c r="H1061" s="20"/>
      <c r="I1061" s="20"/>
      <c r="J1061" s="20"/>
      <c r="K1061" s="20"/>
      <c r="L1061" s="20"/>
      <c r="M1061" s="20"/>
      <c r="N1061" s="20"/>
      <c r="O1061" s="20"/>
      <c r="P1061" s="20"/>
      <c r="Q1061" s="20"/>
      <c r="R1061" s="20"/>
      <c r="S1061" s="20"/>
      <c r="T1061" s="20"/>
      <c r="U1061" s="20"/>
      <c r="V1061" s="20"/>
      <c r="W1061" s="20"/>
      <c r="X1061" s="20"/>
      <c r="Y1061" s="20"/>
      <c r="Z1061" s="20"/>
      <c r="AA1061" s="20"/>
      <c r="AB1061" s="20"/>
      <c r="AC1061" s="20"/>
      <c r="AD1061" s="20"/>
      <c r="AE1061" s="20"/>
      <c r="AF1061" s="20"/>
      <c r="AG1061" s="20"/>
      <c r="AH1061" s="20"/>
      <c r="AI1061" s="20"/>
      <c r="AJ1061" s="20"/>
      <c r="AK1061" s="20"/>
      <c r="AL1061" s="20"/>
      <c r="AM1061" s="20"/>
      <c r="AN1061" s="20"/>
      <c r="AO1061" s="20"/>
      <c r="AP1061" s="20"/>
      <c r="AQ1061" s="20"/>
      <c r="AR1061" s="20"/>
      <c r="AS1061" s="20"/>
    </row>
    <row r="1062">
      <c r="A1062" s="20"/>
      <c r="B1062" s="20"/>
      <c r="C1062" s="20"/>
      <c r="D1062" s="20"/>
      <c r="E1062" s="20"/>
      <c r="F1062" s="20"/>
      <c r="G1062" s="20"/>
      <c r="H1062" s="20"/>
      <c r="I1062" s="20"/>
      <c r="J1062" s="20"/>
      <c r="K1062" s="20"/>
      <c r="L1062" s="20"/>
      <c r="M1062" s="20"/>
      <c r="N1062" s="20"/>
      <c r="O1062" s="20"/>
      <c r="P1062" s="20"/>
      <c r="Q1062" s="20"/>
      <c r="R1062" s="20"/>
      <c r="S1062" s="20"/>
      <c r="T1062" s="20"/>
      <c r="U1062" s="20"/>
      <c r="V1062" s="20"/>
      <c r="W1062" s="20"/>
      <c r="X1062" s="20"/>
      <c r="Y1062" s="20"/>
      <c r="Z1062" s="20"/>
      <c r="AA1062" s="20"/>
      <c r="AB1062" s="20"/>
      <c r="AC1062" s="20"/>
      <c r="AD1062" s="20"/>
      <c r="AE1062" s="20"/>
      <c r="AF1062" s="20"/>
      <c r="AG1062" s="20"/>
      <c r="AH1062" s="20"/>
      <c r="AI1062" s="20"/>
      <c r="AJ1062" s="20"/>
      <c r="AK1062" s="20"/>
      <c r="AL1062" s="20"/>
      <c r="AM1062" s="20"/>
      <c r="AN1062" s="20"/>
      <c r="AO1062" s="20"/>
      <c r="AP1062" s="20"/>
      <c r="AQ1062" s="20"/>
      <c r="AR1062" s="20"/>
      <c r="AS1062" s="20"/>
    </row>
    <row r="1063">
      <c r="A1063" s="20"/>
      <c r="B1063" s="20"/>
      <c r="C1063" s="20"/>
      <c r="D1063" s="20"/>
      <c r="E1063" s="20"/>
      <c r="F1063" s="20"/>
      <c r="G1063" s="20"/>
      <c r="H1063" s="20"/>
      <c r="I1063" s="20"/>
      <c r="J1063" s="20"/>
      <c r="K1063" s="20"/>
      <c r="L1063" s="20"/>
      <c r="M1063" s="20"/>
      <c r="N1063" s="20"/>
      <c r="O1063" s="20"/>
      <c r="P1063" s="20"/>
      <c r="Q1063" s="20"/>
      <c r="R1063" s="20"/>
      <c r="S1063" s="20"/>
      <c r="T1063" s="20"/>
      <c r="U1063" s="20"/>
      <c r="V1063" s="20"/>
      <c r="W1063" s="20"/>
      <c r="X1063" s="20"/>
      <c r="Y1063" s="20"/>
      <c r="Z1063" s="20"/>
      <c r="AA1063" s="20"/>
      <c r="AB1063" s="20"/>
      <c r="AC1063" s="20"/>
      <c r="AD1063" s="20"/>
      <c r="AE1063" s="20"/>
      <c r="AF1063" s="20"/>
      <c r="AG1063" s="20"/>
      <c r="AH1063" s="20"/>
      <c r="AI1063" s="20"/>
      <c r="AJ1063" s="20"/>
      <c r="AK1063" s="20"/>
      <c r="AL1063" s="20"/>
      <c r="AM1063" s="20"/>
      <c r="AN1063" s="20"/>
      <c r="AO1063" s="20"/>
      <c r="AP1063" s="20"/>
      <c r="AQ1063" s="20"/>
      <c r="AR1063" s="20"/>
      <c r="AS1063" s="20"/>
    </row>
    <row r="1064">
      <c r="A1064" s="20"/>
      <c r="B1064" s="20"/>
      <c r="C1064" s="20"/>
      <c r="D1064" s="20"/>
      <c r="E1064" s="20"/>
      <c r="F1064" s="20"/>
      <c r="G1064" s="20"/>
      <c r="H1064" s="20"/>
      <c r="I1064" s="20"/>
      <c r="J1064" s="20"/>
      <c r="K1064" s="20"/>
      <c r="L1064" s="20"/>
      <c r="M1064" s="20"/>
      <c r="N1064" s="20"/>
      <c r="O1064" s="20"/>
      <c r="P1064" s="20"/>
      <c r="Q1064" s="20"/>
      <c r="R1064" s="20"/>
      <c r="S1064" s="20"/>
      <c r="T1064" s="20"/>
      <c r="U1064" s="20"/>
      <c r="V1064" s="20"/>
      <c r="W1064" s="20"/>
      <c r="X1064" s="20"/>
      <c r="Y1064" s="20"/>
      <c r="Z1064" s="20"/>
      <c r="AA1064" s="20"/>
      <c r="AB1064" s="20"/>
      <c r="AC1064" s="20"/>
      <c r="AD1064" s="20"/>
      <c r="AE1064" s="20"/>
      <c r="AF1064" s="20"/>
      <c r="AG1064" s="20"/>
      <c r="AH1064" s="20"/>
      <c r="AI1064" s="20"/>
      <c r="AJ1064" s="20"/>
      <c r="AK1064" s="20"/>
      <c r="AL1064" s="20"/>
      <c r="AM1064" s="20"/>
      <c r="AN1064" s="20"/>
      <c r="AO1064" s="20"/>
      <c r="AP1064" s="20"/>
      <c r="AQ1064" s="20"/>
      <c r="AR1064" s="20"/>
      <c r="AS1064" s="20"/>
    </row>
    <row r="1065">
      <c r="A1065" s="20"/>
      <c r="B1065" s="20"/>
      <c r="C1065" s="20"/>
      <c r="D1065" s="20"/>
      <c r="E1065" s="20"/>
      <c r="F1065" s="20"/>
      <c r="G1065" s="20"/>
      <c r="H1065" s="20"/>
      <c r="I1065" s="20"/>
      <c r="J1065" s="20"/>
      <c r="K1065" s="20"/>
      <c r="L1065" s="20"/>
      <c r="M1065" s="20"/>
      <c r="N1065" s="20"/>
      <c r="O1065" s="20"/>
      <c r="P1065" s="20"/>
      <c r="Q1065" s="20"/>
      <c r="R1065" s="20"/>
      <c r="S1065" s="20"/>
      <c r="T1065" s="20"/>
      <c r="U1065" s="20"/>
      <c r="V1065" s="20"/>
      <c r="W1065" s="20"/>
      <c r="X1065" s="20"/>
      <c r="Y1065" s="20"/>
      <c r="Z1065" s="20"/>
      <c r="AA1065" s="20"/>
      <c r="AB1065" s="20"/>
      <c r="AC1065" s="20"/>
      <c r="AD1065" s="20"/>
      <c r="AE1065" s="20"/>
      <c r="AF1065" s="20"/>
      <c r="AG1065" s="20"/>
      <c r="AH1065" s="20"/>
      <c r="AI1065" s="20"/>
      <c r="AJ1065" s="20"/>
      <c r="AK1065" s="20"/>
      <c r="AL1065" s="20"/>
      <c r="AM1065" s="20"/>
      <c r="AN1065" s="20"/>
      <c r="AO1065" s="20"/>
      <c r="AP1065" s="20"/>
      <c r="AQ1065" s="20"/>
      <c r="AR1065" s="20"/>
      <c r="AS1065" s="20"/>
    </row>
    <row r="1066">
      <c r="A1066" s="20"/>
      <c r="B1066" s="20"/>
      <c r="C1066" s="20"/>
      <c r="D1066" s="20"/>
      <c r="E1066" s="20"/>
      <c r="F1066" s="20"/>
      <c r="G1066" s="20"/>
      <c r="H1066" s="20"/>
      <c r="I1066" s="20"/>
      <c r="J1066" s="20"/>
      <c r="K1066" s="20"/>
      <c r="L1066" s="20"/>
      <c r="M1066" s="20"/>
      <c r="N1066" s="20"/>
      <c r="O1066" s="20"/>
      <c r="P1066" s="20"/>
      <c r="Q1066" s="20"/>
      <c r="R1066" s="20"/>
      <c r="S1066" s="20"/>
      <c r="T1066" s="20"/>
      <c r="U1066" s="20"/>
      <c r="V1066" s="20"/>
      <c r="W1066" s="20"/>
      <c r="X1066" s="20"/>
      <c r="Y1066" s="20"/>
      <c r="Z1066" s="20"/>
      <c r="AA1066" s="20"/>
      <c r="AB1066" s="20"/>
      <c r="AC1066" s="20"/>
      <c r="AD1066" s="20"/>
      <c r="AE1066" s="20"/>
      <c r="AF1066" s="20"/>
      <c r="AG1066" s="20"/>
      <c r="AH1066" s="20"/>
      <c r="AI1066" s="20"/>
      <c r="AJ1066" s="20"/>
      <c r="AK1066" s="20"/>
      <c r="AL1066" s="20"/>
      <c r="AM1066" s="20"/>
      <c r="AN1066" s="20"/>
      <c r="AO1066" s="20"/>
      <c r="AP1066" s="20"/>
      <c r="AQ1066" s="20"/>
      <c r="AR1066" s="20"/>
      <c r="AS1066" s="20"/>
    </row>
    <row r="1067">
      <c r="A1067" s="20"/>
      <c r="B1067" s="20"/>
      <c r="C1067" s="20"/>
      <c r="D1067" s="20"/>
      <c r="E1067" s="20"/>
      <c r="F1067" s="20"/>
      <c r="G1067" s="20"/>
      <c r="H1067" s="20"/>
      <c r="I1067" s="20"/>
      <c r="J1067" s="20"/>
      <c r="K1067" s="20"/>
      <c r="L1067" s="20"/>
      <c r="M1067" s="20"/>
      <c r="N1067" s="20"/>
      <c r="O1067" s="20"/>
      <c r="P1067" s="20"/>
      <c r="Q1067" s="20"/>
      <c r="R1067" s="20"/>
      <c r="S1067" s="20"/>
      <c r="T1067" s="20"/>
      <c r="U1067" s="20"/>
      <c r="V1067" s="20"/>
      <c r="W1067" s="20"/>
      <c r="X1067" s="20"/>
      <c r="Y1067" s="20"/>
      <c r="Z1067" s="20"/>
      <c r="AA1067" s="20"/>
      <c r="AB1067" s="20"/>
      <c r="AC1067" s="20"/>
      <c r="AD1067" s="20"/>
      <c r="AE1067" s="20"/>
      <c r="AF1067" s="20"/>
      <c r="AG1067" s="20"/>
      <c r="AH1067" s="20"/>
      <c r="AI1067" s="20"/>
      <c r="AJ1067" s="20"/>
      <c r="AK1067" s="20"/>
      <c r="AL1067" s="20"/>
      <c r="AM1067" s="20"/>
      <c r="AN1067" s="20"/>
      <c r="AO1067" s="20"/>
      <c r="AP1067" s="20"/>
      <c r="AQ1067" s="20"/>
      <c r="AR1067" s="20"/>
      <c r="AS1067" s="20"/>
    </row>
    <row r="1068">
      <c r="A1068" s="20"/>
      <c r="B1068" s="20"/>
      <c r="C1068" s="20"/>
      <c r="D1068" s="20"/>
      <c r="E1068" s="20"/>
      <c r="F1068" s="20"/>
      <c r="G1068" s="20"/>
      <c r="H1068" s="20"/>
      <c r="I1068" s="20"/>
      <c r="J1068" s="20"/>
      <c r="K1068" s="20"/>
      <c r="L1068" s="20"/>
      <c r="M1068" s="20"/>
      <c r="N1068" s="20"/>
      <c r="O1068" s="20"/>
      <c r="P1068" s="20"/>
      <c r="Q1068" s="20"/>
      <c r="R1068" s="20"/>
      <c r="S1068" s="20"/>
      <c r="T1068" s="20"/>
      <c r="U1068" s="20"/>
      <c r="V1068" s="20"/>
      <c r="W1068" s="20"/>
      <c r="X1068" s="20"/>
      <c r="Y1068" s="20"/>
      <c r="Z1068" s="20"/>
      <c r="AA1068" s="20"/>
      <c r="AB1068" s="20"/>
      <c r="AC1068" s="20"/>
      <c r="AD1068" s="20"/>
      <c r="AE1068" s="20"/>
      <c r="AF1068" s="20"/>
      <c r="AG1068" s="20"/>
      <c r="AH1068" s="20"/>
      <c r="AI1068" s="20"/>
      <c r="AJ1068" s="20"/>
      <c r="AK1068" s="20"/>
      <c r="AL1068" s="20"/>
      <c r="AM1068" s="20"/>
      <c r="AN1068" s="20"/>
      <c r="AO1068" s="20"/>
      <c r="AP1068" s="20"/>
      <c r="AQ1068" s="20"/>
      <c r="AR1068" s="20"/>
      <c r="AS1068" s="20"/>
    </row>
    <row r="1069">
      <c r="A1069" s="20"/>
      <c r="B1069" s="20"/>
      <c r="C1069" s="20"/>
      <c r="D1069" s="20"/>
      <c r="E1069" s="20"/>
      <c r="F1069" s="20"/>
      <c r="G1069" s="20"/>
      <c r="H1069" s="20"/>
      <c r="I1069" s="20"/>
      <c r="J1069" s="20"/>
      <c r="K1069" s="20"/>
      <c r="L1069" s="20"/>
      <c r="M1069" s="20"/>
      <c r="N1069" s="20"/>
      <c r="O1069" s="20"/>
      <c r="P1069" s="20"/>
      <c r="Q1069" s="20"/>
      <c r="R1069" s="20"/>
      <c r="S1069" s="20"/>
      <c r="T1069" s="20"/>
      <c r="U1069" s="20"/>
      <c r="V1069" s="20"/>
      <c r="W1069" s="20"/>
      <c r="X1069" s="20"/>
      <c r="Y1069" s="20"/>
      <c r="Z1069" s="20"/>
      <c r="AA1069" s="20"/>
      <c r="AB1069" s="20"/>
      <c r="AC1069" s="20"/>
      <c r="AD1069" s="20"/>
      <c r="AE1069" s="20"/>
      <c r="AF1069" s="20"/>
      <c r="AG1069" s="20"/>
      <c r="AH1069" s="20"/>
      <c r="AI1069" s="20"/>
      <c r="AJ1069" s="20"/>
      <c r="AK1069" s="20"/>
      <c r="AL1069" s="20"/>
      <c r="AM1069" s="20"/>
      <c r="AN1069" s="20"/>
      <c r="AO1069" s="20"/>
      <c r="AP1069" s="20"/>
      <c r="AQ1069" s="20"/>
      <c r="AR1069" s="20"/>
      <c r="AS1069" s="20"/>
    </row>
    <row r="1070">
      <c r="A1070" s="20"/>
      <c r="B1070" s="20"/>
      <c r="C1070" s="20"/>
      <c r="D1070" s="20"/>
      <c r="E1070" s="20"/>
      <c r="F1070" s="20"/>
      <c r="G1070" s="20"/>
      <c r="H1070" s="20"/>
      <c r="I1070" s="20"/>
      <c r="J1070" s="20"/>
      <c r="K1070" s="20"/>
      <c r="L1070" s="20"/>
      <c r="M1070" s="20"/>
      <c r="N1070" s="20"/>
      <c r="O1070" s="20"/>
      <c r="P1070" s="20"/>
      <c r="Q1070" s="20"/>
      <c r="R1070" s="20"/>
      <c r="S1070" s="20"/>
      <c r="T1070" s="20"/>
      <c r="U1070" s="20"/>
      <c r="V1070" s="20"/>
      <c r="W1070" s="20"/>
      <c r="X1070" s="20"/>
      <c r="Y1070" s="20"/>
      <c r="Z1070" s="20"/>
      <c r="AA1070" s="20"/>
      <c r="AB1070" s="20"/>
      <c r="AC1070" s="20"/>
      <c r="AD1070" s="20"/>
      <c r="AE1070" s="20"/>
      <c r="AF1070" s="20"/>
      <c r="AG1070" s="20"/>
      <c r="AH1070" s="20"/>
      <c r="AI1070" s="20"/>
      <c r="AJ1070" s="20"/>
      <c r="AK1070" s="20"/>
      <c r="AL1070" s="20"/>
      <c r="AM1070" s="20"/>
      <c r="AN1070" s="20"/>
      <c r="AO1070" s="20"/>
      <c r="AP1070" s="20"/>
      <c r="AQ1070" s="20"/>
      <c r="AR1070" s="20"/>
      <c r="AS1070" s="20"/>
    </row>
    <row r="1071">
      <c r="A1071" s="20"/>
      <c r="B1071" s="20"/>
      <c r="C1071" s="20"/>
      <c r="D1071" s="20"/>
      <c r="E1071" s="20"/>
      <c r="F1071" s="20"/>
      <c r="G1071" s="20"/>
      <c r="H1071" s="20"/>
      <c r="I1071" s="20"/>
      <c r="J1071" s="20"/>
      <c r="K1071" s="20"/>
      <c r="L1071" s="20"/>
      <c r="M1071" s="20"/>
      <c r="N1071" s="20"/>
      <c r="O1071" s="20"/>
      <c r="P1071" s="20"/>
      <c r="Q1071" s="20"/>
      <c r="R1071" s="20"/>
      <c r="S1071" s="20"/>
      <c r="T1071" s="20"/>
      <c r="U1071" s="20"/>
      <c r="V1071" s="20"/>
      <c r="W1071" s="20"/>
      <c r="X1071" s="20"/>
      <c r="Y1071" s="20"/>
      <c r="Z1071" s="20"/>
      <c r="AA1071" s="20"/>
      <c r="AB1071" s="20"/>
      <c r="AC1071" s="20"/>
      <c r="AD1071" s="20"/>
      <c r="AE1071" s="20"/>
      <c r="AF1071" s="20"/>
      <c r="AG1071" s="20"/>
      <c r="AH1071" s="20"/>
      <c r="AI1071" s="20"/>
      <c r="AJ1071" s="20"/>
      <c r="AK1071" s="20"/>
      <c r="AL1071" s="20"/>
      <c r="AM1071" s="20"/>
      <c r="AN1071" s="20"/>
      <c r="AO1071" s="20"/>
      <c r="AP1071" s="20"/>
      <c r="AQ1071" s="20"/>
      <c r="AR1071" s="20"/>
      <c r="AS1071" s="20"/>
    </row>
    <row r="1072">
      <c r="A1072" s="20"/>
      <c r="B1072" s="20"/>
      <c r="C1072" s="20"/>
      <c r="D1072" s="20"/>
      <c r="E1072" s="20"/>
      <c r="F1072" s="20"/>
      <c r="G1072" s="20"/>
      <c r="H1072" s="20"/>
      <c r="I1072" s="20"/>
      <c r="J1072" s="20"/>
      <c r="K1072" s="20"/>
      <c r="L1072" s="20"/>
      <c r="M1072" s="20"/>
      <c r="N1072" s="20"/>
      <c r="O1072" s="20"/>
      <c r="P1072" s="20"/>
      <c r="Q1072" s="20"/>
      <c r="R1072" s="20"/>
      <c r="S1072" s="20"/>
      <c r="T1072" s="20"/>
      <c r="U1072" s="20"/>
      <c r="V1072" s="20"/>
      <c r="W1072" s="20"/>
      <c r="X1072" s="20"/>
      <c r="Y1072" s="20"/>
      <c r="Z1072" s="20"/>
      <c r="AA1072" s="20"/>
      <c r="AB1072" s="20"/>
      <c r="AC1072" s="20"/>
      <c r="AD1072" s="20"/>
      <c r="AE1072" s="20"/>
      <c r="AF1072" s="20"/>
      <c r="AG1072" s="20"/>
      <c r="AH1072" s="20"/>
      <c r="AI1072" s="20"/>
      <c r="AJ1072" s="20"/>
      <c r="AK1072" s="20"/>
      <c r="AL1072" s="20"/>
      <c r="AM1072" s="20"/>
      <c r="AN1072" s="20"/>
      <c r="AO1072" s="20"/>
      <c r="AP1072" s="20"/>
      <c r="AQ1072" s="20"/>
      <c r="AR1072" s="20"/>
      <c r="AS1072" s="20"/>
    </row>
    <row r="1073">
      <c r="A1073" s="20"/>
      <c r="B1073" s="20"/>
      <c r="C1073" s="20"/>
      <c r="D1073" s="20"/>
      <c r="E1073" s="20"/>
      <c r="F1073" s="20"/>
      <c r="G1073" s="20"/>
      <c r="H1073" s="20"/>
      <c r="I1073" s="20"/>
      <c r="J1073" s="20"/>
      <c r="K1073" s="20"/>
      <c r="L1073" s="20"/>
      <c r="M1073" s="20"/>
      <c r="N1073" s="20"/>
      <c r="O1073" s="20"/>
      <c r="P1073" s="20"/>
      <c r="Q1073" s="20"/>
      <c r="R1073" s="20"/>
      <c r="S1073" s="20"/>
      <c r="T1073" s="20"/>
      <c r="U1073" s="20"/>
      <c r="V1073" s="20"/>
      <c r="W1073" s="20"/>
      <c r="X1073" s="20"/>
      <c r="Y1073" s="20"/>
      <c r="Z1073" s="20"/>
      <c r="AA1073" s="20"/>
      <c r="AB1073" s="20"/>
      <c r="AC1073" s="20"/>
      <c r="AD1073" s="20"/>
      <c r="AE1073" s="20"/>
      <c r="AF1073" s="20"/>
      <c r="AG1073" s="20"/>
      <c r="AH1073" s="20"/>
      <c r="AI1073" s="20"/>
      <c r="AJ1073" s="20"/>
      <c r="AK1073" s="20"/>
      <c r="AL1073" s="20"/>
      <c r="AM1073" s="20"/>
      <c r="AN1073" s="20"/>
      <c r="AO1073" s="20"/>
      <c r="AP1073" s="20"/>
      <c r="AQ1073" s="20"/>
      <c r="AR1073" s="20"/>
      <c r="AS1073" s="20"/>
    </row>
    <row r="1074">
      <c r="A1074" s="20"/>
      <c r="B1074" s="20"/>
      <c r="C1074" s="20"/>
      <c r="D1074" s="20"/>
      <c r="E1074" s="20"/>
      <c r="F1074" s="20"/>
      <c r="G1074" s="20"/>
      <c r="H1074" s="20"/>
      <c r="I1074" s="20"/>
      <c r="J1074" s="20"/>
      <c r="K1074" s="20"/>
      <c r="L1074" s="20"/>
      <c r="M1074" s="20"/>
      <c r="N1074" s="20"/>
      <c r="O1074" s="20"/>
      <c r="P1074" s="20"/>
      <c r="Q1074" s="20"/>
      <c r="R1074" s="20"/>
      <c r="S1074" s="20"/>
      <c r="T1074" s="20"/>
      <c r="U1074" s="20"/>
      <c r="V1074" s="20"/>
      <c r="W1074" s="20"/>
      <c r="X1074" s="20"/>
      <c r="Y1074" s="20"/>
      <c r="Z1074" s="20"/>
      <c r="AA1074" s="20"/>
      <c r="AB1074" s="20"/>
      <c r="AC1074" s="20"/>
      <c r="AD1074" s="20"/>
      <c r="AE1074" s="20"/>
      <c r="AF1074" s="20"/>
      <c r="AG1074" s="20"/>
      <c r="AH1074" s="20"/>
      <c r="AI1074" s="20"/>
      <c r="AJ1074" s="20"/>
      <c r="AK1074" s="20"/>
      <c r="AL1074" s="20"/>
      <c r="AM1074" s="20"/>
      <c r="AN1074" s="20"/>
      <c r="AO1074" s="20"/>
      <c r="AP1074" s="20"/>
      <c r="AQ1074" s="20"/>
      <c r="AR1074" s="20"/>
      <c r="AS1074" s="20"/>
    </row>
    <row r="1075">
      <c r="A1075" s="20"/>
      <c r="B1075" s="20"/>
      <c r="C1075" s="20"/>
      <c r="D1075" s="20"/>
      <c r="E1075" s="20"/>
      <c r="F1075" s="20"/>
      <c r="G1075" s="20"/>
      <c r="H1075" s="20"/>
      <c r="I1075" s="20"/>
      <c r="J1075" s="20"/>
      <c r="K1075" s="20"/>
      <c r="L1075" s="20"/>
      <c r="M1075" s="20"/>
      <c r="N1075" s="20"/>
      <c r="O1075" s="20"/>
      <c r="P1075" s="20"/>
      <c r="Q1075" s="20"/>
      <c r="R1075" s="20"/>
      <c r="S1075" s="20"/>
      <c r="T1075" s="20"/>
      <c r="U1075" s="20"/>
      <c r="V1075" s="20"/>
      <c r="W1075" s="20"/>
      <c r="X1075" s="20"/>
      <c r="Y1075" s="20"/>
      <c r="Z1075" s="20"/>
      <c r="AA1075" s="20"/>
      <c r="AB1075" s="20"/>
      <c r="AC1075" s="20"/>
      <c r="AD1075" s="20"/>
      <c r="AE1075" s="20"/>
      <c r="AF1075" s="20"/>
      <c r="AG1075" s="20"/>
      <c r="AH1075" s="20"/>
      <c r="AI1075" s="20"/>
      <c r="AJ1075" s="20"/>
      <c r="AK1075" s="20"/>
      <c r="AL1075" s="20"/>
      <c r="AM1075" s="20"/>
      <c r="AN1075" s="20"/>
      <c r="AO1075" s="20"/>
      <c r="AP1075" s="20"/>
      <c r="AQ1075" s="20"/>
      <c r="AR1075" s="20"/>
      <c r="AS1075" s="20"/>
    </row>
    <row r="1076">
      <c r="A1076" s="20"/>
      <c r="B1076" s="20"/>
      <c r="C1076" s="20"/>
      <c r="D1076" s="20"/>
      <c r="E1076" s="20"/>
      <c r="F1076" s="20"/>
      <c r="G1076" s="20"/>
      <c r="H1076" s="20"/>
      <c r="I1076" s="20"/>
      <c r="J1076" s="20"/>
      <c r="K1076" s="20"/>
      <c r="L1076" s="20"/>
      <c r="M1076" s="20"/>
      <c r="N1076" s="20"/>
      <c r="O1076" s="20"/>
      <c r="P1076" s="20"/>
      <c r="Q1076" s="20"/>
      <c r="R1076" s="20"/>
      <c r="S1076" s="20"/>
      <c r="T1076" s="20"/>
      <c r="U1076" s="20"/>
      <c r="V1076" s="20"/>
      <c r="W1076" s="20"/>
      <c r="X1076" s="20"/>
      <c r="Y1076" s="20"/>
      <c r="Z1076" s="20"/>
      <c r="AA1076" s="20"/>
      <c r="AB1076" s="20"/>
      <c r="AC1076" s="20"/>
      <c r="AD1076" s="20"/>
      <c r="AE1076" s="20"/>
      <c r="AF1076" s="20"/>
      <c r="AG1076" s="20"/>
      <c r="AH1076" s="20"/>
      <c r="AI1076" s="20"/>
      <c r="AJ1076" s="20"/>
      <c r="AK1076" s="20"/>
      <c r="AL1076" s="20"/>
      <c r="AM1076" s="20"/>
      <c r="AN1076" s="20"/>
      <c r="AO1076" s="20"/>
      <c r="AP1076" s="20"/>
      <c r="AQ1076" s="20"/>
      <c r="AR1076" s="20"/>
      <c r="AS1076" s="20"/>
    </row>
    <row r="1077">
      <c r="A1077" s="20"/>
      <c r="B1077" s="20"/>
      <c r="C1077" s="20"/>
      <c r="D1077" s="20"/>
      <c r="E1077" s="20"/>
      <c r="F1077" s="20"/>
      <c r="G1077" s="20"/>
      <c r="H1077" s="20"/>
      <c r="I1077" s="20"/>
      <c r="J1077" s="20"/>
      <c r="K1077" s="20"/>
      <c r="L1077" s="20"/>
      <c r="M1077" s="20"/>
      <c r="N1077" s="20"/>
      <c r="O1077" s="20"/>
      <c r="P1077" s="20"/>
      <c r="Q1077" s="20"/>
      <c r="R1077" s="20"/>
      <c r="S1077" s="20"/>
      <c r="T1077" s="20"/>
      <c r="U1077" s="20"/>
      <c r="V1077" s="20"/>
      <c r="W1077" s="20"/>
      <c r="X1077" s="20"/>
      <c r="Y1077" s="20"/>
      <c r="Z1077" s="20"/>
      <c r="AA1077" s="20"/>
      <c r="AB1077" s="20"/>
      <c r="AC1077" s="20"/>
      <c r="AD1077" s="20"/>
      <c r="AE1077" s="20"/>
      <c r="AF1077" s="20"/>
      <c r="AG1077" s="20"/>
      <c r="AH1077" s="20"/>
      <c r="AI1077" s="20"/>
      <c r="AJ1077" s="20"/>
      <c r="AK1077" s="20"/>
      <c r="AL1077" s="20"/>
      <c r="AM1077" s="20"/>
      <c r="AN1077" s="20"/>
      <c r="AO1077" s="20"/>
      <c r="AP1077" s="20"/>
      <c r="AQ1077" s="20"/>
      <c r="AR1077" s="20"/>
      <c r="AS1077" s="20"/>
    </row>
    <row r="1078">
      <c r="A1078" s="20"/>
      <c r="B1078" s="20"/>
      <c r="C1078" s="20"/>
      <c r="D1078" s="20"/>
      <c r="E1078" s="20"/>
      <c r="F1078" s="20"/>
      <c r="G1078" s="20"/>
      <c r="H1078" s="20"/>
      <c r="I1078" s="20"/>
      <c r="J1078" s="20"/>
      <c r="K1078" s="20"/>
      <c r="L1078" s="20"/>
      <c r="M1078" s="20"/>
      <c r="N1078" s="20"/>
      <c r="O1078" s="20"/>
      <c r="P1078" s="20"/>
      <c r="Q1078" s="20"/>
      <c r="R1078" s="20"/>
      <c r="S1078" s="20"/>
      <c r="T1078" s="20"/>
      <c r="U1078" s="20"/>
      <c r="V1078" s="20"/>
      <c r="W1078" s="20"/>
      <c r="X1078" s="20"/>
      <c r="Y1078" s="20"/>
      <c r="Z1078" s="20"/>
      <c r="AA1078" s="20"/>
      <c r="AB1078" s="20"/>
      <c r="AC1078" s="20"/>
      <c r="AD1078" s="20"/>
      <c r="AE1078" s="20"/>
      <c r="AF1078" s="20"/>
      <c r="AG1078" s="20"/>
      <c r="AH1078" s="20"/>
      <c r="AI1078" s="20"/>
      <c r="AJ1078" s="20"/>
      <c r="AK1078" s="20"/>
      <c r="AL1078" s="20"/>
      <c r="AM1078" s="20"/>
      <c r="AN1078" s="20"/>
      <c r="AO1078" s="20"/>
      <c r="AP1078" s="20"/>
      <c r="AQ1078" s="20"/>
      <c r="AR1078" s="20"/>
      <c r="AS1078" s="20"/>
    </row>
    <row r="1079">
      <c r="A1079" s="20"/>
      <c r="B1079" s="20"/>
      <c r="C1079" s="20"/>
      <c r="D1079" s="20"/>
      <c r="E1079" s="20"/>
      <c r="F1079" s="20"/>
      <c r="G1079" s="20"/>
      <c r="H1079" s="20"/>
      <c r="I1079" s="20"/>
      <c r="J1079" s="20"/>
      <c r="K1079" s="20"/>
      <c r="L1079" s="20"/>
      <c r="M1079" s="20"/>
      <c r="N1079" s="20"/>
      <c r="O1079" s="20"/>
      <c r="P1079" s="20"/>
      <c r="Q1079" s="20"/>
      <c r="R1079" s="20"/>
      <c r="S1079" s="20"/>
      <c r="T1079" s="20"/>
      <c r="U1079" s="20"/>
      <c r="V1079" s="20"/>
      <c r="W1079" s="20"/>
      <c r="X1079" s="20"/>
      <c r="Y1079" s="20"/>
      <c r="Z1079" s="20"/>
      <c r="AA1079" s="20"/>
      <c r="AB1079" s="20"/>
      <c r="AC1079" s="20"/>
      <c r="AD1079" s="20"/>
      <c r="AE1079" s="20"/>
      <c r="AF1079" s="20"/>
      <c r="AG1079" s="20"/>
      <c r="AH1079" s="20"/>
      <c r="AI1079" s="20"/>
      <c r="AJ1079" s="20"/>
      <c r="AK1079" s="20"/>
      <c r="AL1079" s="20"/>
      <c r="AM1079" s="20"/>
      <c r="AN1079" s="20"/>
      <c r="AO1079" s="20"/>
      <c r="AP1079" s="20"/>
      <c r="AQ1079" s="20"/>
      <c r="AR1079" s="20"/>
      <c r="AS1079" s="20"/>
    </row>
    <row r="1080">
      <c r="A1080" s="20"/>
      <c r="B1080" s="20"/>
      <c r="C1080" s="20"/>
      <c r="D1080" s="20"/>
      <c r="E1080" s="20"/>
      <c r="F1080" s="20"/>
      <c r="G1080" s="20"/>
      <c r="H1080" s="20"/>
      <c r="I1080" s="20"/>
      <c r="J1080" s="20"/>
      <c r="K1080" s="20"/>
      <c r="L1080" s="20"/>
      <c r="M1080" s="20"/>
      <c r="N1080" s="20"/>
      <c r="O1080" s="20"/>
      <c r="P1080" s="20"/>
      <c r="Q1080" s="20"/>
      <c r="R1080" s="20"/>
      <c r="S1080" s="20"/>
      <c r="T1080" s="20"/>
      <c r="U1080" s="20"/>
      <c r="V1080" s="20"/>
      <c r="W1080" s="20"/>
      <c r="X1080" s="20"/>
      <c r="Y1080" s="20"/>
      <c r="Z1080" s="20"/>
      <c r="AA1080" s="20"/>
      <c r="AB1080" s="20"/>
      <c r="AC1080" s="20"/>
      <c r="AD1080" s="20"/>
      <c r="AE1080" s="20"/>
      <c r="AF1080" s="20"/>
      <c r="AG1080" s="20"/>
      <c r="AH1080" s="20"/>
      <c r="AI1080" s="20"/>
      <c r="AJ1080" s="20"/>
      <c r="AK1080" s="20"/>
      <c r="AL1080" s="20"/>
      <c r="AM1080" s="20"/>
      <c r="AN1080" s="20"/>
      <c r="AO1080" s="20"/>
      <c r="AP1080" s="20"/>
      <c r="AQ1080" s="20"/>
      <c r="AR1080" s="20"/>
      <c r="AS1080" s="20"/>
    </row>
    <row r="1081">
      <c r="A1081" s="20"/>
      <c r="B1081" s="20"/>
      <c r="C1081" s="20"/>
      <c r="D1081" s="20"/>
      <c r="E1081" s="20"/>
      <c r="F1081" s="20"/>
      <c r="G1081" s="20"/>
      <c r="H1081" s="20"/>
      <c r="I1081" s="20"/>
      <c r="J1081" s="20"/>
      <c r="K1081" s="20"/>
      <c r="L1081" s="20"/>
      <c r="M1081" s="20"/>
      <c r="N1081" s="20"/>
      <c r="O1081" s="20"/>
      <c r="P1081" s="20"/>
      <c r="Q1081" s="20"/>
      <c r="R1081" s="20"/>
      <c r="S1081" s="20"/>
      <c r="T1081" s="20"/>
      <c r="U1081" s="20"/>
      <c r="V1081" s="20"/>
      <c r="W1081" s="20"/>
      <c r="X1081" s="20"/>
      <c r="Y1081" s="20"/>
      <c r="Z1081" s="20"/>
      <c r="AA1081" s="20"/>
      <c r="AB1081" s="20"/>
      <c r="AC1081" s="20"/>
      <c r="AD1081" s="20"/>
      <c r="AE1081" s="20"/>
      <c r="AF1081" s="20"/>
      <c r="AG1081" s="20"/>
      <c r="AH1081" s="20"/>
      <c r="AI1081" s="20"/>
      <c r="AJ1081" s="20"/>
      <c r="AK1081" s="20"/>
      <c r="AL1081" s="20"/>
      <c r="AM1081" s="20"/>
      <c r="AN1081" s="20"/>
      <c r="AO1081" s="20"/>
      <c r="AP1081" s="20"/>
      <c r="AQ1081" s="20"/>
      <c r="AR1081" s="20"/>
      <c r="AS1081" s="20"/>
    </row>
    <row r="1082">
      <c r="A1082" s="20"/>
      <c r="B1082" s="20"/>
      <c r="C1082" s="20"/>
      <c r="D1082" s="20"/>
      <c r="E1082" s="20"/>
      <c r="F1082" s="20"/>
      <c r="G1082" s="20"/>
      <c r="H1082" s="20"/>
      <c r="I1082" s="20"/>
      <c r="J1082" s="20"/>
      <c r="K1082" s="20"/>
      <c r="L1082" s="20"/>
      <c r="M1082" s="20"/>
      <c r="N1082" s="20"/>
      <c r="O1082" s="20"/>
      <c r="P1082" s="20"/>
      <c r="Q1082" s="20"/>
      <c r="R1082" s="20"/>
      <c r="S1082" s="20"/>
      <c r="T1082" s="20"/>
      <c r="U1082" s="20"/>
      <c r="V1082" s="20"/>
      <c r="W1082" s="20"/>
      <c r="X1082" s="20"/>
      <c r="Y1082" s="20"/>
      <c r="Z1082" s="20"/>
      <c r="AA1082" s="20"/>
      <c r="AB1082" s="20"/>
      <c r="AC1082" s="20"/>
      <c r="AD1082" s="20"/>
      <c r="AE1082" s="20"/>
      <c r="AF1082" s="20"/>
      <c r="AG1082" s="20"/>
      <c r="AH1082" s="20"/>
      <c r="AI1082" s="20"/>
      <c r="AJ1082" s="20"/>
      <c r="AK1082" s="20"/>
      <c r="AL1082" s="20"/>
      <c r="AM1082" s="20"/>
      <c r="AN1082" s="20"/>
      <c r="AO1082" s="20"/>
      <c r="AP1082" s="20"/>
      <c r="AQ1082" s="20"/>
      <c r="AR1082" s="20"/>
      <c r="AS1082" s="20"/>
    </row>
    <row r="1083">
      <c r="A1083" s="20"/>
      <c r="B1083" s="20"/>
      <c r="C1083" s="20"/>
      <c r="D1083" s="20"/>
      <c r="E1083" s="20"/>
      <c r="F1083" s="20"/>
      <c r="G1083" s="20"/>
      <c r="H1083" s="20"/>
      <c r="I1083" s="20"/>
      <c r="J1083" s="20"/>
      <c r="K1083" s="20"/>
      <c r="L1083" s="20"/>
      <c r="M1083" s="20"/>
      <c r="N1083" s="20"/>
      <c r="O1083" s="20"/>
      <c r="P1083" s="20"/>
      <c r="Q1083" s="20"/>
      <c r="R1083" s="20"/>
      <c r="S1083" s="20"/>
      <c r="T1083" s="20"/>
      <c r="U1083" s="20"/>
      <c r="V1083" s="20"/>
      <c r="W1083" s="20"/>
      <c r="X1083" s="20"/>
      <c r="Y1083" s="20"/>
      <c r="Z1083" s="20"/>
      <c r="AA1083" s="20"/>
      <c r="AB1083" s="20"/>
      <c r="AC1083" s="20"/>
      <c r="AD1083" s="20"/>
      <c r="AE1083" s="20"/>
      <c r="AF1083" s="20"/>
      <c r="AG1083" s="20"/>
      <c r="AH1083" s="20"/>
      <c r="AI1083" s="20"/>
      <c r="AJ1083" s="20"/>
      <c r="AK1083" s="20"/>
      <c r="AL1083" s="20"/>
      <c r="AM1083" s="20"/>
      <c r="AN1083" s="20"/>
      <c r="AO1083" s="20"/>
      <c r="AP1083" s="20"/>
      <c r="AQ1083" s="20"/>
      <c r="AR1083" s="20"/>
      <c r="AS1083" s="20"/>
    </row>
    <row r="1084">
      <c r="A1084" s="20"/>
      <c r="B1084" s="20"/>
      <c r="C1084" s="20"/>
      <c r="D1084" s="20"/>
      <c r="E1084" s="20"/>
      <c r="F1084" s="20"/>
      <c r="G1084" s="20"/>
      <c r="H1084" s="20"/>
      <c r="I1084" s="20"/>
      <c r="J1084" s="20"/>
      <c r="K1084" s="20"/>
      <c r="L1084" s="20"/>
      <c r="M1084" s="20"/>
      <c r="N1084" s="20"/>
      <c r="O1084" s="20"/>
      <c r="P1084" s="20"/>
      <c r="Q1084" s="20"/>
      <c r="R1084" s="20"/>
      <c r="S1084" s="20"/>
      <c r="T1084" s="20"/>
      <c r="U1084" s="20"/>
      <c r="V1084" s="20"/>
      <c r="W1084" s="20"/>
      <c r="X1084" s="20"/>
      <c r="Y1084" s="20"/>
      <c r="Z1084" s="20"/>
      <c r="AA1084" s="20"/>
      <c r="AB1084" s="20"/>
      <c r="AC1084" s="20"/>
      <c r="AD1084" s="20"/>
      <c r="AE1084" s="20"/>
      <c r="AF1084" s="20"/>
      <c r="AG1084" s="20"/>
      <c r="AH1084" s="20"/>
      <c r="AI1084" s="20"/>
      <c r="AJ1084" s="20"/>
      <c r="AK1084" s="20"/>
      <c r="AL1084" s="20"/>
      <c r="AM1084" s="20"/>
      <c r="AN1084" s="20"/>
      <c r="AO1084" s="20"/>
      <c r="AP1084" s="20"/>
      <c r="AQ1084" s="20"/>
      <c r="AR1084" s="20"/>
      <c r="AS1084" s="20"/>
    </row>
    <row r="1085">
      <c r="A1085" s="20"/>
      <c r="B1085" s="20"/>
      <c r="C1085" s="20"/>
      <c r="D1085" s="20"/>
      <c r="E1085" s="20"/>
      <c r="F1085" s="20"/>
      <c r="G1085" s="20"/>
      <c r="H1085" s="20"/>
      <c r="I1085" s="20"/>
      <c r="J1085" s="20"/>
      <c r="K1085" s="20"/>
      <c r="L1085" s="20"/>
      <c r="M1085" s="20"/>
      <c r="N1085" s="20"/>
      <c r="O1085" s="20"/>
      <c r="P1085" s="20"/>
      <c r="Q1085" s="20"/>
      <c r="R1085" s="20"/>
      <c r="S1085" s="20"/>
      <c r="T1085" s="20"/>
      <c r="U1085" s="20"/>
      <c r="V1085" s="20"/>
      <c r="W1085" s="20"/>
      <c r="X1085" s="20"/>
      <c r="Y1085" s="20"/>
      <c r="Z1085" s="20"/>
      <c r="AA1085" s="20"/>
      <c r="AB1085" s="20"/>
      <c r="AC1085" s="20"/>
      <c r="AD1085" s="20"/>
      <c r="AE1085" s="20"/>
      <c r="AF1085" s="20"/>
      <c r="AG1085" s="20"/>
      <c r="AH1085" s="20"/>
      <c r="AI1085" s="20"/>
      <c r="AJ1085" s="20"/>
      <c r="AK1085" s="20"/>
      <c r="AL1085" s="20"/>
      <c r="AM1085" s="20"/>
      <c r="AN1085" s="20"/>
      <c r="AO1085" s="20"/>
      <c r="AP1085" s="20"/>
      <c r="AQ1085" s="20"/>
      <c r="AR1085" s="20"/>
      <c r="AS1085" s="20"/>
    </row>
    <row r="1086">
      <c r="A1086" s="20"/>
      <c r="B1086" s="20"/>
      <c r="C1086" s="20"/>
      <c r="D1086" s="20"/>
      <c r="E1086" s="20"/>
      <c r="F1086" s="20"/>
      <c r="G1086" s="20"/>
      <c r="H1086" s="20"/>
      <c r="I1086" s="20"/>
      <c r="J1086" s="20"/>
      <c r="K1086" s="20"/>
      <c r="L1086" s="20"/>
      <c r="M1086" s="20"/>
      <c r="N1086" s="20"/>
      <c r="O1086" s="20"/>
      <c r="P1086" s="20"/>
      <c r="Q1086" s="20"/>
      <c r="R1086" s="20"/>
      <c r="S1086" s="20"/>
      <c r="T1086" s="20"/>
      <c r="U1086" s="20"/>
      <c r="V1086" s="20"/>
      <c r="W1086" s="20"/>
      <c r="X1086" s="20"/>
      <c r="Y1086" s="20"/>
      <c r="Z1086" s="20"/>
      <c r="AA1086" s="20"/>
      <c r="AB1086" s="20"/>
      <c r="AC1086" s="20"/>
      <c r="AD1086" s="20"/>
      <c r="AE1086" s="20"/>
      <c r="AF1086" s="20"/>
      <c r="AG1086" s="20"/>
      <c r="AH1086" s="20"/>
      <c r="AI1086" s="20"/>
      <c r="AJ1086" s="20"/>
      <c r="AK1086" s="20"/>
      <c r="AL1086" s="20"/>
      <c r="AM1086" s="20"/>
      <c r="AN1086" s="20"/>
      <c r="AO1086" s="20"/>
      <c r="AP1086" s="20"/>
      <c r="AQ1086" s="20"/>
      <c r="AR1086" s="20"/>
      <c r="AS1086" s="20"/>
    </row>
    <row r="1087">
      <c r="A1087" s="20"/>
      <c r="B1087" s="20"/>
      <c r="C1087" s="20"/>
      <c r="D1087" s="20"/>
      <c r="E1087" s="20"/>
      <c r="F1087" s="20"/>
      <c r="G1087" s="20"/>
      <c r="H1087" s="20"/>
      <c r="I1087" s="20"/>
      <c r="J1087" s="20"/>
      <c r="K1087" s="20"/>
      <c r="L1087" s="20"/>
      <c r="M1087" s="20"/>
      <c r="N1087" s="20"/>
      <c r="O1087" s="20"/>
      <c r="P1087" s="20"/>
      <c r="Q1087" s="20"/>
      <c r="R1087" s="20"/>
      <c r="S1087" s="20"/>
      <c r="T1087" s="20"/>
      <c r="U1087" s="20"/>
      <c r="V1087" s="20"/>
      <c r="W1087" s="20"/>
      <c r="X1087" s="20"/>
      <c r="Y1087" s="20"/>
      <c r="Z1087" s="20"/>
      <c r="AA1087" s="20"/>
      <c r="AB1087" s="20"/>
      <c r="AC1087" s="20"/>
      <c r="AD1087" s="20"/>
      <c r="AE1087" s="20"/>
      <c r="AF1087" s="20"/>
      <c r="AG1087" s="20"/>
      <c r="AH1087" s="20"/>
      <c r="AI1087" s="20"/>
      <c r="AJ1087" s="20"/>
      <c r="AK1087" s="20"/>
      <c r="AL1087" s="20"/>
      <c r="AM1087" s="20"/>
      <c r="AN1087" s="20"/>
      <c r="AO1087" s="20"/>
      <c r="AP1087" s="20"/>
      <c r="AQ1087" s="20"/>
      <c r="AR1087" s="20"/>
      <c r="AS1087" s="20"/>
    </row>
    <row r="1088">
      <c r="A1088" s="20"/>
      <c r="B1088" s="20"/>
      <c r="C1088" s="20"/>
      <c r="D1088" s="20"/>
      <c r="E1088" s="20"/>
      <c r="F1088" s="20"/>
      <c r="G1088" s="20"/>
      <c r="H1088" s="20"/>
      <c r="I1088" s="20"/>
      <c r="J1088" s="20"/>
      <c r="K1088" s="20"/>
      <c r="L1088" s="20"/>
      <c r="M1088" s="20"/>
      <c r="N1088" s="20"/>
      <c r="O1088" s="20"/>
      <c r="P1088" s="20"/>
      <c r="Q1088" s="20"/>
      <c r="R1088" s="20"/>
      <c r="S1088" s="20"/>
      <c r="T1088" s="20"/>
      <c r="U1088" s="20"/>
      <c r="V1088" s="20"/>
      <c r="W1088" s="20"/>
      <c r="X1088" s="20"/>
      <c r="Y1088" s="20"/>
      <c r="Z1088" s="20"/>
      <c r="AA1088" s="20"/>
      <c r="AB1088" s="20"/>
      <c r="AC1088" s="20"/>
      <c r="AD1088" s="20"/>
      <c r="AE1088" s="20"/>
      <c r="AF1088" s="20"/>
      <c r="AG1088" s="20"/>
      <c r="AH1088" s="20"/>
      <c r="AI1088" s="20"/>
      <c r="AJ1088" s="20"/>
      <c r="AK1088" s="20"/>
      <c r="AL1088" s="20"/>
      <c r="AM1088" s="20"/>
      <c r="AN1088" s="20"/>
      <c r="AO1088" s="20"/>
      <c r="AP1088" s="20"/>
      <c r="AQ1088" s="20"/>
      <c r="AR1088" s="20"/>
      <c r="AS1088" s="20"/>
    </row>
    <row r="1089">
      <c r="A1089" s="20"/>
      <c r="B1089" s="20"/>
      <c r="C1089" s="20"/>
      <c r="D1089" s="20"/>
      <c r="E1089" s="20"/>
      <c r="F1089" s="20"/>
      <c r="G1089" s="20"/>
      <c r="H1089" s="20"/>
      <c r="I1089" s="20"/>
      <c r="J1089" s="20"/>
      <c r="K1089" s="20"/>
      <c r="L1089" s="20"/>
      <c r="M1089" s="20"/>
      <c r="N1089" s="20"/>
      <c r="O1089" s="20"/>
      <c r="P1089" s="20"/>
      <c r="Q1089" s="20"/>
      <c r="R1089" s="20"/>
      <c r="S1089" s="20"/>
      <c r="T1089" s="20"/>
      <c r="U1089" s="20"/>
      <c r="V1089" s="20"/>
      <c r="W1089" s="20"/>
      <c r="X1089" s="20"/>
      <c r="Y1089" s="20"/>
      <c r="Z1089" s="20"/>
      <c r="AA1089" s="20"/>
      <c r="AB1089" s="20"/>
      <c r="AC1089" s="20"/>
      <c r="AD1089" s="20"/>
      <c r="AE1089" s="20"/>
      <c r="AF1089" s="20"/>
      <c r="AG1089" s="20"/>
      <c r="AH1089" s="20"/>
      <c r="AI1089" s="20"/>
      <c r="AJ1089" s="20"/>
      <c r="AK1089" s="20"/>
      <c r="AL1089" s="20"/>
      <c r="AM1089" s="20"/>
      <c r="AN1089" s="20"/>
      <c r="AO1089" s="20"/>
      <c r="AP1089" s="20"/>
      <c r="AQ1089" s="20"/>
      <c r="AR1089" s="20"/>
      <c r="AS1089" s="20"/>
    </row>
    <row r="1090">
      <c r="A1090" s="20"/>
      <c r="B1090" s="20"/>
      <c r="C1090" s="20"/>
      <c r="D1090" s="20"/>
      <c r="E1090" s="20"/>
      <c r="F1090" s="20"/>
      <c r="G1090" s="20"/>
      <c r="H1090" s="20"/>
      <c r="I1090" s="20"/>
      <c r="J1090" s="20"/>
      <c r="K1090" s="20"/>
      <c r="L1090" s="20"/>
      <c r="M1090" s="20"/>
      <c r="N1090" s="20"/>
      <c r="O1090" s="20"/>
      <c r="P1090" s="20"/>
      <c r="Q1090" s="20"/>
      <c r="R1090" s="20"/>
      <c r="S1090" s="20"/>
      <c r="T1090" s="20"/>
      <c r="U1090" s="20"/>
      <c r="V1090" s="20"/>
      <c r="W1090" s="20"/>
      <c r="X1090" s="20"/>
      <c r="Y1090" s="20"/>
      <c r="Z1090" s="20"/>
      <c r="AA1090" s="20"/>
      <c r="AB1090" s="20"/>
      <c r="AC1090" s="20"/>
      <c r="AD1090" s="20"/>
      <c r="AE1090" s="20"/>
      <c r="AF1090" s="20"/>
      <c r="AG1090" s="20"/>
      <c r="AH1090" s="20"/>
      <c r="AI1090" s="20"/>
      <c r="AJ1090" s="20"/>
      <c r="AK1090" s="20"/>
      <c r="AL1090" s="20"/>
      <c r="AM1090" s="20"/>
      <c r="AN1090" s="20"/>
      <c r="AO1090" s="20"/>
      <c r="AP1090" s="20"/>
      <c r="AQ1090" s="20"/>
      <c r="AR1090" s="20"/>
      <c r="AS1090" s="20"/>
    </row>
    <row r="1091">
      <c r="A1091" s="20"/>
      <c r="B1091" s="20"/>
      <c r="C1091" s="20"/>
      <c r="D1091" s="20"/>
      <c r="E1091" s="20"/>
      <c r="F1091" s="20"/>
      <c r="G1091" s="20"/>
      <c r="H1091" s="20"/>
      <c r="I1091" s="20"/>
      <c r="J1091" s="20"/>
      <c r="K1091" s="20"/>
      <c r="L1091" s="20"/>
      <c r="M1091" s="20"/>
      <c r="N1091" s="20"/>
      <c r="O1091" s="20"/>
      <c r="P1091" s="20"/>
      <c r="Q1091" s="20"/>
      <c r="R1091" s="20"/>
      <c r="S1091" s="20"/>
      <c r="T1091" s="20"/>
      <c r="U1091" s="20"/>
      <c r="V1091" s="20"/>
      <c r="W1091" s="20"/>
      <c r="X1091" s="20"/>
      <c r="Y1091" s="20"/>
      <c r="Z1091" s="20"/>
      <c r="AA1091" s="20"/>
      <c r="AB1091" s="20"/>
      <c r="AC1091" s="20"/>
      <c r="AD1091" s="20"/>
      <c r="AE1091" s="20"/>
      <c r="AF1091" s="20"/>
      <c r="AG1091" s="20"/>
      <c r="AH1091" s="20"/>
      <c r="AI1091" s="20"/>
      <c r="AJ1091" s="20"/>
      <c r="AK1091" s="20"/>
      <c r="AL1091" s="20"/>
      <c r="AM1091" s="20"/>
      <c r="AN1091" s="20"/>
      <c r="AO1091" s="20"/>
      <c r="AP1091" s="20"/>
      <c r="AQ1091" s="20"/>
      <c r="AR1091" s="20"/>
      <c r="AS1091" s="20"/>
    </row>
    <row r="1092">
      <c r="A1092" s="20"/>
      <c r="B1092" s="20"/>
      <c r="C1092" s="20"/>
      <c r="D1092" s="20"/>
      <c r="E1092" s="20"/>
      <c r="F1092" s="20"/>
      <c r="G1092" s="20"/>
      <c r="H1092" s="20"/>
      <c r="I1092" s="20"/>
      <c r="J1092" s="20"/>
      <c r="K1092" s="20"/>
      <c r="L1092" s="20"/>
      <c r="M1092" s="20"/>
      <c r="N1092" s="20"/>
      <c r="O1092" s="20"/>
      <c r="P1092" s="20"/>
      <c r="Q1092" s="20"/>
      <c r="R1092" s="20"/>
      <c r="S1092" s="20"/>
      <c r="T1092" s="20"/>
      <c r="U1092" s="20"/>
      <c r="V1092" s="20"/>
      <c r="W1092" s="20"/>
      <c r="X1092" s="20"/>
      <c r="Y1092" s="20"/>
      <c r="Z1092" s="20"/>
      <c r="AA1092" s="20"/>
      <c r="AB1092" s="20"/>
      <c r="AC1092" s="20"/>
      <c r="AD1092" s="20"/>
      <c r="AE1092" s="20"/>
      <c r="AF1092" s="20"/>
      <c r="AG1092" s="20"/>
      <c r="AH1092" s="20"/>
      <c r="AI1092" s="20"/>
      <c r="AJ1092" s="20"/>
      <c r="AK1092" s="20"/>
      <c r="AL1092" s="20"/>
      <c r="AM1092" s="20"/>
      <c r="AN1092" s="20"/>
      <c r="AO1092" s="20"/>
      <c r="AP1092" s="20"/>
      <c r="AQ1092" s="20"/>
      <c r="AR1092" s="20"/>
      <c r="AS1092" s="20"/>
    </row>
    <row r="1093">
      <c r="A1093" s="20"/>
      <c r="B1093" s="20"/>
      <c r="C1093" s="20"/>
      <c r="D1093" s="20"/>
      <c r="E1093" s="20"/>
      <c r="F1093" s="20"/>
      <c r="G1093" s="20"/>
      <c r="H1093" s="20"/>
      <c r="I1093" s="20"/>
      <c r="J1093" s="20"/>
      <c r="K1093" s="20"/>
      <c r="L1093" s="20"/>
      <c r="M1093" s="20"/>
      <c r="N1093" s="20"/>
      <c r="O1093" s="20"/>
      <c r="P1093" s="20"/>
      <c r="Q1093" s="20"/>
      <c r="R1093" s="20"/>
      <c r="S1093" s="20"/>
      <c r="T1093" s="20"/>
      <c r="U1093" s="20"/>
      <c r="V1093" s="20"/>
      <c r="W1093" s="20"/>
      <c r="X1093" s="20"/>
      <c r="Y1093" s="20"/>
      <c r="Z1093" s="20"/>
      <c r="AA1093" s="20"/>
      <c r="AB1093" s="20"/>
      <c r="AC1093" s="20"/>
      <c r="AD1093" s="20"/>
      <c r="AE1093" s="20"/>
      <c r="AF1093" s="20"/>
      <c r="AG1093" s="20"/>
      <c r="AH1093" s="20"/>
      <c r="AI1093" s="20"/>
      <c r="AJ1093" s="20"/>
      <c r="AK1093" s="20"/>
      <c r="AL1093" s="20"/>
      <c r="AM1093" s="20"/>
      <c r="AN1093" s="20"/>
      <c r="AO1093" s="20"/>
      <c r="AP1093" s="20"/>
      <c r="AQ1093" s="20"/>
      <c r="AR1093" s="20"/>
      <c r="AS1093" s="20"/>
    </row>
    <row r="1094">
      <c r="A1094" s="20"/>
      <c r="B1094" s="20"/>
      <c r="C1094" s="20"/>
      <c r="D1094" s="20"/>
      <c r="E1094" s="20"/>
      <c r="F1094" s="20"/>
      <c r="G1094" s="20"/>
      <c r="H1094" s="20"/>
      <c r="I1094" s="20"/>
      <c r="J1094" s="20"/>
      <c r="K1094" s="20"/>
      <c r="L1094" s="20"/>
      <c r="M1094" s="20"/>
      <c r="N1094" s="20"/>
      <c r="O1094" s="20"/>
      <c r="P1094" s="20"/>
      <c r="Q1094" s="20"/>
      <c r="R1094" s="20"/>
      <c r="S1094" s="20"/>
      <c r="T1094" s="20"/>
      <c r="U1094" s="20"/>
      <c r="V1094" s="20"/>
      <c r="W1094" s="20"/>
      <c r="X1094" s="20"/>
      <c r="Y1094" s="20"/>
      <c r="Z1094" s="20"/>
      <c r="AA1094" s="20"/>
      <c r="AB1094" s="20"/>
      <c r="AC1094" s="20"/>
      <c r="AD1094" s="20"/>
      <c r="AE1094" s="20"/>
      <c r="AF1094" s="20"/>
      <c r="AG1094" s="20"/>
      <c r="AH1094" s="20"/>
      <c r="AI1094" s="20"/>
      <c r="AJ1094" s="20"/>
      <c r="AK1094" s="20"/>
      <c r="AL1094" s="20"/>
      <c r="AM1094" s="20"/>
      <c r="AN1094" s="20"/>
      <c r="AO1094" s="20"/>
      <c r="AP1094" s="20"/>
      <c r="AQ1094" s="20"/>
      <c r="AR1094" s="20"/>
      <c r="AS1094" s="20"/>
    </row>
    <row r="1095">
      <c r="A1095" s="20"/>
      <c r="B1095" s="20"/>
      <c r="C1095" s="20"/>
      <c r="D1095" s="20"/>
      <c r="E1095" s="20"/>
      <c r="F1095" s="20"/>
      <c r="G1095" s="20"/>
      <c r="H1095" s="20"/>
      <c r="I1095" s="20"/>
      <c r="J1095" s="20"/>
      <c r="K1095" s="20"/>
      <c r="L1095" s="20"/>
      <c r="M1095" s="20"/>
      <c r="N1095" s="20"/>
      <c r="O1095" s="20"/>
      <c r="P1095" s="20"/>
      <c r="Q1095" s="20"/>
      <c r="R1095" s="20"/>
      <c r="S1095" s="20"/>
      <c r="T1095" s="20"/>
      <c r="U1095" s="20"/>
      <c r="V1095" s="20"/>
      <c r="W1095" s="20"/>
      <c r="X1095" s="20"/>
      <c r="Y1095" s="20"/>
      <c r="Z1095" s="20"/>
      <c r="AA1095" s="20"/>
      <c r="AB1095" s="20"/>
      <c r="AC1095" s="20"/>
      <c r="AD1095" s="20"/>
      <c r="AE1095" s="20"/>
      <c r="AF1095" s="20"/>
      <c r="AG1095" s="20"/>
      <c r="AH1095" s="20"/>
      <c r="AI1095" s="20"/>
      <c r="AJ1095" s="20"/>
      <c r="AK1095" s="20"/>
      <c r="AL1095" s="20"/>
      <c r="AM1095" s="20"/>
      <c r="AN1095" s="20"/>
      <c r="AO1095" s="20"/>
      <c r="AP1095" s="20"/>
      <c r="AQ1095" s="20"/>
      <c r="AR1095" s="20"/>
      <c r="AS1095" s="20"/>
    </row>
    <row r="1096">
      <c r="A1096" s="20"/>
      <c r="B1096" s="20"/>
      <c r="C1096" s="20"/>
      <c r="D1096" s="20"/>
      <c r="E1096" s="20"/>
      <c r="F1096" s="20"/>
      <c r="G1096" s="20"/>
      <c r="H1096" s="20"/>
      <c r="I1096" s="20"/>
      <c r="J1096" s="20"/>
      <c r="K1096" s="20"/>
      <c r="L1096" s="20"/>
      <c r="M1096" s="20"/>
      <c r="N1096" s="20"/>
      <c r="O1096" s="20"/>
      <c r="P1096" s="20"/>
      <c r="Q1096" s="20"/>
      <c r="R1096" s="20"/>
      <c r="S1096" s="20"/>
      <c r="T1096" s="20"/>
      <c r="U1096" s="20"/>
      <c r="V1096" s="20"/>
      <c r="W1096" s="20"/>
      <c r="X1096" s="20"/>
      <c r="Y1096" s="20"/>
      <c r="Z1096" s="20"/>
      <c r="AA1096" s="20"/>
      <c r="AB1096" s="20"/>
      <c r="AC1096" s="20"/>
      <c r="AD1096" s="20"/>
      <c r="AE1096" s="20"/>
      <c r="AF1096" s="20"/>
      <c r="AG1096" s="20"/>
      <c r="AH1096" s="20"/>
      <c r="AI1096" s="20"/>
      <c r="AJ1096" s="20"/>
      <c r="AK1096" s="20"/>
      <c r="AL1096" s="20"/>
      <c r="AM1096" s="20"/>
      <c r="AN1096" s="20"/>
      <c r="AO1096" s="20"/>
      <c r="AP1096" s="20"/>
      <c r="AQ1096" s="20"/>
      <c r="AR1096" s="20"/>
      <c r="AS1096" s="20"/>
    </row>
    <row r="1097">
      <c r="A1097" s="20"/>
      <c r="B1097" s="20"/>
      <c r="C1097" s="20"/>
      <c r="D1097" s="20"/>
      <c r="E1097" s="20"/>
      <c r="F1097" s="20"/>
      <c r="G1097" s="20"/>
      <c r="H1097" s="20"/>
      <c r="I1097" s="20"/>
      <c r="J1097" s="20"/>
      <c r="K1097" s="20"/>
      <c r="L1097" s="20"/>
      <c r="M1097" s="20"/>
      <c r="N1097" s="20"/>
      <c r="O1097" s="20"/>
      <c r="P1097" s="20"/>
      <c r="Q1097" s="20"/>
      <c r="R1097" s="20"/>
      <c r="S1097" s="20"/>
      <c r="T1097" s="20"/>
      <c r="U1097" s="20"/>
      <c r="V1097" s="20"/>
      <c r="W1097" s="20"/>
      <c r="X1097" s="20"/>
      <c r="Y1097" s="20"/>
      <c r="Z1097" s="20"/>
      <c r="AA1097" s="20"/>
      <c r="AB1097" s="20"/>
      <c r="AC1097" s="20"/>
      <c r="AD1097" s="20"/>
      <c r="AE1097" s="20"/>
      <c r="AF1097" s="20"/>
      <c r="AG1097" s="20"/>
      <c r="AH1097" s="20"/>
      <c r="AI1097" s="20"/>
      <c r="AJ1097" s="20"/>
      <c r="AK1097" s="20"/>
      <c r="AL1097" s="20"/>
      <c r="AM1097" s="20"/>
      <c r="AN1097" s="20"/>
      <c r="AO1097" s="20"/>
      <c r="AP1097" s="20"/>
      <c r="AQ1097" s="20"/>
      <c r="AR1097" s="20"/>
      <c r="AS1097" s="20"/>
    </row>
    <row r="1098">
      <c r="A1098" s="20"/>
      <c r="B1098" s="20"/>
      <c r="C1098" s="20"/>
      <c r="D1098" s="20"/>
      <c r="E1098" s="20"/>
      <c r="F1098" s="20"/>
      <c r="G1098" s="20"/>
      <c r="H1098" s="20"/>
      <c r="I1098" s="20"/>
      <c r="J1098" s="20"/>
      <c r="K1098" s="20"/>
      <c r="L1098" s="20"/>
      <c r="M1098" s="20"/>
      <c r="N1098" s="20"/>
      <c r="O1098" s="20"/>
      <c r="P1098" s="20"/>
      <c r="Q1098" s="20"/>
      <c r="R1098" s="20"/>
      <c r="S1098" s="20"/>
      <c r="T1098" s="20"/>
      <c r="U1098" s="20"/>
      <c r="V1098" s="20"/>
      <c r="W1098" s="20"/>
      <c r="X1098" s="20"/>
      <c r="Y1098" s="20"/>
      <c r="Z1098" s="20"/>
      <c r="AA1098" s="20"/>
      <c r="AB1098" s="20"/>
      <c r="AC1098" s="20"/>
      <c r="AD1098" s="20"/>
      <c r="AE1098" s="20"/>
      <c r="AF1098" s="20"/>
      <c r="AG1098" s="20"/>
      <c r="AH1098" s="20"/>
      <c r="AI1098" s="20"/>
      <c r="AJ1098" s="20"/>
      <c r="AK1098" s="20"/>
      <c r="AL1098" s="20"/>
      <c r="AM1098" s="20"/>
      <c r="AN1098" s="20"/>
      <c r="AO1098" s="20"/>
      <c r="AP1098" s="20"/>
      <c r="AQ1098" s="20"/>
      <c r="AR1098" s="20"/>
      <c r="AS1098" s="20"/>
    </row>
    <row r="1099">
      <c r="A1099" s="20"/>
      <c r="B1099" s="20"/>
      <c r="C1099" s="20"/>
      <c r="D1099" s="20"/>
      <c r="E1099" s="20"/>
      <c r="F1099" s="20"/>
      <c r="G1099" s="20"/>
      <c r="H1099" s="20"/>
      <c r="I1099" s="20"/>
      <c r="J1099" s="20"/>
      <c r="K1099" s="20"/>
      <c r="L1099" s="20"/>
      <c r="M1099" s="20"/>
      <c r="N1099" s="20"/>
      <c r="O1099" s="20"/>
      <c r="P1099" s="20"/>
      <c r="Q1099" s="20"/>
      <c r="R1099" s="20"/>
      <c r="S1099" s="20"/>
      <c r="T1099" s="20"/>
      <c r="U1099" s="20"/>
      <c r="V1099" s="20"/>
      <c r="W1099" s="20"/>
      <c r="X1099" s="20"/>
      <c r="Y1099" s="20"/>
      <c r="Z1099" s="20"/>
      <c r="AA1099" s="20"/>
      <c r="AB1099" s="20"/>
      <c r="AC1099" s="20"/>
      <c r="AD1099" s="20"/>
      <c r="AE1099" s="20"/>
      <c r="AF1099" s="20"/>
      <c r="AG1099" s="20"/>
      <c r="AH1099" s="20"/>
      <c r="AI1099" s="20"/>
      <c r="AJ1099" s="20"/>
      <c r="AK1099" s="20"/>
      <c r="AL1099" s="20"/>
      <c r="AM1099" s="20"/>
      <c r="AN1099" s="20"/>
      <c r="AO1099" s="20"/>
      <c r="AP1099" s="20"/>
      <c r="AQ1099" s="20"/>
      <c r="AR1099" s="20"/>
      <c r="AS1099" s="20"/>
    </row>
    <row r="1100">
      <c r="A1100" s="20"/>
      <c r="B1100" s="20"/>
      <c r="C1100" s="20"/>
      <c r="D1100" s="20"/>
      <c r="E1100" s="20"/>
      <c r="F1100" s="20"/>
      <c r="G1100" s="20"/>
      <c r="H1100" s="20"/>
      <c r="I1100" s="20"/>
      <c r="J1100" s="20"/>
      <c r="K1100" s="20"/>
      <c r="L1100" s="20"/>
      <c r="M1100" s="20"/>
      <c r="N1100" s="20"/>
      <c r="O1100" s="20"/>
      <c r="P1100" s="20"/>
      <c r="Q1100" s="20"/>
      <c r="R1100" s="20"/>
      <c r="S1100" s="20"/>
      <c r="T1100" s="20"/>
      <c r="U1100" s="20"/>
      <c r="V1100" s="20"/>
      <c r="W1100" s="20"/>
      <c r="X1100" s="20"/>
      <c r="Y1100" s="20"/>
      <c r="Z1100" s="20"/>
      <c r="AA1100" s="20"/>
      <c r="AB1100" s="20"/>
      <c r="AC1100" s="20"/>
      <c r="AD1100" s="20"/>
      <c r="AE1100" s="20"/>
      <c r="AF1100" s="20"/>
      <c r="AG1100" s="20"/>
      <c r="AH1100" s="20"/>
      <c r="AI1100" s="20"/>
      <c r="AJ1100" s="20"/>
      <c r="AK1100" s="20"/>
      <c r="AL1100" s="20"/>
      <c r="AM1100" s="20"/>
      <c r="AN1100" s="20"/>
      <c r="AO1100" s="20"/>
      <c r="AP1100" s="20"/>
      <c r="AQ1100" s="20"/>
      <c r="AR1100" s="20"/>
      <c r="AS1100" s="20"/>
    </row>
    <row r="1101">
      <c r="A1101" s="20"/>
      <c r="B1101" s="20"/>
      <c r="C1101" s="20"/>
      <c r="D1101" s="20"/>
      <c r="E1101" s="20"/>
      <c r="F1101" s="20"/>
      <c r="G1101" s="20"/>
      <c r="H1101" s="20"/>
      <c r="I1101" s="20"/>
      <c r="J1101" s="20"/>
      <c r="K1101" s="20"/>
      <c r="L1101" s="20"/>
      <c r="M1101" s="20"/>
      <c r="N1101" s="20"/>
      <c r="O1101" s="20"/>
      <c r="P1101" s="20"/>
      <c r="Q1101" s="20"/>
      <c r="R1101" s="20"/>
      <c r="S1101" s="20"/>
      <c r="T1101" s="20"/>
      <c r="U1101" s="20"/>
      <c r="V1101" s="20"/>
      <c r="W1101" s="20"/>
      <c r="X1101" s="20"/>
      <c r="Y1101" s="20"/>
      <c r="Z1101" s="20"/>
      <c r="AA1101" s="20"/>
      <c r="AB1101" s="20"/>
      <c r="AC1101" s="20"/>
      <c r="AD1101" s="20"/>
      <c r="AE1101" s="20"/>
      <c r="AF1101" s="20"/>
      <c r="AG1101" s="20"/>
      <c r="AH1101" s="20"/>
      <c r="AI1101" s="20"/>
      <c r="AJ1101" s="20"/>
      <c r="AK1101" s="20"/>
      <c r="AL1101" s="20"/>
      <c r="AM1101" s="20"/>
      <c r="AN1101" s="20"/>
      <c r="AO1101" s="20"/>
      <c r="AP1101" s="20"/>
      <c r="AQ1101" s="20"/>
      <c r="AR1101" s="20"/>
      <c r="AS1101" s="20"/>
    </row>
    <row r="1102">
      <c r="A1102" s="20"/>
      <c r="B1102" s="20"/>
      <c r="C1102" s="20"/>
      <c r="D1102" s="20"/>
      <c r="E1102" s="20"/>
      <c r="F1102" s="20"/>
      <c r="G1102" s="20"/>
      <c r="H1102" s="20"/>
      <c r="I1102" s="20"/>
      <c r="J1102" s="20"/>
      <c r="K1102" s="20"/>
      <c r="L1102" s="20"/>
      <c r="M1102" s="20"/>
      <c r="N1102" s="20"/>
      <c r="O1102" s="20"/>
      <c r="P1102" s="20"/>
      <c r="Q1102" s="20"/>
      <c r="R1102" s="20"/>
      <c r="S1102" s="20"/>
      <c r="T1102" s="20"/>
      <c r="U1102" s="20"/>
      <c r="V1102" s="20"/>
      <c r="W1102" s="20"/>
      <c r="X1102" s="20"/>
      <c r="Y1102" s="20"/>
      <c r="Z1102" s="20"/>
      <c r="AA1102" s="20"/>
      <c r="AB1102" s="20"/>
      <c r="AC1102" s="20"/>
      <c r="AD1102" s="20"/>
      <c r="AE1102" s="20"/>
      <c r="AF1102" s="20"/>
      <c r="AG1102" s="20"/>
      <c r="AH1102" s="20"/>
      <c r="AI1102" s="20"/>
      <c r="AJ1102" s="20"/>
      <c r="AK1102" s="20"/>
      <c r="AL1102" s="20"/>
      <c r="AM1102" s="20"/>
      <c r="AN1102" s="20"/>
      <c r="AO1102" s="20"/>
      <c r="AP1102" s="20"/>
      <c r="AQ1102" s="20"/>
      <c r="AR1102" s="20"/>
      <c r="AS1102" s="20"/>
    </row>
    <row r="1103">
      <c r="A1103" s="20"/>
      <c r="B1103" s="20"/>
      <c r="C1103" s="20"/>
      <c r="D1103" s="20"/>
      <c r="E1103" s="20"/>
      <c r="F1103" s="20"/>
      <c r="G1103" s="20"/>
      <c r="H1103" s="20"/>
      <c r="I1103" s="20"/>
      <c r="J1103" s="20"/>
      <c r="K1103" s="20"/>
      <c r="L1103" s="20"/>
      <c r="M1103" s="20"/>
      <c r="N1103" s="20"/>
      <c r="O1103" s="20"/>
      <c r="P1103" s="20"/>
      <c r="Q1103" s="20"/>
      <c r="R1103" s="20"/>
      <c r="S1103" s="20"/>
      <c r="T1103" s="20"/>
      <c r="U1103" s="20"/>
      <c r="V1103" s="20"/>
      <c r="W1103" s="20"/>
      <c r="X1103" s="20"/>
      <c r="Y1103" s="20"/>
      <c r="Z1103" s="20"/>
      <c r="AA1103" s="20"/>
      <c r="AB1103" s="20"/>
      <c r="AC1103" s="20"/>
      <c r="AD1103" s="20"/>
      <c r="AE1103" s="20"/>
      <c r="AF1103" s="20"/>
      <c r="AG1103" s="20"/>
      <c r="AH1103" s="20"/>
      <c r="AI1103" s="20"/>
      <c r="AJ1103" s="20"/>
      <c r="AK1103" s="20"/>
      <c r="AL1103" s="20"/>
      <c r="AM1103" s="20"/>
      <c r="AN1103" s="20"/>
      <c r="AO1103" s="20"/>
      <c r="AP1103" s="20"/>
      <c r="AQ1103" s="20"/>
      <c r="AR1103" s="20"/>
      <c r="AS1103" s="20"/>
    </row>
    <row r="1104">
      <c r="A1104" s="20"/>
      <c r="B1104" s="20"/>
      <c r="C1104" s="20"/>
      <c r="D1104" s="20"/>
      <c r="E1104" s="20"/>
      <c r="F1104" s="20"/>
      <c r="G1104" s="20"/>
      <c r="H1104" s="20"/>
      <c r="I1104" s="20"/>
      <c r="J1104" s="20"/>
      <c r="K1104" s="20"/>
      <c r="L1104" s="20"/>
      <c r="M1104" s="20"/>
      <c r="N1104" s="20"/>
      <c r="O1104" s="20"/>
      <c r="P1104" s="20"/>
      <c r="Q1104" s="20"/>
      <c r="R1104" s="20"/>
      <c r="S1104" s="20"/>
      <c r="T1104" s="20"/>
      <c r="U1104" s="20"/>
      <c r="V1104" s="20"/>
      <c r="W1104" s="20"/>
      <c r="X1104" s="20"/>
      <c r="Y1104" s="20"/>
      <c r="Z1104" s="20"/>
      <c r="AA1104" s="20"/>
      <c r="AB1104" s="20"/>
      <c r="AC1104" s="20"/>
      <c r="AD1104" s="20"/>
      <c r="AE1104" s="20"/>
      <c r="AF1104" s="20"/>
      <c r="AG1104" s="20"/>
      <c r="AH1104" s="20"/>
      <c r="AI1104" s="20"/>
      <c r="AJ1104" s="20"/>
      <c r="AK1104" s="20"/>
      <c r="AL1104" s="20"/>
      <c r="AM1104" s="20"/>
      <c r="AN1104" s="20"/>
      <c r="AO1104" s="20"/>
      <c r="AP1104" s="20"/>
      <c r="AQ1104" s="20"/>
      <c r="AR1104" s="20"/>
      <c r="AS1104" s="20"/>
    </row>
    <row r="1105">
      <c r="A1105" s="20"/>
      <c r="B1105" s="20"/>
      <c r="C1105" s="20"/>
      <c r="D1105" s="20"/>
      <c r="E1105" s="20"/>
      <c r="F1105" s="20"/>
      <c r="G1105" s="20"/>
      <c r="H1105" s="20"/>
      <c r="I1105" s="20"/>
      <c r="J1105" s="20"/>
      <c r="K1105" s="20"/>
      <c r="L1105" s="20"/>
      <c r="M1105" s="20"/>
      <c r="N1105" s="20"/>
      <c r="O1105" s="20"/>
      <c r="P1105" s="20"/>
      <c r="Q1105" s="20"/>
      <c r="R1105" s="20"/>
      <c r="S1105" s="20"/>
      <c r="T1105" s="20"/>
      <c r="U1105" s="20"/>
      <c r="V1105" s="20"/>
      <c r="W1105" s="20"/>
      <c r="X1105" s="20"/>
      <c r="Y1105" s="20"/>
      <c r="Z1105" s="20"/>
      <c r="AA1105" s="20"/>
      <c r="AB1105" s="20"/>
      <c r="AC1105" s="20"/>
      <c r="AD1105" s="20"/>
      <c r="AE1105" s="20"/>
      <c r="AF1105" s="20"/>
      <c r="AG1105" s="20"/>
      <c r="AH1105" s="20"/>
      <c r="AI1105" s="20"/>
      <c r="AJ1105" s="20"/>
      <c r="AK1105" s="20"/>
      <c r="AL1105" s="20"/>
      <c r="AM1105" s="20"/>
      <c r="AN1105" s="20"/>
      <c r="AO1105" s="20"/>
      <c r="AP1105" s="20"/>
      <c r="AQ1105" s="20"/>
      <c r="AR1105" s="20"/>
      <c r="AS1105" s="20"/>
    </row>
    <row r="1106">
      <c r="A1106" s="20"/>
      <c r="B1106" s="20"/>
      <c r="C1106" s="20"/>
      <c r="D1106" s="20"/>
      <c r="E1106" s="20"/>
      <c r="F1106" s="20"/>
      <c r="G1106" s="20"/>
      <c r="H1106" s="20"/>
      <c r="I1106" s="20"/>
      <c r="J1106" s="20"/>
      <c r="K1106" s="20"/>
      <c r="L1106" s="20"/>
      <c r="M1106" s="20"/>
      <c r="N1106" s="20"/>
      <c r="O1106" s="20"/>
      <c r="P1106" s="20"/>
      <c r="Q1106" s="20"/>
      <c r="R1106" s="20"/>
      <c r="S1106" s="20"/>
      <c r="T1106" s="20"/>
      <c r="U1106" s="20"/>
      <c r="V1106" s="20"/>
      <c r="W1106" s="20"/>
      <c r="X1106" s="20"/>
      <c r="Y1106" s="20"/>
      <c r="Z1106" s="20"/>
      <c r="AA1106" s="20"/>
      <c r="AB1106" s="20"/>
      <c r="AC1106" s="20"/>
      <c r="AD1106" s="20"/>
      <c r="AE1106" s="20"/>
      <c r="AF1106" s="20"/>
      <c r="AG1106" s="20"/>
      <c r="AH1106" s="20"/>
      <c r="AI1106" s="20"/>
      <c r="AJ1106" s="20"/>
      <c r="AK1106" s="20"/>
      <c r="AL1106" s="20"/>
      <c r="AM1106" s="20"/>
      <c r="AN1106" s="20"/>
      <c r="AO1106" s="20"/>
      <c r="AP1106" s="20"/>
      <c r="AQ1106" s="20"/>
      <c r="AR1106" s="20"/>
      <c r="AS1106" s="20"/>
    </row>
    <row r="1107">
      <c r="A1107" s="20"/>
      <c r="B1107" s="20"/>
      <c r="C1107" s="20"/>
      <c r="D1107" s="20"/>
      <c r="E1107" s="20"/>
      <c r="F1107" s="20"/>
      <c r="G1107" s="20"/>
      <c r="H1107" s="20"/>
      <c r="I1107" s="20"/>
      <c r="J1107" s="20"/>
      <c r="K1107" s="20"/>
      <c r="L1107" s="20"/>
      <c r="M1107" s="20"/>
      <c r="N1107" s="20"/>
      <c r="O1107" s="20"/>
      <c r="P1107" s="20"/>
      <c r="Q1107" s="20"/>
      <c r="R1107" s="20"/>
      <c r="S1107" s="20"/>
      <c r="T1107" s="20"/>
      <c r="U1107" s="20"/>
      <c r="V1107" s="20"/>
      <c r="W1107" s="20"/>
      <c r="X1107" s="20"/>
      <c r="Y1107" s="20"/>
      <c r="Z1107" s="20"/>
      <c r="AA1107" s="20"/>
      <c r="AB1107" s="20"/>
      <c r="AC1107" s="20"/>
      <c r="AD1107" s="20"/>
      <c r="AE1107" s="20"/>
      <c r="AF1107" s="20"/>
      <c r="AG1107" s="20"/>
      <c r="AH1107" s="20"/>
      <c r="AI1107" s="20"/>
      <c r="AJ1107" s="20"/>
      <c r="AK1107" s="20"/>
      <c r="AL1107" s="20"/>
      <c r="AM1107" s="20"/>
      <c r="AN1107" s="20"/>
      <c r="AO1107" s="20"/>
      <c r="AP1107" s="20"/>
      <c r="AQ1107" s="20"/>
      <c r="AR1107" s="20"/>
      <c r="AS1107" s="20"/>
    </row>
    <row r="1108">
      <c r="A1108" s="20"/>
      <c r="B1108" s="20"/>
      <c r="C1108" s="20"/>
      <c r="D1108" s="20"/>
      <c r="E1108" s="20"/>
      <c r="F1108" s="20"/>
      <c r="G1108" s="20"/>
      <c r="H1108" s="20"/>
      <c r="I1108" s="20"/>
      <c r="J1108" s="20"/>
      <c r="K1108" s="20"/>
      <c r="L1108" s="20"/>
      <c r="M1108" s="20"/>
      <c r="N1108" s="20"/>
      <c r="O1108" s="20"/>
      <c r="P1108" s="20"/>
      <c r="Q1108" s="20"/>
      <c r="R1108" s="20"/>
      <c r="S1108" s="20"/>
      <c r="T1108" s="20"/>
      <c r="U1108" s="20"/>
      <c r="V1108" s="20"/>
      <c r="W1108" s="20"/>
      <c r="X1108" s="20"/>
      <c r="Y1108" s="20"/>
      <c r="Z1108" s="20"/>
      <c r="AA1108" s="20"/>
      <c r="AB1108" s="20"/>
      <c r="AC1108" s="20"/>
      <c r="AD1108" s="20"/>
      <c r="AE1108" s="20"/>
      <c r="AF1108" s="20"/>
      <c r="AG1108" s="20"/>
      <c r="AH1108" s="20"/>
      <c r="AI1108" s="20"/>
      <c r="AJ1108" s="20"/>
      <c r="AK1108" s="20"/>
      <c r="AL1108" s="20"/>
      <c r="AM1108" s="20"/>
      <c r="AN1108" s="20"/>
      <c r="AO1108" s="20"/>
      <c r="AP1108" s="20"/>
      <c r="AQ1108" s="20"/>
      <c r="AR1108" s="20"/>
      <c r="AS1108" s="20"/>
    </row>
    <row r="1109">
      <c r="A1109" s="20"/>
      <c r="B1109" s="20"/>
      <c r="C1109" s="20"/>
      <c r="D1109" s="20"/>
      <c r="E1109" s="20"/>
      <c r="F1109" s="20"/>
      <c r="G1109" s="20"/>
      <c r="H1109" s="20"/>
      <c r="I1109" s="20"/>
      <c r="J1109" s="20"/>
      <c r="K1109" s="20"/>
      <c r="L1109" s="20"/>
      <c r="M1109" s="20"/>
      <c r="N1109" s="20"/>
      <c r="O1109" s="20"/>
      <c r="P1109" s="20"/>
      <c r="Q1109" s="20"/>
      <c r="R1109" s="20"/>
      <c r="S1109" s="20"/>
      <c r="T1109" s="20"/>
      <c r="U1109" s="20"/>
      <c r="V1109" s="20"/>
      <c r="W1109" s="20"/>
      <c r="X1109" s="20"/>
      <c r="Y1109" s="20"/>
      <c r="Z1109" s="20"/>
      <c r="AA1109" s="20"/>
      <c r="AB1109" s="20"/>
      <c r="AC1109" s="20"/>
      <c r="AD1109" s="20"/>
      <c r="AE1109" s="20"/>
      <c r="AF1109" s="20"/>
      <c r="AG1109" s="20"/>
      <c r="AH1109" s="20"/>
      <c r="AI1109" s="20"/>
      <c r="AJ1109" s="20"/>
      <c r="AK1109" s="20"/>
      <c r="AL1109" s="20"/>
      <c r="AM1109" s="20"/>
      <c r="AN1109" s="20"/>
      <c r="AO1109" s="20"/>
      <c r="AP1109" s="20"/>
      <c r="AQ1109" s="20"/>
      <c r="AR1109" s="20"/>
      <c r="AS1109" s="20"/>
    </row>
    <row r="1110">
      <c r="A1110" s="20"/>
      <c r="B1110" s="20"/>
      <c r="C1110" s="20"/>
      <c r="D1110" s="20"/>
      <c r="E1110" s="20"/>
      <c r="F1110" s="20"/>
      <c r="G1110" s="20"/>
      <c r="H1110" s="20"/>
      <c r="I1110" s="20"/>
      <c r="J1110" s="20"/>
      <c r="K1110" s="20"/>
      <c r="L1110" s="20"/>
      <c r="M1110" s="20"/>
      <c r="N1110" s="20"/>
      <c r="O1110" s="20"/>
      <c r="P1110" s="20"/>
      <c r="Q1110" s="20"/>
      <c r="R1110" s="20"/>
      <c r="S1110" s="20"/>
      <c r="T1110" s="20"/>
      <c r="U1110" s="20"/>
      <c r="V1110" s="20"/>
      <c r="W1110" s="20"/>
      <c r="X1110" s="20"/>
      <c r="Y1110" s="20"/>
      <c r="Z1110" s="20"/>
      <c r="AA1110" s="20"/>
      <c r="AB1110" s="20"/>
      <c r="AC1110" s="20"/>
      <c r="AD1110" s="20"/>
      <c r="AE1110" s="20"/>
      <c r="AF1110" s="20"/>
      <c r="AG1110" s="20"/>
      <c r="AH1110" s="20"/>
      <c r="AI1110" s="20"/>
      <c r="AJ1110" s="20"/>
      <c r="AK1110" s="20"/>
      <c r="AL1110" s="20"/>
      <c r="AM1110" s="20"/>
      <c r="AN1110" s="20"/>
      <c r="AO1110" s="20"/>
      <c r="AP1110" s="20"/>
      <c r="AQ1110" s="20"/>
      <c r="AR1110" s="20"/>
      <c r="AS1110" s="20"/>
    </row>
    <row r="1111">
      <c r="A1111" s="20"/>
      <c r="B1111" s="20"/>
      <c r="C1111" s="20"/>
      <c r="D1111" s="20"/>
      <c r="E1111" s="20"/>
      <c r="F1111" s="20"/>
      <c r="G1111" s="20"/>
      <c r="H1111" s="20"/>
      <c r="I1111" s="20"/>
      <c r="J1111" s="20"/>
      <c r="K1111" s="20"/>
      <c r="L1111" s="20"/>
      <c r="M1111" s="20"/>
      <c r="N1111" s="20"/>
      <c r="O1111" s="20"/>
      <c r="P1111" s="20"/>
      <c r="Q1111" s="20"/>
      <c r="R1111" s="20"/>
      <c r="S1111" s="20"/>
      <c r="T1111" s="20"/>
      <c r="U1111" s="20"/>
      <c r="V1111" s="20"/>
      <c r="W1111" s="20"/>
      <c r="X1111" s="20"/>
      <c r="Y1111" s="20"/>
      <c r="Z1111" s="20"/>
      <c r="AA1111" s="20"/>
      <c r="AB1111" s="20"/>
      <c r="AC1111" s="20"/>
      <c r="AD1111" s="20"/>
      <c r="AE1111" s="20"/>
      <c r="AF1111" s="20"/>
      <c r="AG1111" s="20"/>
      <c r="AH1111" s="20"/>
      <c r="AI1111" s="20"/>
      <c r="AJ1111" s="20"/>
      <c r="AK1111" s="20"/>
      <c r="AL1111" s="20"/>
      <c r="AM1111" s="20"/>
      <c r="AN1111" s="20"/>
      <c r="AO1111" s="20"/>
      <c r="AP1111" s="20"/>
      <c r="AQ1111" s="20"/>
      <c r="AR1111" s="20"/>
      <c r="AS1111" s="20"/>
    </row>
    <row r="1112">
      <c r="A1112" s="20"/>
      <c r="B1112" s="20"/>
      <c r="C1112" s="20"/>
      <c r="D1112" s="20"/>
      <c r="E1112" s="20"/>
      <c r="F1112" s="20"/>
      <c r="G1112" s="20"/>
      <c r="H1112" s="20"/>
      <c r="I1112" s="20"/>
      <c r="J1112" s="20"/>
      <c r="K1112" s="20"/>
      <c r="L1112" s="20"/>
      <c r="M1112" s="20"/>
      <c r="N1112" s="20"/>
      <c r="O1112" s="20"/>
      <c r="P1112" s="20"/>
      <c r="Q1112" s="20"/>
      <c r="R1112" s="20"/>
      <c r="S1112" s="20"/>
      <c r="T1112" s="20"/>
      <c r="U1112" s="20"/>
      <c r="V1112" s="20"/>
      <c r="W1112" s="20"/>
      <c r="X1112" s="20"/>
      <c r="Y1112" s="20"/>
      <c r="Z1112" s="20"/>
      <c r="AA1112" s="20"/>
      <c r="AB1112" s="20"/>
      <c r="AC1112" s="20"/>
      <c r="AD1112" s="20"/>
      <c r="AE1112" s="20"/>
      <c r="AF1112" s="20"/>
      <c r="AG1112" s="20"/>
      <c r="AH1112" s="20"/>
      <c r="AI1112" s="20"/>
      <c r="AJ1112" s="20"/>
      <c r="AK1112" s="20"/>
      <c r="AL1112" s="20"/>
      <c r="AM1112" s="20"/>
      <c r="AN1112" s="20"/>
      <c r="AO1112" s="20"/>
      <c r="AP1112" s="20"/>
      <c r="AQ1112" s="20"/>
      <c r="AR1112" s="20"/>
      <c r="AS1112" s="20"/>
    </row>
    <row r="1113">
      <c r="A1113" s="20"/>
      <c r="B1113" s="20"/>
      <c r="C1113" s="20"/>
      <c r="D1113" s="20"/>
      <c r="E1113" s="20"/>
      <c r="F1113" s="20"/>
      <c r="G1113" s="20"/>
      <c r="H1113" s="20"/>
      <c r="I1113" s="20"/>
      <c r="J1113" s="20"/>
      <c r="K1113" s="20"/>
      <c r="L1113" s="20"/>
      <c r="M1113" s="20"/>
      <c r="N1113" s="20"/>
      <c r="O1113" s="20"/>
      <c r="P1113" s="20"/>
      <c r="Q1113" s="20"/>
      <c r="R1113" s="20"/>
      <c r="S1113" s="20"/>
      <c r="T1113" s="20"/>
      <c r="U1113" s="20"/>
      <c r="V1113" s="20"/>
      <c r="W1113" s="20"/>
      <c r="X1113" s="20"/>
      <c r="Y1113" s="20"/>
      <c r="Z1113" s="20"/>
      <c r="AA1113" s="20"/>
      <c r="AB1113" s="20"/>
      <c r="AC1113" s="20"/>
      <c r="AD1113" s="20"/>
      <c r="AE1113" s="20"/>
      <c r="AF1113" s="20"/>
      <c r="AG1113" s="20"/>
      <c r="AH1113" s="20"/>
      <c r="AI1113" s="20"/>
      <c r="AJ1113" s="20"/>
      <c r="AK1113" s="20"/>
      <c r="AL1113" s="20"/>
      <c r="AM1113" s="20"/>
      <c r="AN1113" s="20"/>
      <c r="AO1113" s="20"/>
      <c r="AP1113" s="20"/>
      <c r="AQ1113" s="20"/>
      <c r="AR1113" s="20"/>
      <c r="AS1113" s="20"/>
    </row>
    <row r="1114">
      <c r="A1114" s="20"/>
      <c r="B1114" s="20"/>
      <c r="C1114" s="20"/>
      <c r="D1114" s="20"/>
      <c r="E1114" s="20"/>
      <c r="F1114" s="20"/>
      <c r="G1114" s="20"/>
      <c r="H1114" s="20"/>
      <c r="I1114" s="20"/>
      <c r="J1114" s="20"/>
      <c r="K1114" s="20"/>
      <c r="L1114" s="20"/>
      <c r="M1114" s="20"/>
      <c r="N1114" s="20"/>
      <c r="O1114" s="20"/>
      <c r="P1114" s="20"/>
      <c r="Q1114" s="20"/>
      <c r="R1114" s="20"/>
      <c r="S1114" s="20"/>
      <c r="T1114" s="20"/>
      <c r="U1114" s="20"/>
      <c r="V1114" s="20"/>
      <c r="W1114" s="20"/>
      <c r="X1114" s="20"/>
      <c r="Y1114" s="20"/>
      <c r="Z1114" s="20"/>
      <c r="AA1114" s="20"/>
      <c r="AB1114" s="20"/>
      <c r="AC1114" s="20"/>
      <c r="AD1114" s="20"/>
      <c r="AE1114" s="20"/>
      <c r="AF1114" s="20"/>
      <c r="AG1114" s="20"/>
      <c r="AH1114" s="20"/>
      <c r="AI1114" s="20"/>
      <c r="AJ1114" s="20"/>
      <c r="AK1114" s="20"/>
      <c r="AL1114" s="20"/>
      <c r="AM1114" s="20"/>
      <c r="AN1114" s="20"/>
      <c r="AO1114" s="20"/>
      <c r="AP1114" s="20"/>
      <c r="AQ1114" s="20"/>
      <c r="AR1114" s="20"/>
      <c r="AS1114" s="20"/>
    </row>
    <row r="1115">
      <c r="A1115" s="20"/>
      <c r="B1115" s="20"/>
      <c r="C1115" s="20"/>
      <c r="D1115" s="20"/>
      <c r="E1115" s="20"/>
      <c r="F1115" s="20"/>
      <c r="G1115" s="20"/>
      <c r="H1115" s="20"/>
      <c r="I1115" s="20"/>
      <c r="J1115" s="20"/>
      <c r="K1115" s="20"/>
      <c r="L1115" s="20"/>
      <c r="M1115" s="20"/>
      <c r="N1115" s="20"/>
      <c r="O1115" s="20"/>
      <c r="P1115" s="20"/>
      <c r="Q1115" s="20"/>
      <c r="R1115" s="20"/>
      <c r="S1115" s="20"/>
      <c r="T1115" s="20"/>
      <c r="U1115" s="20"/>
      <c r="V1115" s="20"/>
      <c r="W1115" s="20"/>
      <c r="X1115" s="20"/>
      <c r="Y1115" s="20"/>
      <c r="Z1115" s="20"/>
      <c r="AA1115" s="20"/>
      <c r="AB1115" s="20"/>
      <c r="AC1115" s="20"/>
      <c r="AD1115" s="20"/>
      <c r="AE1115" s="20"/>
      <c r="AF1115" s="20"/>
      <c r="AG1115" s="20"/>
      <c r="AH1115" s="20"/>
      <c r="AI1115" s="20"/>
      <c r="AJ1115" s="20"/>
      <c r="AK1115" s="20"/>
      <c r="AL1115" s="20"/>
      <c r="AM1115" s="20"/>
      <c r="AN1115" s="20"/>
      <c r="AO1115" s="20"/>
      <c r="AP1115" s="20"/>
      <c r="AQ1115" s="20"/>
      <c r="AR1115" s="20"/>
      <c r="AS1115" s="20"/>
    </row>
    <row r="1116">
      <c r="A1116" s="20"/>
      <c r="B1116" s="20"/>
      <c r="C1116" s="20"/>
      <c r="D1116" s="20"/>
      <c r="E1116" s="20"/>
      <c r="F1116" s="20"/>
      <c r="G1116" s="20"/>
      <c r="H1116" s="20"/>
      <c r="I1116" s="20"/>
      <c r="J1116" s="20"/>
      <c r="K1116" s="20"/>
      <c r="L1116" s="20"/>
      <c r="M1116" s="20"/>
      <c r="N1116" s="20"/>
      <c r="O1116" s="20"/>
      <c r="P1116" s="20"/>
      <c r="Q1116" s="20"/>
      <c r="R1116" s="20"/>
      <c r="S1116" s="20"/>
      <c r="T1116" s="20"/>
      <c r="U1116" s="20"/>
      <c r="V1116" s="20"/>
      <c r="W1116" s="20"/>
      <c r="X1116" s="20"/>
      <c r="Y1116" s="20"/>
      <c r="Z1116" s="20"/>
      <c r="AA1116" s="20"/>
      <c r="AB1116" s="20"/>
      <c r="AC1116" s="20"/>
      <c r="AD1116" s="20"/>
      <c r="AE1116" s="20"/>
      <c r="AF1116" s="20"/>
      <c r="AG1116" s="20"/>
      <c r="AH1116" s="20"/>
      <c r="AI1116" s="20"/>
      <c r="AJ1116" s="20"/>
      <c r="AK1116" s="20"/>
      <c r="AL1116" s="20"/>
      <c r="AM1116" s="20"/>
      <c r="AN1116" s="20"/>
      <c r="AO1116" s="20"/>
      <c r="AP1116" s="20"/>
      <c r="AQ1116" s="20"/>
      <c r="AR1116" s="20"/>
      <c r="AS1116" s="20"/>
    </row>
    <row r="1117">
      <c r="A1117" s="20"/>
      <c r="B1117" s="20"/>
      <c r="C1117" s="20"/>
      <c r="D1117" s="20"/>
      <c r="E1117" s="20"/>
      <c r="F1117" s="20"/>
      <c r="G1117" s="20"/>
      <c r="H1117" s="20"/>
      <c r="I1117" s="20"/>
      <c r="J1117" s="20"/>
      <c r="K1117" s="20"/>
      <c r="L1117" s="20"/>
      <c r="M1117" s="20"/>
      <c r="N1117" s="20"/>
      <c r="O1117" s="20"/>
      <c r="P1117" s="20"/>
      <c r="Q1117" s="20"/>
      <c r="R1117" s="20"/>
      <c r="S1117" s="20"/>
      <c r="T1117" s="20"/>
      <c r="U1117" s="20"/>
      <c r="V1117" s="20"/>
      <c r="W1117" s="20"/>
      <c r="X1117" s="20"/>
      <c r="Y1117" s="20"/>
      <c r="Z1117" s="20"/>
      <c r="AA1117" s="20"/>
      <c r="AB1117" s="20"/>
      <c r="AC1117" s="20"/>
      <c r="AD1117" s="20"/>
      <c r="AE1117" s="20"/>
      <c r="AF1117" s="20"/>
      <c r="AG1117" s="20"/>
      <c r="AH1117" s="20"/>
      <c r="AI1117" s="20"/>
      <c r="AJ1117" s="20"/>
      <c r="AK1117" s="20"/>
      <c r="AL1117" s="20"/>
      <c r="AM1117" s="20"/>
      <c r="AN1117" s="20"/>
      <c r="AO1117" s="20"/>
      <c r="AP1117" s="20"/>
      <c r="AQ1117" s="20"/>
      <c r="AR1117" s="20"/>
      <c r="AS1117" s="20"/>
    </row>
    <row r="1118">
      <c r="A1118" s="20"/>
      <c r="B1118" s="20"/>
      <c r="C1118" s="20"/>
      <c r="D1118" s="20"/>
      <c r="E1118" s="20"/>
      <c r="F1118" s="20"/>
      <c r="G1118" s="20"/>
      <c r="H1118" s="20"/>
      <c r="I1118" s="20"/>
      <c r="J1118" s="20"/>
      <c r="K1118" s="20"/>
      <c r="L1118" s="20"/>
      <c r="M1118" s="20"/>
      <c r="N1118" s="20"/>
      <c r="O1118" s="20"/>
      <c r="P1118" s="20"/>
      <c r="Q1118" s="20"/>
      <c r="R1118" s="20"/>
      <c r="S1118" s="20"/>
      <c r="T1118" s="20"/>
      <c r="U1118" s="20"/>
      <c r="V1118" s="20"/>
      <c r="W1118" s="20"/>
      <c r="X1118" s="20"/>
      <c r="Y1118" s="20"/>
      <c r="Z1118" s="20"/>
      <c r="AA1118" s="20"/>
      <c r="AB1118" s="20"/>
      <c r="AC1118" s="20"/>
      <c r="AD1118" s="20"/>
      <c r="AE1118" s="20"/>
      <c r="AF1118" s="20"/>
      <c r="AG1118" s="20"/>
      <c r="AH1118" s="20"/>
      <c r="AI1118" s="20"/>
      <c r="AJ1118" s="20"/>
      <c r="AK1118" s="20"/>
      <c r="AL1118" s="20"/>
      <c r="AM1118" s="20"/>
      <c r="AN1118" s="20"/>
      <c r="AO1118" s="20"/>
      <c r="AP1118" s="20"/>
      <c r="AQ1118" s="20"/>
      <c r="AR1118" s="20"/>
      <c r="AS1118" s="20"/>
    </row>
    <row r="1119">
      <c r="A1119" s="20"/>
      <c r="B1119" s="20"/>
      <c r="C1119" s="20"/>
      <c r="D1119" s="20"/>
      <c r="E1119" s="20"/>
      <c r="F1119" s="20"/>
      <c r="G1119" s="20"/>
      <c r="H1119" s="20"/>
      <c r="I1119" s="20"/>
      <c r="J1119" s="20"/>
      <c r="K1119" s="20"/>
      <c r="L1119" s="20"/>
      <c r="M1119" s="20"/>
      <c r="N1119" s="20"/>
      <c r="O1119" s="20"/>
      <c r="P1119" s="20"/>
      <c r="Q1119" s="20"/>
      <c r="R1119" s="20"/>
      <c r="S1119" s="20"/>
      <c r="T1119" s="20"/>
      <c r="U1119" s="20"/>
      <c r="V1119" s="20"/>
      <c r="W1119" s="20"/>
      <c r="X1119" s="20"/>
      <c r="Y1119" s="20"/>
      <c r="Z1119" s="20"/>
      <c r="AA1119" s="20"/>
      <c r="AB1119" s="20"/>
      <c r="AC1119" s="20"/>
      <c r="AD1119" s="20"/>
      <c r="AE1119" s="20"/>
      <c r="AF1119" s="20"/>
      <c r="AG1119" s="20"/>
      <c r="AH1119" s="20"/>
      <c r="AI1119" s="20"/>
      <c r="AJ1119" s="20"/>
      <c r="AK1119" s="20"/>
      <c r="AL1119" s="20"/>
      <c r="AM1119" s="20"/>
      <c r="AN1119" s="20"/>
      <c r="AO1119" s="20"/>
      <c r="AP1119" s="20"/>
      <c r="AQ1119" s="20"/>
      <c r="AR1119" s="20"/>
      <c r="AS1119" s="20"/>
    </row>
    <row r="1120">
      <c r="A1120" s="20"/>
      <c r="B1120" s="20"/>
      <c r="C1120" s="20"/>
      <c r="D1120" s="20"/>
      <c r="E1120" s="20"/>
      <c r="F1120" s="20"/>
      <c r="G1120" s="20"/>
      <c r="H1120" s="20"/>
      <c r="I1120" s="20"/>
      <c r="J1120" s="20"/>
      <c r="K1120" s="20"/>
      <c r="L1120" s="20"/>
      <c r="M1120" s="20"/>
      <c r="N1120" s="20"/>
      <c r="O1120" s="20"/>
      <c r="P1120" s="20"/>
      <c r="Q1120" s="20"/>
      <c r="R1120" s="20"/>
      <c r="S1120" s="20"/>
      <c r="T1120" s="20"/>
      <c r="U1120" s="20"/>
      <c r="V1120" s="20"/>
      <c r="W1120" s="20"/>
      <c r="X1120" s="20"/>
      <c r="Y1120" s="20"/>
      <c r="Z1120" s="20"/>
      <c r="AA1120" s="20"/>
      <c r="AB1120" s="20"/>
      <c r="AC1120" s="20"/>
      <c r="AD1120" s="20"/>
      <c r="AE1120" s="20"/>
      <c r="AF1120" s="20"/>
      <c r="AG1120" s="20"/>
      <c r="AH1120" s="20"/>
      <c r="AI1120" s="20"/>
      <c r="AJ1120" s="20"/>
      <c r="AK1120" s="20"/>
      <c r="AL1120" s="20"/>
      <c r="AM1120" s="20"/>
      <c r="AN1120" s="20"/>
      <c r="AO1120" s="20"/>
      <c r="AP1120" s="20"/>
      <c r="AQ1120" s="20"/>
      <c r="AR1120" s="20"/>
      <c r="AS1120" s="20"/>
    </row>
    <row r="1121">
      <c r="A1121" s="20"/>
      <c r="B1121" s="20"/>
      <c r="C1121" s="20"/>
      <c r="D1121" s="20"/>
      <c r="E1121" s="20"/>
      <c r="F1121" s="20"/>
      <c r="G1121" s="20"/>
      <c r="H1121" s="20"/>
      <c r="I1121" s="20"/>
      <c r="J1121" s="20"/>
      <c r="K1121" s="20"/>
      <c r="L1121" s="20"/>
      <c r="M1121" s="20"/>
      <c r="N1121" s="20"/>
      <c r="O1121" s="20"/>
      <c r="P1121" s="20"/>
      <c r="Q1121" s="20"/>
      <c r="R1121" s="20"/>
      <c r="S1121" s="20"/>
      <c r="T1121" s="20"/>
      <c r="U1121" s="20"/>
      <c r="V1121" s="20"/>
      <c r="W1121" s="20"/>
      <c r="X1121" s="20"/>
      <c r="Y1121" s="20"/>
      <c r="Z1121" s="20"/>
      <c r="AA1121" s="20"/>
      <c r="AB1121" s="20"/>
      <c r="AC1121" s="20"/>
      <c r="AD1121" s="20"/>
      <c r="AE1121" s="20"/>
      <c r="AF1121" s="20"/>
      <c r="AG1121" s="20"/>
      <c r="AH1121" s="20"/>
      <c r="AI1121" s="20"/>
      <c r="AJ1121" s="20"/>
      <c r="AK1121" s="20"/>
      <c r="AL1121" s="20"/>
      <c r="AM1121" s="20"/>
      <c r="AN1121" s="20"/>
      <c r="AO1121" s="20"/>
      <c r="AP1121" s="20"/>
      <c r="AQ1121" s="20"/>
      <c r="AR1121" s="20"/>
      <c r="AS1121" s="20"/>
    </row>
    <row r="1122">
      <c r="A1122" s="20"/>
      <c r="B1122" s="20"/>
      <c r="C1122" s="20"/>
      <c r="D1122" s="20"/>
      <c r="E1122" s="20"/>
      <c r="F1122" s="20"/>
      <c r="G1122" s="20"/>
      <c r="H1122" s="20"/>
      <c r="I1122" s="20"/>
      <c r="J1122" s="20"/>
      <c r="K1122" s="20"/>
      <c r="L1122" s="20"/>
      <c r="M1122" s="20"/>
      <c r="N1122" s="20"/>
      <c r="O1122" s="20"/>
      <c r="P1122" s="20"/>
      <c r="Q1122" s="20"/>
      <c r="R1122" s="20"/>
      <c r="S1122" s="20"/>
      <c r="T1122" s="20"/>
      <c r="U1122" s="20"/>
      <c r="V1122" s="20"/>
      <c r="W1122" s="20"/>
      <c r="X1122" s="20"/>
      <c r="Y1122" s="20"/>
      <c r="Z1122" s="20"/>
      <c r="AA1122" s="20"/>
      <c r="AB1122" s="20"/>
      <c r="AC1122" s="20"/>
      <c r="AD1122" s="20"/>
      <c r="AE1122" s="20"/>
      <c r="AF1122" s="20"/>
      <c r="AG1122" s="20"/>
      <c r="AH1122" s="20"/>
      <c r="AI1122" s="20"/>
      <c r="AJ1122" s="20"/>
      <c r="AK1122" s="20"/>
      <c r="AL1122" s="20"/>
      <c r="AM1122" s="20"/>
      <c r="AN1122" s="20"/>
      <c r="AO1122" s="20"/>
      <c r="AP1122" s="20"/>
      <c r="AQ1122" s="20"/>
      <c r="AR1122" s="20"/>
      <c r="AS1122" s="20"/>
    </row>
    <row r="1123">
      <c r="A1123" s="20"/>
      <c r="B1123" s="20"/>
      <c r="C1123" s="20"/>
      <c r="D1123" s="20"/>
      <c r="E1123" s="20"/>
      <c r="F1123" s="20"/>
      <c r="G1123" s="20"/>
      <c r="H1123" s="20"/>
      <c r="I1123" s="20"/>
      <c r="J1123" s="20"/>
      <c r="K1123" s="20"/>
      <c r="L1123" s="20"/>
      <c r="M1123" s="20"/>
      <c r="N1123" s="20"/>
      <c r="O1123" s="20"/>
      <c r="P1123" s="20"/>
      <c r="Q1123" s="20"/>
      <c r="R1123" s="20"/>
      <c r="S1123" s="20"/>
      <c r="T1123" s="20"/>
      <c r="U1123" s="20"/>
      <c r="V1123" s="20"/>
      <c r="W1123" s="20"/>
      <c r="X1123" s="20"/>
      <c r="Y1123" s="20"/>
      <c r="Z1123" s="20"/>
      <c r="AA1123" s="20"/>
      <c r="AB1123" s="20"/>
      <c r="AC1123" s="20"/>
      <c r="AD1123" s="20"/>
      <c r="AE1123" s="20"/>
      <c r="AF1123" s="20"/>
      <c r="AG1123" s="20"/>
      <c r="AH1123" s="20"/>
      <c r="AI1123" s="20"/>
      <c r="AJ1123" s="20"/>
      <c r="AK1123" s="20"/>
      <c r="AL1123" s="20"/>
      <c r="AM1123" s="20"/>
      <c r="AN1123" s="20"/>
      <c r="AO1123" s="20"/>
      <c r="AP1123" s="20"/>
      <c r="AQ1123" s="20"/>
      <c r="AR1123" s="20"/>
      <c r="AS1123" s="20"/>
    </row>
    <row r="1124">
      <c r="A1124" s="20"/>
      <c r="B1124" s="20"/>
      <c r="C1124" s="20"/>
      <c r="D1124" s="20"/>
      <c r="E1124" s="20"/>
      <c r="F1124" s="20"/>
      <c r="G1124" s="20"/>
      <c r="H1124" s="20"/>
      <c r="I1124" s="20"/>
      <c r="J1124" s="20"/>
      <c r="K1124" s="20"/>
      <c r="L1124" s="20"/>
      <c r="M1124" s="20"/>
      <c r="N1124" s="20"/>
      <c r="O1124" s="20"/>
      <c r="P1124" s="20"/>
      <c r="Q1124" s="20"/>
      <c r="R1124" s="20"/>
      <c r="S1124" s="20"/>
      <c r="T1124" s="20"/>
      <c r="U1124" s="20"/>
      <c r="V1124" s="20"/>
      <c r="W1124" s="20"/>
      <c r="X1124" s="20"/>
      <c r="Y1124" s="20"/>
      <c r="Z1124" s="20"/>
      <c r="AA1124" s="20"/>
      <c r="AB1124" s="20"/>
      <c r="AC1124" s="20"/>
      <c r="AD1124" s="20"/>
      <c r="AE1124" s="20"/>
      <c r="AF1124" s="20"/>
      <c r="AG1124" s="20"/>
      <c r="AH1124" s="20"/>
      <c r="AI1124" s="20"/>
      <c r="AJ1124" s="20"/>
      <c r="AK1124" s="20"/>
      <c r="AL1124" s="20"/>
      <c r="AM1124" s="20"/>
      <c r="AN1124" s="20"/>
      <c r="AO1124" s="20"/>
      <c r="AP1124" s="20"/>
      <c r="AQ1124" s="20"/>
      <c r="AR1124" s="20"/>
      <c r="AS1124" s="20"/>
    </row>
    <row r="1125">
      <c r="A1125" s="20"/>
      <c r="B1125" s="20"/>
      <c r="C1125" s="20"/>
      <c r="D1125" s="20"/>
      <c r="E1125" s="20"/>
      <c r="F1125" s="20"/>
      <c r="G1125" s="20"/>
      <c r="H1125" s="20"/>
      <c r="I1125" s="20"/>
      <c r="J1125" s="20"/>
      <c r="K1125" s="20"/>
      <c r="L1125" s="20"/>
      <c r="M1125" s="20"/>
      <c r="N1125" s="20"/>
      <c r="O1125" s="20"/>
      <c r="P1125" s="20"/>
      <c r="Q1125" s="20"/>
      <c r="R1125" s="20"/>
      <c r="S1125" s="20"/>
      <c r="T1125" s="20"/>
      <c r="U1125" s="20"/>
      <c r="V1125" s="20"/>
      <c r="W1125" s="20"/>
      <c r="X1125" s="20"/>
      <c r="Y1125" s="20"/>
      <c r="Z1125" s="20"/>
      <c r="AA1125" s="20"/>
      <c r="AB1125" s="20"/>
      <c r="AC1125" s="20"/>
      <c r="AD1125" s="20"/>
      <c r="AE1125" s="20"/>
      <c r="AF1125" s="20"/>
      <c r="AG1125" s="20"/>
      <c r="AH1125" s="20"/>
      <c r="AI1125" s="20"/>
      <c r="AJ1125" s="20"/>
      <c r="AK1125" s="20"/>
      <c r="AL1125" s="20"/>
      <c r="AM1125" s="20"/>
      <c r="AN1125" s="20"/>
      <c r="AO1125" s="20"/>
      <c r="AP1125" s="20"/>
      <c r="AQ1125" s="20"/>
      <c r="AR1125" s="20"/>
      <c r="AS1125" s="20"/>
    </row>
    <row r="1126">
      <c r="A1126" s="20"/>
      <c r="B1126" s="20"/>
      <c r="C1126" s="20"/>
      <c r="D1126" s="20"/>
      <c r="E1126" s="20"/>
      <c r="F1126" s="20"/>
      <c r="G1126" s="20"/>
      <c r="H1126" s="20"/>
      <c r="I1126" s="20"/>
      <c r="J1126" s="20"/>
      <c r="K1126" s="20"/>
      <c r="L1126" s="20"/>
      <c r="M1126" s="20"/>
      <c r="N1126" s="20"/>
      <c r="O1126" s="20"/>
      <c r="P1126" s="20"/>
      <c r="Q1126" s="20"/>
      <c r="R1126" s="20"/>
      <c r="S1126" s="20"/>
      <c r="T1126" s="20"/>
      <c r="U1126" s="20"/>
      <c r="V1126" s="20"/>
      <c r="W1126" s="20"/>
      <c r="X1126" s="20"/>
      <c r="Y1126" s="20"/>
      <c r="Z1126" s="20"/>
      <c r="AA1126" s="20"/>
      <c r="AB1126" s="20"/>
      <c r="AC1126" s="20"/>
      <c r="AD1126" s="20"/>
      <c r="AE1126" s="20"/>
      <c r="AF1126" s="20"/>
      <c r="AG1126" s="20"/>
      <c r="AH1126" s="20"/>
      <c r="AI1126" s="20"/>
      <c r="AJ1126" s="20"/>
      <c r="AK1126" s="20"/>
      <c r="AL1126" s="20"/>
      <c r="AM1126" s="20"/>
      <c r="AN1126" s="20"/>
      <c r="AO1126" s="20"/>
      <c r="AP1126" s="20"/>
      <c r="AQ1126" s="20"/>
      <c r="AR1126" s="20"/>
      <c r="AS1126" s="20"/>
    </row>
    <row r="1127">
      <c r="A1127" s="20"/>
      <c r="B1127" s="20"/>
      <c r="C1127" s="20"/>
      <c r="D1127" s="20"/>
      <c r="E1127" s="20"/>
      <c r="F1127" s="20"/>
      <c r="G1127" s="20"/>
      <c r="H1127" s="20"/>
      <c r="I1127" s="20"/>
      <c r="J1127" s="20"/>
      <c r="K1127" s="20"/>
      <c r="L1127" s="20"/>
      <c r="M1127" s="20"/>
      <c r="N1127" s="20"/>
      <c r="O1127" s="20"/>
      <c r="P1127" s="20"/>
      <c r="Q1127" s="20"/>
      <c r="R1127" s="20"/>
      <c r="S1127" s="20"/>
      <c r="T1127" s="20"/>
      <c r="U1127" s="20"/>
      <c r="V1127" s="20"/>
      <c r="W1127" s="20"/>
      <c r="X1127" s="20"/>
      <c r="Y1127" s="20"/>
      <c r="Z1127" s="20"/>
      <c r="AA1127" s="20"/>
      <c r="AB1127" s="20"/>
      <c r="AC1127" s="20"/>
      <c r="AD1127" s="20"/>
      <c r="AE1127" s="20"/>
      <c r="AF1127" s="20"/>
      <c r="AG1127" s="20"/>
      <c r="AH1127" s="20"/>
      <c r="AI1127" s="20"/>
      <c r="AJ1127" s="20"/>
      <c r="AK1127" s="20"/>
      <c r="AL1127" s="20"/>
      <c r="AM1127" s="20"/>
      <c r="AN1127" s="20"/>
      <c r="AO1127" s="20"/>
      <c r="AP1127" s="20"/>
      <c r="AQ1127" s="20"/>
      <c r="AR1127" s="20"/>
      <c r="AS1127" s="20"/>
    </row>
    <row r="1128">
      <c r="A1128" s="20"/>
      <c r="B1128" s="20"/>
      <c r="C1128" s="20"/>
      <c r="D1128" s="20"/>
      <c r="E1128" s="20"/>
      <c r="F1128" s="20"/>
      <c r="G1128" s="20"/>
      <c r="H1128" s="20"/>
      <c r="I1128" s="20"/>
      <c r="J1128" s="20"/>
      <c r="K1128" s="20"/>
      <c r="L1128" s="20"/>
      <c r="M1128" s="20"/>
      <c r="N1128" s="20"/>
      <c r="O1128" s="20"/>
      <c r="P1128" s="20"/>
      <c r="Q1128" s="20"/>
      <c r="R1128" s="20"/>
      <c r="S1128" s="20"/>
      <c r="T1128" s="20"/>
      <c r="U1128" s="20"/>
      <c r="V1128" s="20"/>
      <c r="W1128" s="20"/>
      <c r="X1128" s="20"/>
      <c r="Y1128" s="20"/>
      <c r="Z1128" s="20"/>
      <c r="AA1128" s="20"/>
      <c r="AB1128" s="20"/>
      <c r="AC1128" s="20"/>
      <c r="AD1128" s="20"/>
      <c r="AE1128" s="20"/>
      <c r="AF1128" s="20"/>
      <c r="AG1128" s="20"/>
      <c r="AH1128" s="20"/>
      <c r="AI1128" s="20"/>
      <c r="AJ1128" s="20"/>
      <c r="AK1128" s="20"/>
      <c r="AL1128" s="20"/>
      <c r="AM1128" s="20"/>
      <c r="AN1128" s="20"/>
      <c r="AO1128" s="20"/>
      <c r="AP1128" s="20"/>
      <c r="AQ1128" s="20"/>
      <c r="AR1128" s="20"/>
      <c r="AS1128" s="20"/>
    </row>
    <row r="1129">
      <c r="A1129" s="20"/>
      <c r="B1129" s="20"/>
      <c r="C1129" s="20"/>
      <c r="D1129" s="20"/>
      <c r="E1129" s="20"/>
      <c r="F1129" s="20"/>
      <c r="G1129" s="20"/>
      <c r="H1129" s="20"/>
      <c r="I1129" s="20"/>
      <c r="J1129" s="20"/>
      <c r="K1129" s="20"/>
      <c r="L1129" s="20"/>
      <c r="M1129" s="20"/>
      <c r="N1129" s="20"/>
      <c r="O1129" s="20"/>
      <c r="P1129" s="20"/>
      <c r="Q1129" s="20"/>
      <c r="R1129" s="20"/>
      <c r="S1129" s="20"/>
      <c r="T1129" s="20"/>
      <c r="U1129" s="20"/>
      <c r="V1129" s="20"/>
      <c r="W1129" s="20"/>
      <c r="X1129" s="20"/>
      <c r="Y1129" s="20"/>
      <c r="Z1129" s="20"/>
      <c r="AA1129" s="20"/>
      <c r="AB1129" s="20"/>
      <c r="AC1129" s="20"/>
      <c r="AD1129" s="20"/>
      <c r="AE1129" s="20"/>
      <c r="AF1129" s="20"/>
      <c r="AG1129" s="20"/>
      <c r="AH1129" s="20"/>
      <c r="AI1129" s="20"/>
      <c r="AJ1129" s="20"/>
      <c r="AK1129" s="20"/>
      <c r="AL1129" s="20"/>
      <c r="AM1129" s="20"/>
      <c r="AN1129" s="20"/>
      <c r="AO1129" s="20"/>
      <c r="AP1129" s="20"/>
      <c r="AQ1129" s="20"/>
      <c r="AR1129" s="20"/>
      <c r="AS1129" s="20"/>
    </row>
    <row r="1130">
      <c r="A1130" s="20"/>
      <c r="B1130" s="20"/>
      <c r="C1130" s="20"/>
      <c r="D1130" s="20"/>
      <c r="E1130" s="20"/>
      <c r="F1130" s="20"/>
      <c r="G1130" s="20"/>
      <c r="H1130" s="20"/>
      <c r="I1130" s="20"/>
      <c r="J1130" s="20"/>
      <c r="K1130" s="20"/>
      <c r="L1130" s="20"/>
      <c r="M1130" s="20"/>
      <c r="N1130" s="20"/>
      <c r="O1130" s="20"/>
      <c r="P1130" s="20"/>
      <c r="Q1130" s="20"/>
      <c r="R1130" s="20"/>
      <c r="S1130" s="20"/>
      <c r="T1130" s="20"/>
      <c r="U1130" s="20"/>
      <c r="V1130" s="20"/>
      <c r="W1130" s="20"/>
      <c r="X1130" s="20"/>
      <c r="Y1130" s="20"/>
      <c r="Z1130" s="20"/>
      <c r="AA1130" s="20"/>
      <c r="AB1130" s="20"/>
      <c r="AC1130" s="20"/>
      <c r="AD1130" s="20"/>
      <c r="AE1130" s="20"/>
      <c r="AF1130" s="20"/>
      <c r="AG1130" s="20"/>
      <c r="AH1130" s="20"/>
      <c r="AI1130" s="20"/>
      <c r="AJ1130" s="20"/>
      <c r="AK1130" s="20"/>
      <c r="AL1130" s="20"/>
      <c r="AM1130" s="20"/>
      <c r="AN1130" s="20"/>
      <c r="AO1130" s="20"/>
      <c r="AP1130" s="20"/>
      <c r="AQ1130" s="20"/>
      <c r="AR1130" s="20"/>
      <c r="AS1130" s="20"/>
    </row>
    <row r="1131">
      <c r="A1131" s="20"/>
      <c r="B1131" s="20"/>
      <c r="C1131" s="20"/>
      <c r="D1131" s="20"/>
      <c r="E1131" s="20"/>
      <c r="F1131" s="20"/>
      <c r="G1131" s="20"/>
      <c r="H1131" s="20"/>
      <c r="I1131" s="20"/>
      <c r="J1131" s="20"/>
      <c r="K1131" s="20"/>
      <c r="L1131" s="20"/>
      <c r="M1131" s="20"/>
      <c r="N1131" s="20"/>
      <c r="O1131" s="20"/>
      <c r="P1131" s="20"/>
      <c r="Q1131" s="20"/>
      <c r="R1131" s="20"/>
      <c r="S1131" s="20"/>
      <c r="T1131" s="20"/>
      <c r="U1131" s="20"/>
      <c r="V1131" s="20"/>
      <c r="W1131" s="20"/>
      <c r="X1131" s="20"/>
      <c r="Y1131" s="20"/>
      <c r="Z1131" s="20"/>
      <c r="AA1131" s="20"/>
      <c r="AB1131" s="20"/>
      <c r="AC1131" s="20"/>
      <c r="AD1131" s="20"/>
      <c r="AE1131" s="20"/>
      <c r="AF1131" s="20"/>
      <c r="AG1131" s="20"/>
      <c r="AH1131" s="20"/>
      <c r="AI1131" s="20"/>
      <c r="AJ1131" s="20"/>
      <c r="AK1131" s="20"/>
      <c r="AL1131" s="20"/>
      <c r="AM1131" s="20"/>
      <c r="AN1131" s="20"/>
      <c r="AO1131" s="20"/>
      <c r="AP1131" s="20"/>
      <c r="AQ1131" s="20"/>
      <c r="AR1131" s="20"/>
      <c r="AS1131" s="20"/>
    </row>
    <row r="1132">
      <c r="A1132" s="20"/>
      <c r="B1132" s="20"/>
      <c r="C1132" s="20"/>
      <c r="D1132" s="20"/>
      <c r="E1132" s="20"/>
      <c r="F1132" s="20"/>
      <c r="G1132" s="20"/>
      <c r="H1132" s="20"/>
      <c r="I1132" s="20"/>
      <c r="J1132" s="20"/>
      <c r="K1132" s="20"/>
      <c r="L1132" s="20"/>
      <c r="M1132" s="20"/>
      <c r="N1132" s="20"/>
      <c r="O1132" s="20"/>
      <c r="P1132" s="20"/>
      <c r="Q1132" s="20"/>
      <c r="R1132" s="20"/>
      <c r="S1132" s="20"/>
      <c r="T1132" s="20"/>
      <c r="U1132" s="20"/>
      <c r="V1132" s="20"/>
      <c r="W1132" s="20"/>
      <c r="X1132" s="20"/>
      <c r="Y1132" s="20"/>
      <c r="Z1132" s="20"/>
      <c r="AA1132" s="20"/>
      <c r="AB1132" s="20"/>
      <c r="AC1132" s="20"/>
      <c r="AD1132" s="20"/>
      <c r="AE1132" s="20"/>
      <c r="AF1132" s="20"/>
      <c r="AG1132" s="20"/>
      <c r="AH1132" s="20"/>
      <c r="AI1132" s="20"/>
      <c r="AJ1132" s="20"/>
      <c r="AK1132" s="20"/>
      <c r="AL1132" s="20"/>
      <c r="AM1132" s="20"/>
      <c r="AN1132" s="20"/>
      <c r="AO1132" s="20"/>
      <c r="AP1132" s="20"/>
      <c r="AQ1132" s="20"/>
      <c r="AR1132" s="20"/>
      <c r="AS1132" s="20"/>
    </row>
    <row r="1133">
      <c r="A1133" s="20"/>
      <c r="B1133" s="20"/>
      <c r="C1133" s="20"/>
      <c r="D1133" s="20"/>
      <c r="E1133" s="20"/>
      <c r="F1133" s="20"/>
      <c r="G1133" s="20"/>
      <c r="H1133" s="20"/>
      <c r="I1133" s="20"/>
      <c r="J1133" s="20"/>
      <c r="K1133" s="20"/>
      <c r="L1133" s="20"/>
      <c r="M1133" s="20"/>
      <c r="N1133" s="20"/>
      <c r="O1133" s="20"/>
      <c r="P1133" s="20"/>
      <c r="Q1133" s="20"/>
      <c r="R1133" s="20"/>
      <c r="S1133" s="20"/>
      <c r="T1133" s="20"/>
      <c r="U1133" s="20"/>
      <c r="V1133" s="20"/>
      <c r="W1133" s="20"/>
      <c r="X1133" s="20"/>
      <c r="Y1133" s="20"/>
      <c r="Z1133" s="20"/>
      <c r="AA1133" s="20"/>
      <c r="AB1133" s="20"/>
      <c r="AC1133" s="20"/>
      <c r="AD1133" s="20"/>
      <c r="AE1133" s="20"/>
      <c r="AF1133" s="20"/>
      <c r="AG1133" s="20"/>
      <c r="AH1133" s="20"/>
      <c r="AI1133" s="20"/>
      <c r="AJ1133" s="20"/>
      <c r="AK1133" s="20"/>
      <c r="AL1133" s="20"/>
      <c r="AM1133" s="20"/>
      <c r="AN1133" s="20"/>
      <c r="AO1133" s="20"/>
      <c r="AP1133" s="20"/>
      <c r="AQ1133" s="20"/>
      <c r="AR1133" s="20"/>
      <c r="AS1133" s="20"/>
    </row>
    <row r="1134">
      <c r="A1134" s="20"/>
      <c r="B1134" s="20"/>
      <c r="C1134" s="20"/>
      <c r="D1134" s="20"/>
      <c r="E1134" s="20"/>
      <c r="F1134" s="20"/>
      <c r="G1134" s="20"/>
      <c r="H1134" s="20"/>
      <c r="I1134" s="20"/>
      <c r="J1134" s="20"/>
      <c r="K1134" s="20"/>
      <c r="L1134" s="20"/>
      <c r="M1134" s="20"/>
      <c r="N1134" s="20"/>
      <c r="O1134" s="20"/>
      <c r="P1134" s="20"/>
      <c r="Q1134" s="20"/>
      <c r="R1134" s="20"/>
      <c r="S1134" s="20"/>
      <c r="T1134" s="20"/>
      <c r="U1134" s="20"/>
      <c r="V1134" s="20"/>
      <c r="W1134" s="20"/>
      <c r="X1134" s="20"/>
      <c r="Y1134" s="20"/>
      <c r="Z1134" s="20"/>
      <c r="AA1134" s="20"/>
      <c r="AB1134" s="20"/>
      <c r="AC1134" s="20"/>
      <c r="AD1134" s="20"/>
      <c r="AE1134" s="20"/>
      <c r="AF1134" s="20"/>
      <c r="AG1134" s="20"/>
      <c r="AH1134" s="20"/>
      <c r="AI1134" s="20"/>
      <c r="AJ1134" s="20"/>
      <c r="AK1134" s="20"/>
      <c r="AL1134" s="20"/>
      <c r="AM1134" s="20"/>
      <c r="AN1134" s="20"/>
      <c r="AO1134" s="20"/>
      <c r="AP1134" s="20"/>
      <c r="AQ1134" s="20"/>
      <c r="AR1134" s="20"/>
      <c r="AS1134" s="20"/>
    </row>
    <row r="1135">
      <c r="A1135" s="20"/>
      <c r="B1135" s="20"/>
      <c r="C1135" s="20"/>
      <c r="D1135" s="20"/>
      <c r="E1135" s="20"/>
      <c r="F1135" s="20"/>
      <c r="G1135" s="20"/>
      <c r="H1135" s="20"/>
      <c r="I1135" s="20"/>
      <c r="J1135" s="20"/>
      <c r="K1135" s="20"/>
      <c r="L1135" s="20"/>
      <c r="M1135" s="20"/>
      <c r="N1135" s="20"/>
      <c r="O1135" s="20"/>
      <c r="P1135" s="20"/>
      <c r="Q1135" s="20"/>
      <c r="R1135" s="20"/>
      <c r="S1135" s="20"/>
      <c r="T1135" s="20"/>
      <c r="U1135" s="20"/>
      <c r="V1135" s="20"/>
      <c r="W1135" s="20"/>
      <c r="X1135" s="20"/>
      <c r="Y1135" s="20"/>
      <c r="Z1135" s="20"/>
      <c r="AA1135" s="20"/>
      <c r="AB1135" s="20"/>
      <c r="AC1135" s="20"/>
      <c r="AD1135" s="20"/>
      <c r="AE1135" s="20"/>
      <c r="AF1135" s="20"/>
      <c r="AG1135" s="20"/>
      <c r="AH1135" s="20"/>
      <c r="AI1135" s="20"/>
      <c r="AJ1135" s="20"/>
      <c r="AK1135" s="20"/>
      <c r="AL1135" s="20"/>
      <c r="AM1135" s="20"/>
      <c r="AN1135" s="20"/>
      <c r="AO1135" s="20"/>
      <c r="AP1135" s="20"/>
      <c r="AQ1135" s="20"/>
      <c r="AR1135" s="20"/>
      <c r="AS1135" s="20"/>
    </row>
    <row r="1136">
      <c r="A1136" s="20"/>
      <c r="B1136" s="20"/>
      <c r="C1136" s="20"/>
      <c r="D1136" s="20"/>
      <c r="E1136" s="20"/>
      <c r="F1136" s="20"/>
      <c r="G1136" s="20"/>
      <c r="H1136" s="20"/>
      <c r="I1136" s="20"/>
      <c r="J1136" s="20"/>
      <c r="K1136" s="20"/>
      <c r="L1136" s="20"/>
      <c r="M1136" s="20"/>
      <c r="N1136" s="20"/>
      <c r="O1136" s="20"/>
      <c r="P1136" s="20"/>
      <c r="Q1136" s="20"/>
      <c r="R1136" s="20"/>
      <c r="S1136" s="20"/>
      <c r="T1136" s="20"/>
      <c r="U1136" s="20"/>
      <c r="V1136" s="20"/>
      <c r="W1136" s="20"/>
      <c r="X1136" s="20"/>
      <c r="Y1136" s="20"/>
      <c r="Z1136" s="20"/>
      <c r="AA1136" s="20"/>
      <c r="AB1136" s="20"/>
      <c r="AC1136" s="20"/>
      <c r="AD1136" s="20"/>
      <c r="AE1136" s="20"/>
      <c r="AF1136" s="20"/>
      <c r="AG1136" s="20"/>
      <c r="AH1136" s="20"/>
      <c r="AI1136" s="20"/>
      <c r="AJ1136" s="20"/>
      <c r="AK1136" s="20"/>
      <c r="AL1136" s="20"/>
      <c r="AM1136" s="20"/>
      <c r="AN1136" s="20"/>
      <c r="AO1136" s="20"/>
      <c r="AP1136" s="20"/>
      <c r="AQ1136" s="20"/>
      <c r="AR1136" s="20"/>
      <c r="AS1136" s="20"/>
    </row>
    <row r="1137">
      <c r="A1137" s="20"/>
      <c r="B1137" s="20"/>
      <c r="C1137" s="20"/>
      <c r="D1137" s="20"/>
      <c r="E1137" s="20"/>
      <c r="F1137" s="20"/>
      <c r="G1137" s="20"/>
      <c r="H1137" s="20"/>
      <c r="I1137" s="20"/>
      <c r="J1137" s="20"/>
      <c r="K1137" s="20"/>
      <c r="L1137" s="20"/>
      <c r="M1137" s="20"/>
      <c r="N1137" s="20"/>
      <c r="O1137" s="20"/>
      <c r="P1137" s="20"/>
      <c r="Q1137" s="20"/>
      <c r="R1137" s="20"/>
      <c r="S1137" s="20"/>
      <c r="T1137" s="20"/>
      <c r="U1137" s="20"/>
      <c r="V1137" s="20"/>
      <c r="W1137" s="20"/>
      <c r="X1137" s="20"/>
      <c r="Y1137" s="20"/>
      <c r="Z1137" s="20"/>
      <c r="AA1137" s="20"/>
      <c r="AB1137" s="20"/>
      <c r="AC1137" s="20"/>
      <c r="AD1137" s="20"/>
      <c r="AE1137" s="20"/>
      <c r="AF1137" s="20"/>
      <c r="AG1137" s="20"/>
      <c r="AH1137" s="20"/>
      <c r="AI1137" s="20"/>
      <c r="AJ1137" s="20"/>
      <c r="AK1137" s="20"/>
      <c r="AL1137" s="20"/>
      <c r="AM1137" s="20"/>
      <c r="AN1137" s="20"/>
      <c r="AO1137" s="20"/>
      <c r="AP1137" s="20"/>
      <c r="AQ1137" s="20"/>
      <c r="AR1137" s="20"/>
      <c r="AS1137" s="20"/>
    </row>
    <row r="1138">
      <c r="A1138" s="20"/>
      <c r="B1138" s="20"/>
      <c r="C1138" s="20"/>
      <c r="D1138" s="20"/>
      <c r="E1138" s="20"/>
      <c r="F1138" s="20"/>
      <c r="G1138" s="20"/>
      <c r="H1138" s="20"/>
      <c r="I1138" s="20"/>
      <c r="J1138" s="20"/>
      <c r="K1138" s="20"/>
      <c r="L1138" s="20"/>
      <c r="M1138" s="20"/>
      <c r="N1138" s="20"/>
      <c r="O1138" s="20"/>
      <c r="P1138" s="20"/>
      <c r="Q1138" s="20"/>
      <c r="R1138" s="20"/>
      <c r="S1138" s="20"/>
      <c r="T1138" s="20"/>
      <c r="U1138" s="20"/>
      <c r="V1138" s="20"/>
      <c r="W1138" s="20"/>
      <c r="X1138" s="20"/>
      <c r="Y1138" s="20"/>
      <c r="Z1138" s="20"/>
      <c r="AA1138" s="20"/>
      <c r="AB1138" s="20"/>
      <c r="AC1138" s="20"/>
      <c r="AD1138" s="20"/>
      <c r="AE1138" s="20"/>
      <c r="AF1138" s="20"/>
      <c r="AG1138" s="20"/>
      <c r="AH1138" s="20"/>
      <c r="AI1138" s="20"/>
      <c r="AJ1138" s="20"/>
      <c r="AK1138" s="20"/>
      <c r="AL1138" s="20"/>
      <c r="AM1138" s="20"/>
      <c r="AN1138" s="20"/>
      <c r="AO1138" s="20"/>
      <c r="AP1138" s="20"/>
      <c r="AQ1138" s="20"/>
      <c r="AR1138" s="20"/>
      <c r="AS1138" s="20"/>
    </row>
    <row r="1139">
      <c r="A1139" s="20"/>
      <c r="B1139" s="20"/>
      <c r="C1139" s="20"/>
      <c r="D1139" s="20"/>
      <c r="E1139" s="20"/>
      <c r="F1139" s="20"/>
      <c r="G1139" s="20"/>
      <c r="H1139" s="20"/>
      <c r="I1139" s="20"/>
      <c r="J1139" s="20"/>
      <c r="K1139" s="20"/>
      <c r="L1139" s="20"/>
      <c r="M1139" s="20"/>
      <c r="N1139" s="20"/>
      <c r="O1139" s="20"/>
      <c r="P1139" s="20"/>
      <c r="Q1139" s="20"/>
      <c r="R1139" s="20"/>
      <c r="S1139" s="20"/>
      <c r="T1139" s="20"/>
      <c r="U1139" s="20"/>
      <c r="V1139" s="20"/>
      <c r="W1139" s="20"/>
      <c r="X1139" s="20"/>
      <c r="Y1139" s="20"/>
      <c r="Z1139" s="20"/>
      <c r="AA1139" s="20"/>
      <c r="AB1139" s="20"/>
      <c r="AC1139" s="20"/>
      <c r="AD1139" s="20"/>
      <c r="AE1139" s="20"/>
      <c r="AF1139" s="20"/>
      <c r="AG1139" s="20"/>
      <c r="AH1139" s="20"/>
      <c r="AI1139" s="20"/>
      <c r="AJ1139" s="20"/>
      <c r="AK1139" s="20"/>
      <c r="AL1139" s="20"/>
      <c r="AM1139" s="20"/>
      <c r="AN1139" s="20"/>
      <c r="AO1139" s="20"/>
      <c r="AP1139" s="20"/>
      <c r="AQ1139" s="20"/>
      <c r="AR1139" s="20"/>
      <c r="AS1139" s="20"/>
    </row>
    <row r="1140">
      <c r="A1140" s="20"/>
      <c r="B1140" s="20"/>
      <c r="C1140" s="20"/>
      <c r="D1140" s="20"/>
      <c r="E1140" s="20"/>
      <c r="F1140" s="20"/>
      <c r="G1140" s="20"/>
      <c r="H1140" s="20"/>
      <c r="I1140" s="20"/>
      <c r="J1140" s="20"/>
      <c r="K1140" s="20"/>
      <c r="L1140" s="20"/>
      <c r="M1140" s="20"/>
      <c r="N1140" s="20"/>
      <c r="O1140" s="20"/>
      <c r="P1140" s="20"/>
      <c r="Q1140" s="20"/>
      <c r="R1140" s="20"/>
      <c r="S1140" s="20"/>
      <c r="T1140" s="20"/>
      <c r="U1140" s="20"/>
      <c r="V1140" s="20"/>
      <c r="W1140" s="20"/>
      <c r="X1140" s="20"/>
      <c r="Y1140" s="20"/>
      <c r="Z1140" s="20"/>
      <c r="AA1140" s="20"/>
      <c r="AB1140" s="20"/>
      <c r="AC1140" s="20"/>
      <c r="AD1140" s="20"/>
      <c r="AE1140" s="20"/>
      <c r="AF1140" s="20"/>
      <c r="AG1140" s="20"/>
      <c r="AH1140" s="20"/>
      <c r="AI1140" s="20"/>
      <c r="AJ1140" s="20"/>
      <c r="AK1140" s="20"/>
      <c r="AL1140" s="20"/>
      <c r="AM1140" s="20"/>
      <c r="AN1140" s="20"/>
      <c r="AO1140" s="20"/>
      <c r="AP1140" s="20"/>
      <c r="AQ1140" s="20"/>
      <c r="AR1140" s="20"/>
      <c r="AS1140" s="20"/>
    </row>
    <row r="1141">
      <c r="A1141" s="20"/>
      <c r="B1141" s="20"/>
      <c r="C1141" s="20"/>
      <c r="D1141" s="20"/>
      <c r="E1141" s="20"/>
      <c r="F1141" s="20"/>
      <c r="G1141" s="20"/>
      <c r="H1141" s="20"/>
      <c r="I1141" s="20"/>
      <c r="J1141" s="20"/>
      <c r="K1141" s="20"/>
      <c r="L1141" s="20"/>
      <c r="M1141" s="20"/>
      <c r="N1141" s="20"/>
      <c r="O1141" s="20"/>
      <c r="P1141" s="20"/>
      <c r="Q1141" s="20"/>
      <c r="R1141" s="20"/>
      <c r="S1141" s="20"/>
      <c r="T1141" s="20"/>
      <c r="U1141" s="20"/>
      <c r="V1141" s="20"/>
      <c r="W1141" s="20"/>
      <c r="X1141" s="20"/>
      <c r="Y1141" s="20"/>
      <c r="Z1141" s="20"/>
      <c r="AA1141" s="20"/>
      <c r="AB1141" s="20"/>
      <c r="AC1141" s="20"/>
      <c r="AD1141" s="20"/>
      <c r="AE1141" s="20"/>
      <c r="AF1141" s="20"/>
      <c r="AG1141" s="20"/>
      <c r="AH1141" s="20"/>
      <c r="AI1141" s="20"/>
      <c r="AJ1141" s="20"/>
      <c r="AK1141" s="20"/>
      <c r="AL1141" s="20"/>
      <c r="AM1141" s="20"/>
      <c r="AN1141" s="20"/>
      <c r="AO1141" s="20"/>
      <c r="AP1141" s="20"/>
      <c r="AQ1141" s="20"/>
      <c r="AR1141" s="20"/>
      <c r="AS1141" s="20"/>
    </row>
    <row r="1142">
      <c r="A1142" s="20"/>
      <c r="B1142" s="20"/>
      <c r="C1142" s="20"/>
      <c r="D1142" s="20"/>
      <c r="E1142" s="20"/>
      <c r="F1142" s="20"/>
      <c r="G1142" s="20"/>
      <c r="H1142" s="20"/>
      <c r="I1142" s="20"/>
      <c r="J1142" s="20"/>
      <c r="K1142" s="20"/>
      <c r="L1142" s="20"/>
      <c r="M1142" s="20"/>
      <c r="N1142" s="20"/>
      <c r="O1142" s="20"/>
      <c r="P1142" s="20"/>
      <c r="Q1142" s="20"/>
      <c r="R1142" s="20"/>
      <c r="S1142" s="20"/>
      <c r="T1142" s="20"/>
      <c r="U1142" s="20"/>
      <c r="V1142" s="20"/>
      <c r="W1142" s="20"/>
      <c r="X1142" s="20"/>
      <c r="Y1142" s="20"/>
      <c r="Z1142" s="20"/>
      <c r="AA1142" s="20"/>
      <c r="AB1142" s="20"/>
      <c r="AC1142" s="20"/>
      <c r="AD1142" s="20"/>
      <c r="AE1142" s="20"/>
      <c r="AF1142" s="20"/>
      <c r="AG1142" s="20"/>
      <c r="AH1142" s="20"/>
      <c r="AI1142" s="20"/>
      <c r="AJ1142" s="20"/>
      <c r="AK1142" s="20"/>
      <c r="AL1142" s="20"/>
      <c r="AM1142" s="20"/>
      <c r="AN1142" s="20"/>
      <c r="AO1142" s="20"/>
      <c r="AP1142" s="20"/>
      <c r="AQ1142" s="20"/>
      <c r="AR1142" s="20"/>
      <c r="AS1142" s="20"/>
    </row>
    <row r="1143">
      <c r="A1143" s="20"/>
      <c r="B1143" s="20"/>
      <c r="C1143" s="20"/>
      <c r="D1143" s="20"/>
      <c r="E1143" s="20"/>
      <c r="F1143" s="20"/>
      <c r="G1143" s="20"/>
      <c r="H1143" s="20"/>
      <c r="I1143" s="20"/>
      <c r="J1143" s="20"/>
      <c r="K1143" s="20"/>
      <c r="L1143" s="20"/>
      <c r="M1143" s="20"/>
      <c r="N1143" s="20"/>
      <c r="O1143" s="20"/>
      <c r="P1143" s="20"/>
      <c r="Q1143" s="20"/>
      <c r="R1143" s="20"/>
      <c r="S1143" s="20"/>
      <c r="T1143" s="20"/>
      <c r="U1143" s="20"/>
      <c r="V1143" s="20"/>
      <c r="W1143" s="20"/>
      <c r="X1143" s="20"/>
      <c r="Y1143" s="20"/>
      <c r="Z1143" s="20"/>
      <c r="AA1143" s="20"/>
      <c r="AB1143" s="20"/>
      <c r="AC1143" s="20"/>
      <c r="AD1143" s="20"/>
      <c r="AE1143" s="20"/>
      <c r="AF1143" s="20"/>
      <c r="AG1143" s="20"/>
      <c r="AH1143" s="20"/>
      <c r="AI1143" s="20"/>
      <c r="AJ1143" s="20"/>
      <c r="AK1143" s="20"/>
      <c r="AL1143" s="20"/>
      <c r="AM1143" s="20"/>
      <c r="AN1143" s="20"/>
      <c r="AO1143" s="20"/>
      <c r="AP1143" s="20"/>
      <c r="AQ1143" s="20"/>
      <c r="AR1143" s="20"/>
      <c r="AS1143" s="20"/>
    </row>
    <row r="1144">
      <c r="A1144" s="20"/>
      <c r="B1144" s="20"/>
      <c r="C1144" s="20"/>
      <c r="D1144" s="20"/>
      <c r="E1144" s="20"/>
      <c r="F1144" s="20"/>
      <c r="G1144" s="20"/>
      <c r="H1144" s="20"/>
      <c r="I1144" s="20"/>
      <c r="J1144" s="20"/>
      <c r="K1144" s="20"/>
      <c r="L1144" s="20"/>
      <c r="M1144" s="20"/>
      <c r="N1144" s="20"/>
      <c r="O1144" s="20"/>
      <c r="P1144" s="20"/>
      <c r="Q1144" s="20"/>
      <c r="R1144" s="20"/>
      <c r="S1144" s="20"/>
      <c r="T1144" s="20"/>
      <c r="U1144" s="20"/>
      <c r="V1144" s="20"/>
      <c r="W1144" s="20"/>
      <c r="X1144" s="20"/>
      <c r="Y1144" s="20"/>
      <c r="Z1144" s="20"/>
      <c r="AA1144" s="20"/>
      <c r="AB1144" s="20"/>
      <c r="AC1144" s="20"/>
      <c r="AD1144" s="20"/>
      <c r="AE1144" s="20"/>
      <c r="AF1144" s="20"/>
      <c r="AG1144" s="20"/>
      <c r="AH1144" s="20"/>
      <c r="AI1144" s="20"/>
      <c r="AJ1144" s="20"/>
      <c r="AK1144" s="20"/>
      <c r="AL1144" s="20"/>
      <c r="AM1144" s="20"/>
      <c r="AN1144" s="20"/>
      <c r="AO1144" s="20"/>
      <c r="AP1144" s="20"/>
      <c r="AQ1144" s="20"/>
      <c r="AR1144" s="20"/>
      <c r="AS1144" s="20"/>
    </row>
    <row r="1145">
      <c r="A1145" s="20"/>
      <c r="B1145" s="20"/>
      <c r="C1145" s="20"/>
      <c r="D1145" s="20"/>
      <c r="E1145" s="20"/>
      <c r="F1145" s="20"/>
      <c r="G1145" s="20"/>
      <c r="H1145" s="20"/>
      <c r="I1145" s="20"/>
      <c r="J1145" s="20"/>
      <c r="K1145" s="20"/>
      <c r="L1145" s="20"/>
      <c r="M1145" s="20"/>
      <c r="N1145" s="20"/>
      <c r="O1145" s="20"/>
      <c r="P1145" s="20"/>
      <c r="Q1145" s="20"/>
      <c r="R1145" s="20"/>
      <c r="S1145" s="20"/>
      <c r="T1145" s="20"/>
      <c r="U1145" s="20"/>
      <c r="V1145" s="20"/>
      <c r="W1145" s="20"/>
      <c r="X1145" s="20"/>
      <c r="Y1145" s="20"/>
      <c r="Z1145" s="20"/>
      <c r="AA1145" s="20"/>
      <c r="AB1145" s="20"/>
      <c r="AC1145" s="20"/>
      <c r="AD1145" s="20"/>
      <c r="AE1145" s="20"/>
      <c r="AF1145" s="20"/>
      <c r="AG1145" s="20"/>
      <c r="AH1145" s="20"/>
      <c r="AI1145" s="20"/>
      <c r="AJ1145" s="20"/>
      <c r="AK1145" s="20"/>
      <c r="AL1145" s="20"/>
      <c r="AM1145" s="20"/>
      <c r="AN1145" s="20"/>
      <c r="AO1145" s="20"/>
      <c r="AP1145" s="20"/>
      <c r="AQ1145" s="20"/>
      <c r="AR1145" s="20"/>
      <c r="AS1145" s="20"/>
    </row>
    <row r="1146">
      <c r="A1146" s="20"/>
      <c r="B1146" s="20"/>
      <c r="C1146" s="20"/>
      <c r="D1146" s="20"/>
      <c r="E1146" s="20"/>
      <c r="F1146" s="20"/>
      <c r="G1146" s="20"/>
      <c r="H1146" s="20"/>
      <c r="I1146" s="20"/>
      <c r="J1146" s="20"/>
      <c r="K1146" s="20"/>
      <c r="L1146" s="20"/>
      <c r="M1146" s="20"/>
      <c r="N1146" s="20"/>
      <c r="O1146" s="20"/>
      <c r="P1146" s="20"/>
      <c r="Q1146" s="20"/>
      <c r="R1146" s="20"/>
      <c r="S1146" s="20"/>
      <c r="T1146" s="20"/>
      <c r="U1146" s="20"/>
      <c r="V1146" s="20"/>
      <c r="W1146" s="20"/>
      <c r="X1146" s="20"/>
      <c r="Y1146" s="20"/>
      <c r="Z1146" s="20"/>
      <c r="AA1146" s="20"/>
      <c r="AB1146" s="20"/>
      <c r="AC1146" s="20"/>
      <c r="AD1146" s="20"/>
      <c r="AE1146" s="20"/>
      <c r="AF1146" s="20"/>
      <c r="AG1146" s="20"/>
      <c r="AH1146" s="20"/>
      <c r="AI1146" s="20"/>
      <c r="AJ1146" s="20"/>
      <c r="AK1146" s="20"/>
      <c r="AL1146" s="20"/>
      <c r="AM1146" s="20"/>
      <c r="AN1146" s="20"/>
      <c r="AO1146" s="20"/>
      <c r="AP1146" s="20"/>
      <c r="AQ1146" s="20"/>
      <c r="AR1146" s="20"/>
      <c r="AS1146" s="20"/>
    </row>
    <row r="1147">
      <c r="A1147" s="20"/>
      <c r="B1147" s="20"/>
      <c r="C1147" s="20"/>
      <c r="D1147" s="20"/>
      <c r="E1147" s="20"/>
      <c r="F1147" s="20"/>
      <c r="G1147" s="20"/>
      <c r="H1147" s="20"/>
      <c r="I1147" s="20"/>
      <c r="J1147" s="20"/>
      <c r="K1147" s="20"/>
      <c r="L1147" s="20"/>
      <c r="M1147" s="20"/>
      <c r="N1147" s="20"/>
      <c r="O1147" s="20"/>
      <c r="P1147" s="20"/>
      <c r="Q1147" s="20"/>
      <c r="R1147" s="20"/>
      <c r="S1147" s="20"/>
      <c r="T1147" s="20"/>
      <c r="U1147" s="20"/>
      <c r="V1147" s="20"/>
      <c r="W1147" s="20"/>
      <c r="X1147" s="20"/>
      <c r="Y1147" s="20"/>
      <c r="Z1147" s="20"/>
      <c r="AA1147" s="20"/>
      <c r="AB1147" s="20"/>
      <c r="AC1147" s="20"/>
      <c r="AD1147" s="20"/>
      <c r="AE1147" s="20"/>
      <c r="AF1147" s="20"/>
      <c r="AG1147" s="20"/>
      <c r="AH1147" s="20"/>
      <c r="AI1147" s="20"/>
      <c r="AJ1147" s="20"/>
      <c r="AK1147" s="20"/>
      <c r="AL1147" s="20"/>
      <c r="AM1147" s="20"/>
      <c r="AN1147" s="20"/>
      <c r="AO1147" s="20"/>
      <c r="AP1147" s="20"/>
      <c r="AQ1147" s="20"/>
      <c r="AR1147" s="20"/>
      <c r="AS1147" s="20"/>
    </row>
    <row r="1148">
      <c r="A1148" s="20"/>
      <c r="B1148" s="20"/>
      <c r="C1148" s="20"/>
      <c r="D1148" s="20"/>
      <c r="E1148" s="20"/>
      <c r="F1148" s="20"/>
      <c r="G1148" s="20"/>
      <c r="H1148" s="20"/>
      <c r="I1148" s="20"/>
      <c r="J1148" s="20"/>
      <c r="K1148" s="20"/>
      <c r="L1148" s="20"/>
      <c r="M1148" s="20"/>
      <c r="N1148" s="20"/>
      <c r="O1148" s="20"/>
      <c r="P1148" s="20"/>
      <c r="Q1148" s="20"/>
      <c r="R1148" s="20"/>
      <c r="S1148" s="20"/>
      <c r="T1148" s="20"/>
      <c r="U1148" s="20"/>
      <c r="V1148" s="20"/>
      <c r="W1148" s="20"/>
      <c r="X1148" s="20"/>
      <c r="Y1148" s="20"/>
      <c r="Z1148" s="20"/>
      <c r="AA1148" s="20"/>
      <c r="AB1148" s="20"/>
      <c r="AC1148" s="20"/>
      <c r="AD1148" s="20"/>
      <c r="AE1148" s="20"/>
      <c r="AF1148" s="20"/>
      <c r="AG1148" s="20"/>
      <c r="AH1148" s="20"/>
      <c r="AI1148" s="20"/>
      <c r="AJ1148" s="20"/>
      <c r="AK1148" s="20"/>
      <c r="AL1148" s="20"/>
      <c r="AM1148" s="20"/>
      <c r="AN1148" s="20"/>
      <c r="AO1148" s="20"/>
      <c r="AP1148" s="20"/>
      <c r="AQ1148" s="20"/>
      <c r="AR1148" s="20"/>
      <c r="AS1148" s="20"/>
    </row>
    <row r="1149">
      <c r="A1149" s="20"/>
      <c r="B1149" s="20"/>
      <c r="C1149" s="20"/>
      <c r="D1149" s="20"/>
      <c r="E1149" s="20"/>
      <c r="F1149" s="20"/>
      <c r="G1149" s="20"/>
      <c r="H1149" s="20"/>
      <c r="I1149" s="20"/>
      <c r="J1149" s="20"/>
      <c r="K1149" s="20"/>
      <c r="L1149" s="20"/>
      <c r="M1149" s="20"/>
      <c r="N1149" s="20"/>
      <c r="O1149" s="20"/>
      <c r="P1149" s="20"/>
      <c r="Q1149" s="20"/>
      <c r="R1149" s="20"/>
      <c r="S1149" s="20"/>
      <c r="T1149" s="20"/>
      <c r="U1149" s="20"/>
      <c r="V1149" s="20"/>
      <c r="W1149" s="20"/>
      <c r="X1149" s="20"/>
      <c r="Y1149" s="20"/>
      <c r="Z1149" s="20"/>
      <c r="AA1149" s="20"/>
      <c r="AB1149" s="20"/>
      <c r="AC1149" s="20"/>
      <c r="AD1149" s="20"/>
      <c r="AE1149" s="20"/>
      <c r="AF1149" s="20"/>
      <c r="AG1149" s="20"/>
      <c r="AH1149" s="20"/>
      <c r="AI1149" s="20"/>
      <c r="AJ1149" s="20"/>
      <c r="AK1149" s="20"/>
      <c r="AL1149" s="20"/>
      <c r="AM1149" s="20"/>
      <c r="AN1149" s="20"/>
      <c r="AO1149" s="20"/>
      <c r="AP1149" s="20"/>
      <c r="AQ1149" s="20"/>
      <c r="AR1149" s="20"/>
      <c r="AS1149" s="20"/>
    </row>
    <row r="1150">
      <c r="A1150" s="20"/>
      <c r="B1150" s="20"/>
      <c r="C1150" s="20"/>
      <c r="D1150" s="20"/>
      <c r="E1150" s="20"/>
      <c r="F1150" s="20"/>
      <c r="G1150" s="20"/>
      <c r="H1150" s="20"/>
      <c r="I1150" s="20"/>
      <c r="J1150" s="20"/>
      <c r="K1150" s="20"/>
      <c r="L1150" s="20"/>
      <c r="M1150" s="20"/>
      <c r="N1150" s="20"/>
      <c r="O1150" s="20"/>
      <c r="P1150" s="20"/>
      <c r="Q1150" s="20"/>
      <c r="R1150" s="20"/>
      <c r="S1150" s="20"/>
      <c r="T1150" s="20"/>
      <c r="U1150" s="20"/>
      <c r="V1150" s="20"/>
      <c r="W1150" s="20"/>
      <c r="X1150" s="20"/>
      <c r="Y1150" s="20"/>
      <c r="Z1150" s="20"/>
      <c r="AA1150" s="20"/>
      <c r="AB1150" s="20"/>
      <c r="AC1150" s="20"/>
      <c r="AD1150" s="20"/>
      <c r="AE1150" s="20"/>
      <c r="AF1150" s="20"/>
      <c r="AG1150" s="20"/>
      <c r="AH1150" s="20"/>
      <c r="AI1150" s="20"/>
      <c r="AJ1150" s="20"/>
      <c r="AK1150" s="20"/>
      <c r="AL1150" s="20"/>
      <c r="AM1150" s="20"/>
      <c r="AN1150" s="20"/>
      <c r="AO1150" s="20"/>
      <c r="AP1150" s="20"/>
      <c r="AQ1150" s="20"/>
      <c r="AR1150" s="20"/>
      <c r="AS1150" s="20"/>
    </row>
    <row r="1151">
      <c r="A1151" s="20"/>
      <c r="B1151" s="20"/>
      <c r="C1151" s="20"/>
      <c r="D1151" s="20"/>
      <c r="E1151" s="20"/>
      <c r="F1151" s="20"/>
      <c r="G1151" s="20"/>
      <c r="H1151" s="20"/>
      <c r="I1151" s="20"/>
      <c r="J1151" s="20"/>
      <c r="K1151" s="20"/>
      <c r="L1151" s="20"/>
      <c r="M1151" s="20"/>
      <c r="N1151" s="20"/>
      <c r="O1151" s="20"/>
      <c r="P1151" s="20"/>
      <c r="Q1151" s="20"/>
      <c r="R1151" s="20"/>
      <c r="S1151" s="20"/>
      <c r="T1151" s="20"/>
      <c r="U1151" s="20"/>
      <c r="V1151" s="20"/>
      <c r="W1151" s="20"/>
      <c r="X1151" s="20"/>
      <c r="Y1151" s="20"/>
      <c r="Z1151" s="20"/>
      <c r="AA1151" s="20"/>
      <c r="AB1151" s="20"/>
      <c r="AC1151" s="20"/>
      <c r="AD1151" s="20"/>
      <c r="AE1151" s="20"/>
      <c r="AF1151" s="20"/>
      <c r="AG1151" s="20"/>
      <c r="AH1151" s="20"/>
      <c r="AI1151" s="20"/>
      <c r="AJ1151" s="20"/>
      <c r="AK1151" s="20"/>
      <c r="AL1151" s="20"/>
      <c r="AM1151" s="20"/>
      <c r="AN1151" s="20"/>
      <c r="AO1151" s="20"/>
      <c r="AP1151" s="20"/>
      <c r="AQ1151" s="20"/>
      <c r="AR1151" s="20"/>
      <c r="AS1151" s="20"/>
    </row>
    <row r="1152">
      <c r="A1152" s="20"/>
      <c r="B1152" s="20"/>
      <c r="C1152" s="20"/>
      <c r="D1152" s="20"/>
      <c r="E1152" s="20"/>
      <c r="F1152" s="20"/>
      <c r="G1152" s="20"/>
      <c r="H1152" s="20"/>
      <c r="I1152" s="20"/>
      <c r="J1152" s="20"/>
      <c r="K1152" s="20"/>
      <c r="L1152" s="20"/>
      <c r="M1152" s="20"/>
      <c r="N1152" s="20"/>
      <c r="O1152" s="20"/>
      <c r="P1152" s="20"/>
      <c r="Q1152" s="20"/>
      <c r="R1152" s="20"/>
      <c r="S1152" s="20"/>
      <c r="T1152" s="20"/>
      <c r="U1152" s="20"/>
      <c r="V1152" s="20"/>
      <c r="W1152" s="20"/>
      <c r="X1152" s="20"/>
      <c r="Y1152" s="20"/>
      <c r="Z1152" s="20"/>
      <c r="AA1152" s="20"/>
      <c r="AB1152" s="20"/>
      <c r="AC1152" s="20"/>
      <c r="AD1152" s="20"/>
      <c r="AE1152" s="20"/>
      <c r="AF1152" s="20"/>
      <c r="AG1152" s="20"/>
      <c r="AH1152" s="20"/>
      <c r="AI1152" s="20"/>
      <c r="AJ1152" s="20"/>
      <c r="AK1152" s="20"/>
      <c r="AL1152" s="20"/>
      <c r="AM1152" s="20"/>
      <c r="AN1152" s="20"/>
      <c r="AO1152" s="20"/>
      <c r="AP1152" s="20"/>
      <c r="AQ1152" s="20"/>
      <c r="AR1152" s="20"/>
      <c r="AS1152" s="20"/>
    </row>
    <row r="1153">
      <c r="A1153" s="20"/>
      <c r="B1153" s="20"/>
      <c r="C1153" s="20"/>
      <c r="D1153" s="20"/>
      <c r="E1153" s="20"/>
      <c r="F1153" s="20"/>
      <c r="G1153" s="20"/>
      <c r="H1153" s="20"/>
      <c r="I1153" s="20"/>
      <c r="J1153" s="20"/>
      <c r="K1153" s="20"/>
      <c r="L1153" s="20"/>
      <c r="M1153" s="20"/>
      <c r="N1153" s="20"/>
      <c r="O1153" s="20"/>
      <c r="P1153" s="20"/>
      <c r="Q1153" s="20"/>
      <c r="R1153" s="20"/>
      <c r="S1153" s="20"/>
      <c r="T1153" s="20"/>
      <c r="U1153" s="20"/>
      <c r="V1153" s="20"/>
      <c r="W1153" s="20"/>
      <c r="X1153" s="20"/>
      <c r="Y1153" s="20"/>
      <c r="Z1153" s="20"/>
      <c r="AA1153" s="20"/>
      <c r="AB1153" s="20"/>
      <c r="AC1153" s="20"/>
      <c r="AD1153" s="20"/>
      <c r="AE1153" s="20"/>
      <c r="AF1153" s="20"/>
      <c r="AG1153" s="20"/>
      <c r="AH1153" s="20"/>
      <c r="AI1153" s="20"/>
      <c r="AJ1153" s="20"/>
      <c r="AK1153" s="20"/>
      <c r="AL1153" s="20"/>
      <c r="AM1153" s="20"/>
      <c r="AN1153" s="20"/>
      <c r="AO1153" s="20"/>
      <c r="AP1153" s="20"/>
      <c r="AQ1153" s="20"/>
      <c r="AR1153" s="20"/>
      <c r="AS1153" s="20"/>
    </row>
    <row r="1154">
      <c r="A1154" s="20"/>
      <c r="B1154" s="20"/>
      <c r="C1154" s="20"/>
      <c r="D1154" s="20"/>
      <c r="E1154" s="20"/>
      <c r="F1154" s="20"/>
      <c r="G1154" s="20"/>
      <c r="H1154" s="20"/>
      <c r="I1154" s="20"/>
      <c r="J1154" s="20"/>
      <c r="K1154" s="20"/>
      <c r="L1154" s="20"/>
      <c r="M1154" s="20"/>
      <c r="N1154" s="20"/>
      <c r="O1154" s="20"/>
      <c r="P1154" s="20"/>
      <c r="Q1154" s="20"/>
      <c r="R1154" s="20"/>
      <c r="S1154" s="20"/>
      <c r="T1154" s="20"/>
      <c r="U1154" s="20"/>
      <c r="V1154" s="20"/>
      <c r="W1154" s="20"/>
      <c r="X1154" s="20"/>
      <c r="Y1154" s="20"/>
      <c r="Z1154" s="20"/>
      <c r="AA1154" s="20"/>
      <c r="AB1154" s="20"/>
      <c r="AC1154" s="20"/>
      <c r="AD1154" s="20"/>
      <c r="AE1154" s="20"/>
      <c r="AF1154" s="20"/>
      <c r="AG1154" s="20"/>
      <c r="AH1154" s="20"/>
      <c r="AI1154" s="20"/>
      <c r="AJ1154" s="20"/>
      <c r="AK1154" s="20"/>
      <c r="AL1154" s="20"/>
      <c r="AM1154" s="20"/>
      <c r="AN1154" s="20"/>
      <c r="AO1154" s="20"/>
      <c r="AP1154" s="20"/>
      <c r="AQ1154" s="20"/>
      <c r="AR1154" s="20"/>
      <c r="AS1154" s="20"/>
    </row>
    <row r="1155">
      <c r="A1155" s="20"/>
      <c r="B1155" s="20"/>
      <c r="C1155" s="20"/>
      <c r="D1155" s="20"/>
      <c r="E1155" s="20"/>
      <c r="F1155" s="20"/>
      <c r="G1155" s="20"/>
      <c r="H1155" s="20"/>
      <c r="I1155" s="20"/>
      <c r="J1155" s="20"/>
      <c r="K1155" s="20"/>
      <c r="L1155" s="20"/>
      <c r="M1155" s="20"/>
      <c r="N1155" s="20"/>
      <c r="O1155" s="20"/>
      <c r="P1155" s="20"/>
      <c r="Q1155" s="20"/>
      <c r="R1155" s="20"/>
      <c r="S1155" s="20"/>
      <c r="T1155" s="20"/>
      <c r="U1155" s="20"/>
      <c r="V1155" s="20"/>
      <c r="W1155" s="20"/>
      <c r="X1155" s="20"/>
      <c r="Y1155" s="20"/>
      <c r="Z1155" s="20"/>
      <c r="AA1155" s="20"/>
      <c r="AB1155" s="20"/>
      <c r="AC1155" s="20"/>
      <c r="AD1155" s="20"/>
      <c r="AE1155" s="20"/>
      <c r="AF1155" s="20"/>
      <c r="AG1155" s="20"/>
      <c r="AH1155" s="20"/>
      <c r="AI1155" s="20"/>
      <c r="AJ1155" s="20"/>
      <c r="AK1155" s="20"/>
      <c r="AL1155" s="20"/>
      <c r="AM1155" s="20"/>
      <c r="AN1155" s="20"/>
      <c r="AO1155" s="20"/>
      <c r="AP1155" s="20"/>
      <c r="AQ1155" s="20"/>
      <c r="AR1155" s="20"/>
      <c r="AS1155" s="20"/>
    </row>
    <row r="1156">
      <c r="A1156" s="20"/>
      <c r="B1156" s="20"/>
      <c r="C1156" s="20"/>
      <c r="D1156" s="20"/>
      <c r="E1156" s="20"/>
      <c r="F1156" s="20"/>
      <c r="G1156" s="20"/>
      <c r="H1156" s="20"/>
      <c r="I1156" s="20"/>
      <c r="J1156" s="20"/>
      <c r="K1156" s="20"/>
      <c r="L1156" s="20"/>
      <c r="M1156" s="20"/>
      <c r="N1156" s="20"/>
      <c r="O1156" s="20"/>
      <c r="P1156" s="20"/>
      <c r="Q1156" s="20"/>
      <c r="R1156" s="20"/>
      <c r="S1156" s="20"/>
      <c r="T1156" s="20"/>
      <c r="U1156" s="20"/>
      <c r="V1156" s="20"/>
      <c r="W1156" s="20"/>
      <c r="X1156" s="20"/>
      <c r="Y1156" s="20"/>
      <c r="Z1156" s="20"/>
      <c r="AA1156" s="20"/>
      <c r="AB1156" s="20"/>
      <c r="AC1156" s="20"/>
      <c r="AD1156" s="20"/>
      <c r="AE1156" s="20"/>
      <c r="AF1156" s="20"/>
      <c r="AG1156" s="20"/>
      <c r="AH1156" s="20"/>
      <c r="AI1156" s="20"/>
      <c r="AJ1156" s="20"/>
      <c r="AK1156" s="20"/>
      <c r="AL1156" s="20"/>
      <c r="AM1156" s="20"/>
      <c r="AN1156" s="20"/>
      <c r="AO1156" s="20"/>
      <c r="AP1156" s="20"/>
      <c r="AQ1156" s="20"/>
      <c r="AR1156" s="20"/>
      <c r="AS1156" s="20"/>
    </row>
    <row r="1157">
      <c r="A1157" s="20"/>
      <c r="B1157" s="20"/>
      <c r="C1157" s="20"/>
      <c r="D1157" s="20"/>
      <c r="E1157" s="20"/>
      <c r="F1157" s="20"/>
      <c r="G1157" s="20"/>
      <c r="H1157" s="20"/>
      <c r="I1157" s="20"/>
      <c r="J1157" s="20"/>
      <c r="K1157" s="20"/>
      <c r="L1157" s="20"/>
      <c r="M1157" s="20"/>
      <c r="N1157" s="20"/>
      <c r="O1157" s="20"/>
      <c r="P1157" s="20"/>
      <c r="Q1157" s="20"/>
      <c r="R1157" s="20"/>
      <c r="S1157" s="20"/>
      <c r="T1157" s="20"/>
      <c r="U1157" s="20"/>
      <c r="V1157" s="20"/>
      <c r="W1157" s="20"/>
      <c r="X1157" s="20"/>
      <c r="Y1157" s="20"/>
      <c r="Z1157" s="20"/>
      <c r="AA1157" s="20"/>
      <c r="AB1157" s="20"/>
      <c r="AC1157" s="20"/>
      <c r="AD1157" s="20"/>
      <c r="AE1157" s="20"/>
      <c r="AF1157" s="20"/>
      <c r="AG1157" s="20"/>
      <c r="AH1157" s="20"/>
      <c r="AI1157" s="20"/>
      <c r="AJ1157" s="20"/>
      <c r="AK1157" s="20"/>
      <c r="AL1157" s="20"/>
      <c r="AM1157" s="20"/>
      <c r="AN1157" s="20"/>
      <c r="AO1157" s="20"/>
      <c r="AP1157" s="20"/>
      <c r="AQ1157" s="20"/>
      <c r="AR1157" s="20"/>
      <c r="AS1157" s="20"/>
    </row>
    <row r="1158">
      <c r="A1158" s="20"/>
      <c r="B1158" s="20"/>
      <c r="C1158" s="20"/>
      <c r="D1158" s="20"/>
      <c r="E1158" s="20"/>
      <c r="F1158" s="20"/>
      <c r="G1158" s="20"/>
      <c r="H1158" s="20"/>
      <c r="I1158" s="20"/>
      <c r="J1158" s="20"/>
      <c r="K1158" s="20"/>
      <c r="L1158" s="20"/>
      <c r="M1158" s="20"/>
      <c r="N1158" s="20"/>
      <c r="O1158" s="20"/>
      <c r="P1158" s="20"/>
      <c r="Q1158" s="20"/>
      <c r="R1158" s="20"/>
      <c r="S1158" s="20"/>
      <c r="T1158" s="20"/>
      <c r="U1158" s="20"/>
      <c r="V1158" s="20"/>
      <c r="W1158" s="20"/>
      <c r="X1158" s="20"/>
      <c r="Y1158" s="20"/>
      <c r="Z1158" s="20"/>
      <c r="AA1158" s="20"/>
      <c r="AB1158" s="20"/>
      <c r="AC1158" s="20"/>
      <c r="AD1158" s="20"/>
      <c r="AE1158" s="20"/>
      <c r="AF1158" s="20"/>
      <c r="AG1158" s="20"/>
      <c r="AH1158" s="20"/>
      <c r="AI1158" s="20"/>
      <c r="AJ1158" s="20"/>
      <c r="AK1158" s="20"/>
      <c r="AL1158" s="20"/>
      <c r="AM1158" s="20"/>
      <c r="AN1158" s="20"/>
      <c r="AO1158" s="20"/>
      <c r="AP1158" s="20"/>
      <c r="AQ1158" s="20"/>
      <c r="AR1158" s="20"/>
      <c r="AS1158" s="20"/>
    </row>
    <row r="1159">
      <c r="A1159" s="20"/>
      <c r="B1159" s="20"/>
      <c r="C1159" s="20"/>
      <c r="D1159" s="20"/>
      <c r="E1159" s="20"/>
      <c r="F1159" s="20"/>
      <c r="G1159" s="20"/>
      <c r="H1159" s="20"/>
      <c r="I1159" s="20"/>
      <c r="J1159" s="20"/>
      <c r="K1159" s="20"/>
      <c r="L1159" s="20"/>
      <c r="M1159" s="20"/>
      <c r="N1159" s="20"/>
      <c r="O1159" s="20"/>
      <c r="P1159" s="20"/>
      <c r="Q1159" s="20"/>
      <c r="R1159" s="20"/>
      <c r="S1159" s="20"/>
      <c r="T1159" s="20"/>
      <c r="U1159" s="20"/>
      <c r="V1159" s="20"/>
      <c r="W1159" s="20"/>
      <c r="X1159" s="20"/>
      <c r="Y1159" s="20"/>
      <c r="Z1159" s="20"/>
      <c r="AA1159" s="20"/>
      <c r="AB1159" s="20"/>
      <c r="AC1159" s="20"/>
      <c r="AD1159" s="20"/>
      <c r="AE1159" s="20"/>
      <c r="AF1159" s="20"/>
      <c r="AG1159" s="20"/>
      <c r="AH1159" s="20"/>
      <c r="AI1159" s="20"/>
      <c r="AJ1159" s="20"/>
      <c r="AK1159" s="20"/>
      <c r="AL1159" s="20"/>
      <c r="AM1159" s="20"/>
      <c r="AN1159" s="20"/>
      <c r="AO1159" s="20"/>
      <c r="AP1159" s="20"/>
      <c r="AQ1159" s="20"/>
      <c r="AR1159" s="20"/>
      <c r="AS1159" s="20"/>
    </row>
    <row r="1160">
      <c r="A1160" s="20"/>
      <c r="B1160" s="20"/>
      <c r="C1160" s="20"/>
      <c r="D1160" s="20"/>
      <c r="E1160" s="20"/>
      <c r="F1160" s="20"/>
      <c r="G1160" s="20"/>
      <c r="H1160" s="20"/>
      <c r="I1160" s="20"/>
      <c r="J1160" s="20"/>
      <c r="K1160" s="20"/>
      <c r="L1160" s="20"/>
      <c r="M1160" s="20"/>
      <c r="N1160" s="20"/>
      <c r="O1160" s="20"/>
      <c r="P1160" s="20"/>
      <c r="Q1160" s="20"/>
      <c r="R1160" s="20"/>
      <c r="S1160" s="20"/>
      <c r="T1160" s="20"/>
      <c r="U1160" s="20"/>
      <c r="V1160" s="20"/>
      <c r="W1160" s="20"/>
      <c r="X1160" s="20"/>
      <c r="Y1160" s="20"/>
      <c r="Z1160" s="20"/>
      <c r="AA1160" s="20"/>
      <c r="AB1160" s="20"/>
      <c r="AC1160" s="20"/>
      <c r="AD1160" s="20"/>
      <c r="AE1160" s="20"/>
      <c r="AF1160" s="20"/>
      <c r="AG1160" s="20"/>
      <c r="AH1160" s="20"/>
      <c r="AI1160" s="20"/>
      <c r="AJ1160" s="20"/>
      <c r="AK1160" s="20"/>
      <c r="AL1160" s="20"/>
      <c r="AM1160" s="20"/>
      <c r="AN1160" s="20"/>
      <c r="AO1160" s="20"/>
      <c r="AP1160" s="20"/>
      <c r="AQ1160" s="20"/>
      <c r="AR1160" s="20"/>
      <c r="AS1160" s="20"/>
    </row>
    <row r="1161">
      <c r="A1161" s="20"/>
      <c r="B1161" s="20"/>
      <c r="C1161" s="20"/>
      <c r="D1161" s="20"/>
      <c r="E1161" s="20"/>
      <c r="F1161" s="20"/>
      <c r="G1161" s="20"/>
      <c r="H1161" s="20"/>
      <c r="I1161" s="20"/>
      <c r="J1161" s="20"/>
      <c r="K1161" s="20"/>
      <c r="L1161" s="20"/>
      <c r="M1161" s="20"/>
      <c r="N1161" s="20"/>
      <c r="O1161" s="20"/>
      <c r="P1161" s="20"/>
      <c r="Q1161" s="20"/>
      <c r="R1161" s="20"/>
      <c r="S1161" s="20"/>
      <c r="T1161" s="20"/>
      <c r="U1161" s="20"/>
      <c r="V1161" s="20"/>
      <c r="W1161" s="20"/>
      <c r="X1161" s="20"/>
      <c r="Y1161" s="20"/>
      <c r="Z1161" s="20"/>
      <c r="AA1161" s="20"/>
      <c r="AB1161" s="20"/>
      <c r="AC1161" s="20"/>
      <c r="AD1161" s="20"/>
      <c r="AE1161" s="20"/>
      <c r="AF1161" s="20"/>
      <c r="AG1161" s="20"/>
      <c r="AH1161" s="20"/>
      <c r="AI1161" s="20"/>
      <c r="AJ1161" s="20"/>
      <c r="AK1161" s="20"/>
      <c r="AL1161" s="20"/>
      <c r="AM1161" s="20"/>
      <c r="AN1161" s="20"/>
      <c r="AO1161" s="20"/>
      <c r="AP1161" s="20"/>
      <c r="AQ1161" s="20"/>
      <c r="AR1161" s="20"/>
      <c r="AS1161" s="20"/>
    </row>
    <row r="1162">
      <c r="A1162" s="20"/>
      <c r="B1162" s="20"/>
      <c r="C1162" s="20"/>
      <c r="D1162" s="20"/>
      <c r="E1162" s="20"/>
      <c r="F1162" s="20"/>
      <c r="G1162" s="20"/>
      <c r="H1162" s="20"/>
      <c r="I1162" s="20"/>
      <c r="J1162" s="20"/>
      <c r="K1162" s="20"/>
      <c r="L1162" s="20"/>
      <c r="M1162" s="20"/>
      <c r="N1162" s="20"/>
      <c r="O1162" s="20"/>
      <c r="P1162" s="20"/>
      <c r="Q1162" s="20"/>
      <c r="R1162" s="20"/>
      <c r="S1162" s="20"/>
      <c r="T1162" s="20"/>
      <c r="U1162" s="20"/>
      <c r="V1162" s="20"/>
      <c r="W1162" s="20"/>
      <c r="X1162" s="20"/>
      <c r="Y1162" s="20"/>
      <c r="Z1162" s="20"/>
      <c r="AA1162" s="20"/>
      <c r="AB1162" s="20"/>
      <c r="AC1162" s="20"/>
      <c r="AD1162" s="20"/>
      <c r="AE1162" s="20"/>
      <c r="AF1162" s="20"/>
      <c r="AG1162" s="20"/>
      <c r="AH1162" s="20"/>
      <c r="AI1162" s="20"/>
      <c r="AJ1162" s="20"/>
      <c r="AK1162" s="20"/>
      <c r="AL1162" s="20"/>
      <c r="AM1162" s="20"/>
      <c r="AN1162" s="20"/>
      <c r="AO1162" s="20"/>
      <c r="AP1162" s="20"/>
      <c r="AQ1162" s="20"/>
      <c r="AR1162" s="20"/>
      <c r="AS1162" s="20"/>
    </row>
    <row r="1163">
      <c r="A1163" s="20"/>
      <c r="B1163" s="20"/>
      <c r="C1163" s="20"/>
      <c r="D1163" s="20"/>
      <c r="E1163" s="20"/>
      <c r="F1163" s="20"/>
      <c r="G1163" s="20"/>
      <c r="H1163" s="20"/>
      <c r="I1163" s="20"/>
      <c r="J1163" s="20"/>
      <c r="K1163" s="20"/>
      <c r="L1163" s="20"/>
      <c r="M1163" s="20"/>
      <c r="N1163" s="20"/>
      <c r="O1163" s="20"/>
      <c r="P1163" s="20"/>
      <c r="Q1163" s="20"/>
      <c r="R1163" s="20"/>
      <c r="S1163" s="20"/>
      <c r="T1163" s="20"/>
      <c r="U1163" s="20"/>
      <c r="V1163" s="20"/>
      <c r="W1163" s="20"/>
      <c r="X1163" s="20"/>
      <c r="Y1163" s="20"/>
      <c r="Z1163" s="20"/>
      <c r="AA1163" s="20"/>
      <c r="AB1163" s="20"/>
      <c r="AC1163" s="20"/>
      <c r="AD1163" s="20"/>
      <c r="AE1163" s="20"/>
      <c r="AF1163" s="20"/>
      <c r="AG1163" s="20"/>
      <c r="AH1163" s="20"/>
      <c r="AI1163" s="20"/>
      <c r="AJ1163" s="20"/>
      <c r="AK1163" s="20"/>
      <c r="AL1163" s="20"/>
      <c r="AM1163" s="20"/>
      <c r="AN1163" s="20"/>
      <c r="AO1163" s="20"/>
      <c r="AP1163" s="20"/>
      <c r="AQ1163" s="20"/>
      <c r="AR1163" s="20"/>
      <c r="AS1163" s="20"/>
    </row>
    <row r="1164">
      <c r="A1164" s="20"/>
      <c r="B1164" s="20"/>
      <c r="C1164" s="20"/>
      <c r="D1164" s="20"/>
      <c r="E1164" s="20"/>
      <c r="F1164" s="20"/>
      <c r="G1164" s="20"/>
      <c r="H1164" s="20"/>
      <c r="I1164" s="20"/>
      <c r="J1164" s="20"/>
      <c r="K1164" s="20"/>
      <c r="L1164" s="20"/>
      <c r="M1164" s="20"/>
      <c r="N1164" s="20"/>
      <c r="O1164" s="20"/>
      <c r="P1164" s="20"/>
      <c r="Q1164" s="20"/>
      <c r="R1164" s="20"/>
      <c r="S1164" s="20"/>
      <c r="T1164" s="20"/>
      <c r="U1164" s="20"/>
      <c r="V1164" s="20"/>
      <c r="W1164" s="20"/>
      <c r="X1164" s="20"/>
      <c r="Y1164" s="20"/>
      <c r="Z1164" s="20"/>
      <c r="AA1164" s="20"/>
      <c r="AB1164" s="20"/>
      <c r="AC1164" s="20"/>
      <c r="AD1164" s="20"/>
      <c r="AE1164" s="20"/>
      <c r="AF1164" s="20"/>
      <c r="AG1164" s="20"/>
      <c r="AH1164" s="20"/>
      <c r="AI1164" s="20"/>
      <c r="AJ1164" s="20"/>
      <c r="AK1164" s="20"/>
      <c r="AL1164" s="20"/>
      <c r="AM1164" s="20"/>
      <c r="AN1164" s="20"/>
      <c r="AO1164" s="20"/>
      <c r="AP1164" s="20"/>
      <c r="AQ1164" s="20"/>
      <c r="AR1164" s="20"/>
      <c r="AS1164" s="20"/>
    </row>
    <row r="1165">
      <c r="A1165" s="20"/>
      <c r="B1165" s="20"/>
      <c r="C1165" s="20"/>
      <c r="D1165" s="20"/>
      <c r="E1165" s="20"/>
      <c r="F1165" s="20"/>
      <c r="G1165" s="20"/>
      <c r="H1165" s="20"/>
      <c r="I1165" s="20"/>
      <c r="J1165" s="20"/>
      <c r="K1165" s="20"/>
      <c r="L1165" s="20"/>
      <c r="M1165" s="20"/>
      <c r="N1165" s="20"/>
      <c r="O1165" s="20"/>
      <c r="P1165" s="20"/>
      <c r="Q1165" s="20"/>
      <c r="R1165" s="20"/>
      <c r="S1165" s="20"/>
      <c r="T1165" s="20"/>
      <c r="U1165" s="20"/>
      <c r="V1165" s="20"/>
      <c r="W1165" s="20"/>
      <c r="X1165" s="20"/>
      <c r="Y1165" s="20"/>
      <c r="Z1165" s="20"/>
      <c r="AA1165" s="20"/>
      <c r="AB1165" s="20"/>
      <c r="AC1165" s="20"/>
      <c r="AD1165" s="20"/>
      <c r="AE1165" s="20"/>
      <c r="AF1165" s="20"/>
      <c r="AG1165" s="20"/>
      <c r="AH1165" s="20"/>
      <c r="AI1165" s="20"/>
      <c r="AJ1165" s="20"/>
      <c r="AK1165" s="20"/>
      <c r="AL1165" s="20"/>
      <c r="AM1165" s="20"/>
      <c r="AN1165" s="20"/>
      <c r="AO1165" s="20"/>
      <c r="AP1165" s="20"/>
      <c r="AQ1165" s="20"/>
      <c r="AR1165" s="20"/>
      <c r="AS1165" s="20"/>
    </row>
    <row r="1166">
      <c r="A1166" s="20"/>
      <c r="B1166" s="20"/>
      <c r="C1166" s="20"/>
      <c r="D1166" s="20"/>
      <c r="E1166" s="20"/>
      <c r="F1166" s="20"/>
      <c r="G1166" s="20"/>
      <c r="H1166" s="20"/>
      <c r="I1166" s="20"/>
      <c r="J1166" s="20"/>
      <c r="K1166" s="20"/>
      <c r="L1166" s="20"/>
      <c r="M1166" s="20"/>
      <c r="N1166" s="20"/>
      <c r="O1166" s="20"/>
      <c r="P1166" s="20"/>
      <c r="Q1166" s="20"/>
      <c r="R1166" s="20"/>
      <c r="S1166" s="20"/>
      <c r="T1166" s="20"/>
      <c r="U1166" s="20"/>
      <c r="V1166" s="20"/>
      <c r="W1166" s="20"/>
      <c r="X1166" s="20"/>
      <c r="Y1166" s="20"/>
      <c r="Z1166" s="20"/>
      <c r="AA1166" s="20"/>
      <c r="AB1166" s="20"/>
      <c r="AC1166" s="20"/>
      <c r="AD1166" s="20"/>
      <c r="AE1166" s="20"/>
      <c r="AF1166" s="20"/>
      <c r="AG1166" s="20"/>
      <c r="AH1166" s="20"/>
      <c r="AI1166" s="20"/>
      <c r="AJ1166" s="20"/>
      <c r="AK1166" s="20"/>
      <c r="AL1166" s="20"/>
      <c r="AM1166" s="20"/>
      <c r="AN1166" s="20"/>
      <c r="AO1166" s="20"/>
      <c r="AP1166" s="20"/>
      <c r="AQ1166" s="20"/>
      <c r="AR1166" s="20"/>
      <c r="AS1166" s="20"/>
    </row>
    <row r="1167">
      <c r="A1167" s="20"/>
      <c r="B1167" s="20"/>
      <c r="C1167" s="20"/>
      <c r="D1167" s="20"/>
      <c r="E1167" s="20"/>
      <c r="F1167" s="20"/>
      <c r="G1167" s="20"/>
      <c r="H1167" s="20"/>
      <c r="I1167" s="20"/>
      <c r="J1167" s="20"/>
      <c r="K1167" s="20"/>
      <c r="L1167" s="20"/>
      <c r="M1167" s="20"/>
      <c r="N1167" s="20"/>
      <c r="O1167" s="20"/>
      <c r="P1167" s="20"/>
      <c r="Q1167" s="20"/>
      <c r="R1167" s="20"/>
      <c r="S1167" s="20"/>
      <c r="T1167" s="20"/>
      <c r="U1167" s="20"/>
      <c r="V1167" s="20"/>
      <c r="W1167" s="20"/>
      <c r="X1167" s="20"/>
      <c r="Y1167" s="20"/>
      <c r="Z1167" s="20"/>
      <c r="AA1167" s="20"/>
      <c r="AB1167" s="20"/>
      <c r="AC1167" s="20"/>
      <c r="AD1167" s="20"/>
      <c r="AE1167" s="20"/>
      <c r="AF1167" s="20"/>
      <c r="AG1167" s="20"/>
      <c r="AH1167" s="20"/>
      <c r="AI1167" s="20"/>
      <c r="AJ1167" s="20"/>
      <c r="AK1167" s="20"/>
      <c r="AL1167" s="20"/>
      <c r="AM1167" s="20"/>
      <c r="AN1167" s="20"/>
      <c r="AO1167" s="20"/>
      <c r="AP1167" s="20"/>
      <c r="AQ1167" s="20"/>
      <c r="AR1167" s="20"/>
      <c r="AS1167" s="20"/>
    </row>
    <row r="1168">
      <c r="A1168" s="20"/>
      <c r="B1168" s="20"/>
      <c r="C1168" s="20"/>
      <c r="D1168" s="20"/>
      <c r="E1168" s="20"/>
      <c r="F1168" s="20"/>
      <c r="G1168" s="20"/>
      <c r="H1168" s="20"/>
      <c r="I1168" s="20"/>
      <c r="J1168" s="20"/>
      <c r="K1168" s="20"/>
      <c r="L1168" s="20"/>
      <c r="M1168" s="20"/>
      <c r="N1168" s="20"/>
      <c r="O1168" s="20"/>
      <c r="P1168" s="20"/>
      <c r="Q1168" s="20"/>
      <c r="R1168" s="20"/>
      <c r="S1168" s="20"/>
      <c r="T1168" s="20"/>
      <c r="U1168" s="20"/>
      <c r="V1168" s="20"/>
      <c r="W1168" s="20"/>
      <c r="X1168" s="20"/>
      <c r="Y1168" s="20"/>
      <c r="Z1168" s="20"/>
      <c r="AA1168" s="20"/>
      <c r="AB1168" s="20"/>
      <c r="AC1168" s="20"/>
      <c r="AD1168" s="20"/>
      <c r="AE1168" s="20"/>
      <c r="AF1168" s="20"/>
      <c r="AG1168" s="20"/>
      <c r="AH1168" s="20"/>
      <c r="AI1168" s="20"/>
      <c r="AJ1168" s="20"/>
      <c r="AK1168" s="20"/>
      <c r="AL1168" s="20"/>
      <c r="AM1168" s="20"/>
      <c r="AN1168" s="20"/>
      <c r="AO1168" s="20"/>
      <c r="AP1168" s="20"/>
      <c r="AQ1168" s="20"/>
      <c r="AR1168" s="20"/>
      <c r="AS1168" s="20"/>
    </row>
    <row r="1169">
      <c r="A1169" s="20"/>
      <c r="B1169" s="20"/>
      <c r="C1169" s="20"/>
      <c r="D1169" s="20"/>
      <c r="E1169" s="20"/>
      <c r="F1169" s="20"/>
      <c r="G1169" s="20"/>
      <c r="H1169" s="20"/>
      <c r="I1169" s="20"/>
      <c r="J1169" s="20"/>
      <c r="K1169" s="20"/>
      <c r="L1169" s="20"/>
      <c r="M1169" s="20"/>
      <c r="N1169" s="20"/>
      <c r="O1169" s="20"/>
      <c r="P1169" s="20"/>
      <c r="Q1169" s="20"/>
      <c r="R1169" s="20"/>
      <c r="S1169" s="20"/>
      <c r="T1169" s="20"/>
      <c r="U1169" s="20"/>
      <c r="V1169" s="20"/>
      <c r="W1169" s="20"/>
      <c r="X1169" s="20"/>
      <c r="Y1169" s="20"/>
      <c r="Z1169" s="20"/>
      <c r="AA1169" s="20"/>
      <c r="AB1169" s="20"/>
      <c r="AC1169" s="20"/>
      <c r="AD1169" s="20"/>
      <c r="AE1169" s="20"/>
      <c r="AF1169" s="20"/>
      <c r="AG1169" s="20"/>
      <c r="AH1169" s="20"/>
      <c r="AI1169" s="20"/>
      <c r="AJ1169" s="20"/>
      <c r="AK1169" s="20"/>
      <c r="AL1169" s="20"/>
      <c r="AM1169" s="20"/>
      <c r="AN1169" s="20"/>
      <c r="AO1169" s="20"/>
      <c r="AP1169" s="20"/>
      <c r="AQ1169" s="20"/>
      <c r="AR1169" s="20"/>
      <c r="AS1169" s="20"/>
    </row>
    <row r="1170">
      <c r="A1170" s="20"/>
      <c r="B1170" s="20"/>
      <c r="C1170" s="20"/>
      <c r="D1170" s="20"/>
      <c r="E1170" s="20"/>
      <c r="F1170" s="20"/>
      <c r="G1170" s="20"/>
      <c r="H1170" s="20"/>
      <c r="I1170" s="20"/>
      <c r="J1170" s="20"/>
      <c r="K1170" s="20"/>
      <c r="L1170" s="20"/>
      <c r="M1170" s="20"/>
      <c r="N1170" s="20"/>
      <c r="O1170" s="20"/>
      <c r="P1170" s="20"/>
      <c r="Q1170" s="20"/>
      <c r="R1170" s="20"/>
      <c r="S1170" s="20"/>
      <c r="T1170" s="20"/>
      <c r="U1170" s="20"/>
      <c r="V1170" s="20"/>
      <c r="W1170" s="20"/>
      <c r="X1170" s="20"/>
      <c r="Y1170" s="20"/>
      <c r="Z1170" s="20"/>
      <c r="AA1170" s="20"/>
      <c r="AB1170" s="20"/>
      <c r="AC1170" s="20"/>
      <c r="AD1170" s="20"/>
      <c r="AE1170" s="20"/>
      <c r="AF1170" s="20"/>
      <c r="AG1170" s="20"/>
      <c r="AH1170" s="20"/>
      <c r="AI1170" s="20"/>
      <c r="AJ1170" s="20"/>
      <c r="AK1170" s="20"/>
      <c r="AL1170" s="20"/>
      <c r="AM1170" s="20"/>
      <c r="AN1170" s="20"/>
      <c r="AO1170" s="20"/>
      <c r="AP1170" s="20"/>
      <c r="AQ1170" s="20"/>
      <c r="AR1170" s="20"/>
      <c r="AS1170" s="20"/>
    </row>
    <row r="1171">
      <c r="A1171" s="20"/>
      <c r="B1171" s="20"/>
      <c r="C1171" s="20"/>
      <c r="D1171" s="20"/>
      <c r="E1171" s="20"/>
      <c r="F1171" s="20"/>
      <c r="G1171" s="20"/>
      <c r="H1171" s="20"/>
      <c r="I1171" s="20"/>
      <c r="J1171" s="20"/>
      <c r="K1171" s="20"/>
      <c r="L1171" s="20"/>
      <c r="M1171" s="20"/>
      <c r="N1171" s="20"/>
      <c r="O1171" s="20"/>
      <c r="P1171" s="20"/>
      <c r="Q1171" s="20"/>
      <c r="R1171" s="20"/>
      <c r="S1171" s="20"/>
      <c r="T1171" s="20"/>
      <c r="U1171" s="20"/>
      <c r="V1171" s="20"/>
      <c r="W1171" s="20"/>
      <c r="X1171" s="20"/>
      <c r="Y1171" s="20"/>
      <c r="Z1171" s="20"/>
      <c r="AA1171" s="20"/>
      <c r="AB1171" s="20"/>
      <c r="AC1171" s="20"/>
      <c r="AD1171" s="20"/>
      <c r="AE1171" s="20"/>
      <c r="AF1171" s="20"/>
      <c r="AG1171" s="20"/>
      <c r="AH1171" s="20"/>
      <c r="AI1171" s="20"/>
      <c r="AJ1171" s="20"/>
      <c r="AK1171" s="20"/>
      <c r="AL1171" s="20"/>
      <c r="AM1171" s="20"/>
      <c r="AN1171" s="20"/>
      <c r="AO1171" s="20"/>
      <c r="AP1171" s="20"/>
      <c r="AQ1171" s="20"/>
      <c r="AR1171" s="20"/>
      <c r="AS1171" s="20"/>
    </row>
    <row r="1172">
      <c r="A1172" s="20"/>
      <c r="B1172" s="20"/>
      <c r="C1172" s="20"/>
      <c r="D1172" s="20"/>
      <c r="E1172" s="20"/>
      <c r="F1172" s="20"/>
      <c r="G1172" s="20"/>
      <c r="H1172" s="20"/>
      <c r="I1172" s="20"/>
      <c r="J1172" s="20"/>
      <c r="K1172" s="20"/>
      <c r="L1172" s="20"/>
      <c r="M1172" s="20"/>
      <c r="N1172" s="20"/>
      <c r="O1172" s="20"/>
      <c r="P1172" s="20"/>
      <c r="Q1172" s="20"/>
      <c r="R1172" s="20"/>
      <c r="S1172" s="20"/>
      <c r="T1172" s="20"/>
      <c r="U1172" s="20"/>
      <c r="V1172" s="20"/>
      <c r="W1172" s="20"/>
      <c r="X1172" s="20"/>
      <c r="Y1172" s="20"/>
      <c r="Z1172" s="20"/>
      <c r="AA1172" s="20"/>
      <c r="AB1172" s="20"/>
      <c r="AC1172" s="20"/>
      <c r="AD1172" s="20"/>
      <c r="AE1172" s="20"/>
      <c r="AF1172" s="20"/>
      <c r="AG1172" s="20"/>
      <c r="AH1172" s="20"/>
      <c r="AI1172" s="20"/>
      <c r="AJ1172" s="20"/>
      <c r="AK1172" s="20"/>
      <c r="AL1172" s="20"/>
      <c r="AM1172" s="20"/>
      <c r="AN1172" s="20"/>
      <c r="AO1172" s="20"/>
      <c r="AP1172" s="20"/>
      <c r="AQ1172" s="20"/>
      <c r="AR1172" s="20"/>
      <c r="AS1172" s="20"/>
    </row>
    <row r="1173">
      <c r="A1173" s="20"/>
      <c r="B1173" s="20"/>
      <c r="C1173" s="20"/>
      <c r="D1173" s="20"/>
      <c r="E1173" s="20"/>
      <c r="F1173" s="20"/>
      <c r="G1173" s="20"/>
      <c r="H1173" s="20"/>
      <c r="I1173" s="20"/>
      <c r="J1173" s="20"/>
      <c r="K1173" s="20"/>
      <c r="L1173" s="20"/>
      <c r="M1173" s="20"/>
      <c r="N1173" s="20"/>
      <c r="O1173" s="20"/>
      <c r="P1173" s="20"/>
      <c r="Q1173" s="20"/>
      <c r="R1173" s="20"/>
      <c r="S1173" s="20"/>
      <c r="T1173" s="20"/>
      <c r="U1173" s="20"/>
      <c r="V1173" s="20"/>
      <c r="W1173" s="20"/>
      <c r="X1173" s="20"/>
      <c r="Y1173" s="20"/>
      <c r="Z1173" s="20"/>
      <c r="AA1173" s="20"/>
      <c r="AB1173" s="20"/>
      <c r="AC1173" s="20"/>
      <c r="AD1173" s="20"/>
      <c r="AE1173" s="20"/>
      <c r="AF1173" s="20"/>
      <c r="AG1173" s="20"/>
      <c r="AH1173" s="20"/>
      <c r="AI1173" s="20"/>
      <c r="AJ1173" s="20"/>
      <c r="AK1173" s="20"/>
      <c r="AL1173" s="20"/>
      <c r="AM1173" s="20"/>
      <c r="AN1173" s="20"/>
      <c r="AO1173" s="20"/>
      <c r="AP1173" s="20"/>
      <c r="AQ1173" s="20"/>
      <c r="AR1173" s="20"/>
      <c r="AS1173" s="20"/>
    </row>
    <row r="1174">
      <c r="A1174" s="20"/>
      <c r="B1174" s="20"/>
      <c r="C1174" s="20"/>
      <c r="D1174" s="20"/>
      <c r="E1174" s="20"/>
      <c r="F1174" s="20"/>
      <c r="G1174" s="20"/>
      <c r="H1174" s="20"/>
      <c r="I1174" s="20"/>
      <c r="J1174" s="20"/>
      <c r="K1174" s="20"/>
      <c r="L1174" s="20"/>
      <c r="M1174" s="20"/>
      <c r="N1174" s="20"/>
      <c r="O1174" s="20"/>
      <c r="P1174" s="20"/>
      <c r="Q1174" s="20"/>
      <c r="R1174" s="20"/>
      <c r="S1174" s="20"/>
      <c r="T1174" s="20"/>
      <c r="U1174" s="20"/>
      <c r="V1174" s="20"/>
      <c r="W1174" s="20"/>
      <c r="X1174" s="20"/>
      <c r="Y1174" s="20"/>
      <c r="Z1174" s="20"/>
      <c r="AA1174" s="20"/>
      <c r="AB1174" s="20"/>
      <c r="AC1174" s="20"/>
      <c r="AD1174" s="20"/>
      <c r="AE1174" s="20"/>
      <c r="AF1174" s="20"/>
      <c r="AG1174" s="20"/>
      <c r="AH1174" s="20"/>
      <c r="AI1174" s="20"/>
      <c r="AJ1174" s="20"/>
      <c r="AK1174" s="20"/>
      <c r="AL1174" s="20"/>
      <c r="AM1174" s="20"/>
      <c r="AN1174" s="20"/>
      <c r="AO1174" s="20"/>
      <c r="AP1174" s="20"/>
      <c r="AQ1174" s="20"/>
      <c r="AR1174" s="20"/>
      <c r="AS1174" s="20"/>
    </row>
    <row r="1175">
      <c r="A1175" s="20"/>
      <c r="B1175" s="20"/>
      <c r="C1175" s="20"/>
      <c r="D1175" s="20"/>
      <c r="E1175" s="20"/>
      <c r="F1175" s="20"/>
      <c r="G1175" s="20"/>
      <c r="H1175" s="20"/>
      <c r="I1175" s="20"/>
      <c r="J1175" s="20"/>
      <c r="K1175" s="20"/>
      <c r="L1175" s="20"/>
      <c r="M1175" s="20"/>
      <c r="N1175" s="20"/>
      <c r="O1175" s="20"/>
      <c r="P1175" s="20"/>
      <c r="Q1175" s="20"/>
      <c r="R1175" s="20"/>
      <c r="S1175" s="20"/>
      <c r="T1175" s="20"/>
      <c r="U1175" s="20"/>
      <c r="V1175" s="20"/>
      <c r="W1175" s="20"/>
      <c r="X1175" s="20"/>
      <c r="Y1175" s="20"/>
      <c r="Z1175" s="20"/>
      <c r="AA1175" s="20"/>
      <c r="AB1175" s="20"/>
      <c r="AC1175" s="20"/>
      <c r="AD1175" s="20"/>
      <c r="AE1175" s="20"/>
      <c r="AF1175" s="20"/>
      <c r="AG1175" s="20"/>
      <c r="AH1175" s="20"/>
      <c r="AI1175" s="20"/>
      <c r="AJ1175" s="20"/>
      <c r="AK1175" s="20"/>
      <c r="AL1175" s="20"/>
      <c r="AM1175" s="20"/>
      <c r="AN1175" s="20"/>
      <c r="AO1175" s="20"/>
      <c r="AP1175" s="20"/>
      <c r="AQ1175" s="20"/>
      <c r="AR1175" s="20"/>
      <c r="AS1175" s="20"/>
    </row>
    <row r="1176">
      <c r="A1176" s="20"/>
      <c r="B1176" s="20"/>
      <c r="C1176" s="20"/>
      <c r="D1176" s="20"/>
      <c r="E1176" s="20"/>
      <c r="F1176" s="20"/>
      <c r="G1176" s="20"/>
      <c r="H1176" s="20"/>
      <c r="I1176" s="20"/>
      <c r="J1176" s="20"/>
      <c r="K1176" s="20"/>
      <c r="L1176" s="20"/>
      <c r="M1176" s="20"/>
      <c r="N1176" s="20"/>
      <c r="O1176" s="20"/>
      <c r="P1176" s="20"/>
      <c r="Q1176" s="20"/>
      <c r="R1176" s="20"/>
      <c r="S1176" s="20"/>
      <c r="T1176" s="20"/>
      <c r="U1176" s="20"/>
      <c r="V1176" s="20"/>
      <c r="W1176" s="20"/>
      <c r="X1176" s="20"/>
      <c r="Y1176" s="20"/>
      <c r="Z1176" s="20"/>
      <c r="AA1176" s="20"/>
      <c r="AB1176" s="20"/>
      <c r="AC1176" s="20"/>
      <c r="AD1176" s="20"/>
      <c r="AE1176" s="20"/>
      <c r="AF1176" s="20"/>
      <c r="AG1176" s="20"/>
      <c r="AH1176" s="20"/>
      <c r="AI1176" s="20"/>
      <c r="AJ1176" s="20"/>
      <c r="AK1176" s="20"/>
      <c r="AL1176" s="20"/>
      <c r="AM1176" s="20"/>
      <c r="AN1176" s="20"/>
      <c r="AO1176" s="20"/>
      <c r="AP1176" s="20"/>
      <c r="AQ1176" s="20"/>
      <c r="AR1176" s="20"/>
      <c r="AS1176" s="20"/>
    </row>
    <row r="1177">
      <c r="A1177" s="20"/>
      <c r="B1177" s="20"/>
      <c r="C1177" s="20"/>
      <c r="D1177" s="20"/>
      <c r="E1177" s="20"/>
      <c r="F1177" s="20"/>
      <c r="G1177" s="20"/>
      <c r="H1177" s="20"/>
      <c r="I1177" s="20"/>
      <c r="J1177" s="20"/>
      <c r="K1177" s="20"/>
      <c r="L1177" s="20"/>
      <c r="M1177" s="20"/>
      <c r="N1177" s="20"/>
      <c r="O1177" s="20"/>
      <c r="P1177" s="20"/>
      <c r="Q1177" s="20"/>
      <c r="R1177" s="20"/>
      <c r="S1177" s="20"/>
      <c r="T1177" s="20"/>
      <c r="U1177" s="20"/>
      <c r="V1177" s="20"/>
      <c r="W1177" s="20"/>
      <c r="X1177" s="20"/>
      <c r="Y1177" s="20"/>
      <c r="Z1177" s="20"/>
      <c r="AA1177" s="20"/>
      <c r="AB1177" s="20"/>
      <c r="AC1177" s="20"/>
      <c r="AD1177" s="20"/>
      <c r="AE1177" s="20"/>
      <c r="AF1177" s="20"/>
      <c r="AG1177" s="20"/>
      <c r="AH1177" s="20"/>
      <c r="AI1177" s="20"/>
      <c r="AJ1177" s="20"/>
      <c r="AK1177" s="20"/>
      <c r="AL1177" s="20"/>
      <c r="AM1177" s="20"/>
      <c r="AN1177" s="20"/>
      <c r="AO1177" s="20"/>
      <c r="AP1177" s="20"/>
      <c r="AQ1177" s="20"/>
      <c r="AR1177" s="20"/>
      <c r="AS1177" s="20"/>
    </row>
    <row r="1178">
      <c r="A1178" s="20"/>
      <c r="B1178" s="20"/>
      <c r="C1178" s="20"/>
      <c r="D1178" s="20"/>
      <c r="E1178" s="20"/>
      <c r="F1178" s="20"/>
      <c r="G1178" s="20"/>
      <c r="H1178" s="20"/>
      <c r="I1178" s="20"/>
      <c r="J1178" s="20"/>
      <c r="K1178" s="20"/>
      <c r="L1178" s="20"/>
      <c r="M1178" s="20"/>
      <c r="N1178" s="20"/>
      <c r="O1178" s="20"/>
      <c r="P1178" s="20"/>
      <c r="Q1178" s="20"/>
      <c r="R1178" s="20"/>
      <c r="S1178" s="20"/>
      <c r="T1178" s="20"/>
      <c r="U1178" s="20"/>
      <c r="V1178" s="20"/>
      <c r="W1178" s="20"/>
      <c r="X1178" s="20"/>
      <c r="Y1178" s="20"/>
      <c r="Z1178" s="20"/>
      <c r="AA1178" s="20"/>
      <c r="AB1178" s="20"/>
      <c r="AC1178" s="20"/>
      <c r="AD1178" s="20"/>
      <c r="AE1178" s="20"/>
      <c r="AF1178" s="20"/>
      <c r="AG1178" s="20"/>
      <c r="AH1178" s="20"/>
      <c r="AI1178" s="20"/>
      <c r="AJ1178" s="20"/>
      <c r="AK1178" s="20"/>
      <c r="AL1178" s="20"/>
      <c r="AM1178" s="20"/>
      <c r="AN1178" s="20"/>
      <c r="AO1178" s="20"/>
      <c r="AP1178" s="20"/>
      <c r="AQ1178" s="20"/>
      <c r="AR1178" s="20"/>
      <c r="AS1178" s="20"/>
    </row>
    <row r="1179">
      <c r="A1179" s="20"/>
      <c r="B1179" s="20"/>
      <c r="C1179" s="20"/>
      <c r="D1179" s="20"/>
      <c r="E1179" s="20"/>
      <c r="F1179" s="20"/>
      <c r="G1179" s="20"/>
      <c r="H1179" s="20"/>
      <c r="I1179" s="20"/>
      <c r="J1179" s="20"/>
      <c r="K1179" s="20"/>
      <c r="L1179" s="20"/>
      <c r="M1179" s="20"/>
      <c r="N1179" s="20"/>
      <c r="O1179" s="20"/>
      <c r="P1179" s="20"/>
      <c r="Q1179" s="20"/>
      <c r="R1179" s="20"/>
      <c r="S1179" s="20"/>
      <c r="T1179" s="20"/>
      <c r="U1179" s="20"/>
      <c r="V1179" s="20"/>
      <c r="W1179" s="20"/>
      <c r="X1179" s="20"/>
      <c r="Y1179" s="20"/>
      <c r="Z1179" s="20"/>
      <c r="AA1179" s="20"/>
      <c r="AB1179" s="20"/>
      <c r="AC1179" s="20"/>
      <c r="AD1179" s="20"/>
      <c r="AE1179" s="20"/>
      <c r="AF1179" s="20"/>
      <c r="AG1179" s="20"/>
      <c r="AH1179" s="20"/>
      <c r="AI1179" s="20"/>
      <c r="AJ1179" s="20"/>
      <c r="AK1179" s="20"/>
      <c r="AL1179" s="20"/>
      <c r="AM1179" s="20"/>
      <c r="AN1179" s="20"/>
      <c r="AO1179" s="20"/>
      <c r="AP1179" s="20"/>
      <c r="AQ1179" s="20"/>
      <c r="AR1179" s="20"/>
      <c r="AS1179" s="20"/>
    </row>
    <row r="1180">
      <c r="A1180" s="20"/>
      <c r="B1180" s="20"/>
      <c r="C1180" s="20"/>
      <c r="D1180" s="20"/>
      <c r="E1180" s="20"/>
      <c r="F1180" s="20"/>
      <c r="G1180" s="20"/>
      <c r="H1180" s="20"/>
      <c r="I1180" s="20"/>
      <c r="J1180" s="20"/>
      <c r="K1180" s="20"/>
      <c r="L1180" s="20"/>
      <c r="M1180" s="20"/>
      <c r="N1180" s="20"/>
      <c r="O1180" s="20"/>
      <c r="P1180" s="20"/>
      <c r="Q1180" s="20"/>
      <c r="R1180" s="20"/>
      <c r="S1180" s="20"/>
      <c r="T1180" s="20"/>
      <c r="U1180" s="20"/>
      <c r="V1180" s="20"/>
      <c r="W1180" s="20"/>
      <c r="X1180" s="20"/>
      <c r="Y1180" s="20"/>
      <c r="Z1180" s="20"/>
      <c r="AA1180" s="20"/>
      <c r="AB1180" s="20"/>
      <c r="AC1180" s="20"/>
      <c r="AD1180" s="20"/>
      <c r="AE1180" s="20"/>
      <c r="AF1180" s="20"/>
      <c r="AG1180" s="20"/>
      <c r="AH1180" s="20"/>
      <c r="AI1180" s="20"/>
      <c r="AJ1180" s="20"/>
      <c r="AK1180" s="20"/>
      <c r="AL1180" s="20"/>
      <c r="AM1180" s="20"/>
      <c r="AN1180" s="20"/>
      <c r="AO1180" s="20"/>
      <c r="AP1180" s="20"/>
      <c r="AQ1180" s="20"/>
      <c r="AR1180" s="20"/>
      <c r="AS1180" s="20"/>
    </row>
    <row r="1181">
      <c r="A1181" s="20"/>
      <c r="B1181" s="20"/>
      <c r="C1181" s="20"/>
      <c r="D1181" s="20"/>
      <c r="E1181" s="20"/>
      <c r="F1181" s="20"/>
      <c r="G1181" s="20"/>
      <c r="H1181" s="20"/>
      <c r="I1181" s="20"/>
      <c r="J1181" s="20"/>
      <c r="K1181" s="20"/>
      <c r="L1181" s="20"/>
      <c r="M1181" s="20"/>
      <c r="N1181" s="20"/>
      <c r="O1181" s="20"/>
      <c r="P1181" s="20"/>
      <c r="Q1181" s="20"/>
      <c r="R1181" s="20"/>
      <c r="S1181" s="20"/>
      <c r="T1181" s="20"/>
      <c r="U1181" s="20"/>
      <c r="V1181" s="20"/>
      <c r="W1181" s="20"/>
      <c r="X1181" s="20"/>
      <c r="Y1181" s="20"/>
      <c r="Z1181" s="20"/>
      <c r="AA1181" s="20"/>
      <c r="AB1181" s="20"/>
      <c r="AC1181" s="20"/>
      <c r="AD1181" s="20"/>
      <c r="AE1181" s="20"/>
      <c r="AF1181" s="20"/>
      <c r="AG1181" s="20"/>
      <c r="AH1181" s="20"/>
      <c r="AI1181" s="20"/>
      <c r="AJ1181" s="20"/>
      <c r="AK1181" s="20"/>
      <c r="AL1181" s="20"/>
      <c r="AM1181" s="20"/>
      <c r="AN1181" s="20"/>
      <c r="AO1181" s="20"/>
      <c r="AP1181" s="20"/>
      <c r="AQ1181" s="20"/>
      <c r="AR1181" s="20"/>
      <c r="AS1181" s="20"/>
    </row>
    <row r="1182">
      <c r="A1182" s="20"/>
      <c r="B1182" s="20"/>
      <c r="C1182" s="20"/>
      <c r="D1182" s="20"/>
      <c r="E1182" s="20"/>
      <c r="F1182" s="20"/>
      <c r="G1182" s="20"/>
      <c r="H1182" s="20"/>
      <c r="I1182" s="20"/>
      <c r="J1182" s="20"/>
      <c r="K1182" s="20"/>
      <c r="L1182" s="20"/>
      <c r="M1182" s="20"/>
      <c r="N1182" s="20"/>
      <c r="O1182" s="20"/>
      <c r="P1182" s="20"/>
      <c r="Q1182" s="20"/>
      <c r="R1182" s="20"/>
      <c r="S1182" s="20"/>
      <c r="T1182" s="20"/>
      <c r="U1182" s="20"/>
      <c r="V1182" s="20"/>
      <c r="W1182" s="20"/>
      <c r="X1182" s="20"/>
      <c r="Y1182" s="20"/>
      <c r="Z1182" s="20"/>
      <c r="AA1182" s="20"/>
      <c r="AB1182" s="20"/>
      <c r="AC1182" s="20"/>
      <c r="AD1182" s="20"/>
      <c r="AE1182" s="20"/>
      <c r="AF1182" s="20"/>
      <c r="AG1182" s="20"/>
      <c r="AH1182" s="20"/>
      <c r="AI1182" s="20"/>
      <c r="AJ1182" s="20"/>
      <c r="AK1182" s="20"/>
      <c r="AL1182" s="20"/>
      <c r="AM1182" s="20"/>
      <c r="AN1182" s="20"/>
      <c r="AO1182" s="20"/>
      <c r="AP1182" s="20"/>
      <c r="AQ1182" s="20"/>
      <c r="AR1182" s="20"/>
      <c r="AS1182" s="20"/>
    </row>
    <row r="1183">
      <c r="A1183" s="20"/>
      <c r="B1183" s="20"/>
      <c r="C1183" s="20"/>
      <c r="D1183" s="20"/>
      <c r="E1183" s="20"/>
      <c r="F1183" s="20"/>
      <c r="G1183" s="20"/>
      <c r="H1183" s="20"/>
      <c r="I1183" s="20"/>
      <c r="J1183" s="20"/>
      <c r="K1183" s="20"/>
      <c r="L1183" s="20"/>
      <c r="M1183" s="20"/>
      <c r="N1183" s="20"/>
      <c r="O1183" s="20"/>
      <c r="P1183" s="20"/>
      <c r="Q1183" s="20"/>
      <c r="R1183" s="20"/>
      <c r="S1183" s="20"/>
      <c r="T1183" s="20"/>
      <c r="U1183" s="20"/>
      <c r="V1183" s="20"/>
      <c r="W1183" s="20"/>
      <c r="X1183" s="20"/>
      <c r="Y1183" s="20"/>
      <c r="Z1183" s="20"/>
      <c r="AA1183" s="20"/>
      <c r="AB1183" s="20"/>
      <c r="AC1183" s="20"/>
      <c r="AD1183" s="20"/>
      <c r="AE1183" s="20"/>
      <c r="AF1183" s="20"/>
      <c r="AG1183" s="20"/>
      <c r="AH1183" s="20"/>
      <c r="AI1183" s="20"/>
      <c r="AJ1183" s="20"/>
      <c r="AK1183" s="20"/>
      <c r="AL1183" s="20"/>
      <c r="AM1183" s="20"/>
      <c r="AN1183" s="20"/>
      <c r="AO1183" s="20"/>
      <c r="AP1183" s="20"/>
      <c r="AQ1183" s="20"/>
      <c r="AR1183" s="20"/>
      <c r="AS1183" s="20"/>
    </row>
    <row r="1184">
      <c r="A1184" s="20"/>
      <c r="B1184" s="20"/>
      <c r="C1184" s="20"/>
      <c r="D1184" s="20"/>
      <c r="E1184" s="20"/>
      <c r="F1184" s="20"/>
      <c r="G1184" s="20"/>
      <c r="H1184" s="20"/>
      <c r="I1184" s="20"/>
      <c r="J1184" s="20"/>
      <c r="K1184" s="20"/>
      <c r="L1184" s="20"/>
      <c r="M1184" s="20"/>
      <c r="N1184" s="20"/>
      <c r="O1184" s="20"/>
      <c r="P1184" s="20"/>
      <c r="Q1184" s="20"/>
      <c r="R1184" s="20"/>
      <c r="S1184" s="20"/>
      <c r="T1184" s="20"/>
      <c r="U1184" s="20"/>
      <c r="V1184" s="20"/>
      <c r="W1184" s="20"/>
      <c r="X1184" s="20"/>
      <c r="Y1184" s="20"/>
      <c r="Z1184" s="20"/>
      <c r="AA1184" s="20"/>
      <c r="AB1184" s="20"/>
      <c r="AC1184" s="20"/>
      <c r="AD1184" s="20"/>
      <c r="AE1184" s="20"/>
      <c r="AF1184" s="20"/>
      <c r="AG1184" s="20"/>
      <c r="AH1184" s="20"/>
      <c r="AI1184" s="20"/>
      <c r="AJ1184" s="20"/>
      <c r="AK1184" s="20"/>
      <c r="AL1184" s="20"/>
      <c r="AM1184" s="20"/>
      <c r="AN1184" s="20"/>
      <c r="AO1184" s="20"/>
      <c r="AP1184" s="20"/>
      <c r="AQ1184" s="20"/>
      <c r="AR1184" s="20"/>
      <c r="AS1184" s="20"/>
    </row>
    <row r="1185">
      <c r="A1185" s="20"/>
      <c r="B1185" s="20"/>
      <c r="C1185" s="20"/>
      <c r="D1185" s="20"/>
      <c r="E1185" s="20"/>
      <c r="F1185" s="20"/>
      <c r="G1185" s="20"/>
      <c r="H1185" s="20"/>
      <c r="I1185" s="20"/>
      <c r="J1185" s="20"/>
      <c r="K1185" s="20"/>
      <c r="L1185" s="20"/>
      <c r="M1185" s="20"/>
      <c r="N1185" s="20"/>
      <c r="O1185" s="20"/>
      <c r="P1185" s="20"/>
      <c r="Q1185" s="20"/>
      <c r="R1185" s="20"/>
      <c r="S1185" s="20"/>
      <c r="T1185" s="20"/>
      <c r="U1185" s="20"/>
      <c r="V1185" s="20"/>
      <c r="W1185" s="20"/>
      <c r="X1185" s="20"/>
      <c r="Y1185" s="20"/>
      <c r="Z1185" s="20"/>
      <c r="AA1185" s="20"/>
      <c r="AB1185" s="20"/>
      <c r="AC1185" s="20"/>
      <c r="AD1185" s="20"/>
      <c r="AE1185" s="20"/>
      <c r="AF1185" s="20"/>
      <c r="AG1185" s="20"/>
      <c r="AH1185" s="20"/>
      <c r="AI1185" s="20"/>
      <c r="AJ1185" s="20"/>
      <c r="AK1185" s="20"/>
      <c r="AL1185" s="20"/>
      <c r="AM1185" s="20"/>
      <c r="AN1185" s="20"/>
      <c r="AO1185" s="20"/>
      <c r="AP1185" s="20"/>
      <c r="AQ1185" s="20"/>
      <c r="AR1185" s="20"/>
      <c r="AS1185" s="20"/>
    </row>
    <row r="1186">
      <c r="A1186" s="20"/>
      <c r="B1186" s="20"/>
      <c r="C1186" s="20"/>
      <c r="D1186" s="20"/>
      <c r="E1186" s="20"/>
      <c r="F1186" s="20"/>
      <c r="G1186" s="20"/>
      <c r="H1186" s="20"/>
      <c r="I1186" s="20"/>
      <c r="J1186" s="20"/>
      <c r="K1186" s="20"/>
      <c r="L1186" s="20"/>
      <c r="M1186" s="20"/>
      <c r="N1186" s="20"/>
      <c r="O1186" s="20"/>
      <c r="P1186" s="20"/>
      <c r="Q1186" s="20"/>
      <c r="R1186" s="20"/>
      <c r="S1186" s="20"/>
      <c r="T1186" s="20"/>
      <c r="U1186" s="20"/>
      <c r="V1186" s="20"/>
      <c r="W1186" s="20"/>
      <c r="X1186" s="20"/>
      <c r="Y1186" s="20"/>
      <c r="Z1186" s="20"/>
      <c r="AA1186" s="20"/>
      <c r="AB1186" s="20"/>
      <c r="AC1186" s="20"/>
      <c r="AD1186" s="20"/>
      <c r="AE1186" s="20"/>
      <c r="AF1186" s="20"/>
      <c r="AG1186" s="20"/>
      <c r="AH1186" s="20"/>
      <c r="AI1186" s="20"/>
      <c r="AJ1186" s="20"/>
      <c r="AK1186" s="20"/>
      <c r="AL1186" s="20"/>
      <c r="AM1186" s="20"/>
      <c r="AN1186" s="20"/>
      <c r="AO1186" s="20"/>
      <c r="AP1186" s="20"/>
      <c r="AQ1186" s="20"/>
      <c r="AR1186" s="20"/>
      <c r="AS1186" s="20"/>
    </row>
    <row r="1187">
      <c r="A1187" s="20"/>
      <c r="B1187" s="20"/>
      <c r="C1187" s="20"/>
      <c r="D1187" s="20"/>
      <c r="E1187" s="20"/>
      <c r="F1187" s="20"/>
      <c r="G1187" s="20"/>
      <c r="H1187" s="20"/>
      <c r="I1187" s="20"/>
      <c r="J1187" s="20"/>
      <c r="K1187" s="20"/>
      <c r="L1187" s="20"/>
      <c r="M1187" s="20"/>
      <c r="N1187" s="20"/>
      <c r="O1187" s="20"/>
      <c r="P1187" s="20"/>
      <c r="Q1187" s="20"/>
      <c r="R1187" s="20"/>
      <c r="S1187" s="20"/>
      <c r="T1187" s="20"/>
      <c r="U1187" s="20"/>
      <c r="V1187" s="20"/>
      <c r="W1187" s="20"/>
      <c r="X1187" s="20"/>
      <c r="Y1187" s="20"/>
      <c r="Z1187" s="20"/>
      <c r="AA1187" s="20"/>
      <c r="AB1187" s="20"/>
      <c r="AC1187" s="20"/>
      <c r="AD1187" s="20"/>
      <c r="AE1187" s="20"/>
      <c r="AF1187" s="20"/>
      <c r="AG1187" s="20"/>
      <c r="AH1187" s="20"/>
      <c r="AI1187" s="20"/>
      <c r="AJ1187" s="20"/>
      <c r="AK1187" s="20"/>
      <c r="AL1187" s="20"/>
      <c r="AM1187" s="20"/>
      <c r="AN1187" s="20"/>
      <c r="AO1187" s="20"/>
      <c r="AP1187" s="20"/>
      <c r="AQ1187" s="20"/>
      <c r="AR1187" s="20"/>
      <c r="AS1187" s="20"/>
    </row>
    <row r="1188">
      <c r="A1188" s="20"/>
      <c r="B1188" s="20"/>
      <c r="C1188" s="20"/>
      <c r="D1188" s="20"/>
      <c r="E1188" s="20"/>
      <c r="F1188" s="20"/>
      <c r="G1188" s="20"/>
      <c r="H1188" s="20"/>
      <c r="I1188" s="20"/>
      <c r="J1188" s="20"/>
      <c r="K1188" s="20"/>
      <c r="L1188" s="20"/>
      <c r="M1188" s="20"/>
      <c r="N1188" s="20"/>
      <c r="O1188" s="20"/>
      <c r="P1188" s="20"/>
      <c r="Q1188" s="20"/>
      <c r="R1188" s="20"/>
      <c r="S1188" s="20"/>
      <c r="T1188" s="20"/>
      <c r="U1188" s="20"/>
      <c r="V1188" s="20"/>
      <c r="W1188" s="20"/>
      <c r="X1188" s="20"/>
      <c r="Y1188" s="20"/>
      <c r="Z1188" s="20"/>
      <c r="AA1188" s="20"/>
      <c r="AB1188" s="20"/>
      <c r="AC1188" s="20"/>
      <c r="AD1188" s="20"/>
      <c r="AE1188" s="20"/>
      <c r="AF1188" s="20"/>
      <c r="AG1188" s="20"/>
      <c r="AH1188" s="20"/>
      <c r="AI1188" s="20"/>
      <c r="AJ1188" s="20"/>
      <c r="AK1188" s="20"/>
      <c r="AL1188" s="20"/>
      <c r="AM1188" s="20"/>
      <c r="AN1188" s="20"/>
      <c r="AO1188" s="20"/>
      <c r="AP1188" s="20"/>
      <c r="AQ1188" s="20"/>
      <c r="AR1188" s="20"/>
      <c r="AS1188" s="20"/>
    </row>
    <row r="1189">
      <c r="A1189" s="20"/>
      <c r="B1189" s="20"/>
      <c r="C1189" s="20"/>
      <c r="D1189" s="20"/>
      <c r="E1189" s="20"/>
      <c r="F1189" s="20"/>
      <c r="G1189" s="20"/>
      <c r="H1189" s="20"/>
      <c r="I1189" s="20"/>
      <c r="J1189" s="20"/>
      <c r="K1189" s="20"/>
      <c r="L1189" s="20"/>
      <c r="M1189" s="20"/>
      <c r="N1189" s="20"/>
      <c r="O1189" s="20"/>
      <c r="P1189" s="20"/>
      <c r="Q1189" s="20"/>
      <c r="R1189" s="20"/>
      <c r="S1189" s="20"/>
      <c r="T1189" s="20"/>
      <c r="U1189" s="20"/>
      <c r="V1189" s="20"/>
      <c r="W1189" s="20"/>
      <c r="X1189" s="20"/>
      <c r="Y1189" s="20"/>
      <c r="Z1189" s="20"/>
      <c r="AA1189" s="20"/>
      <c r="AB1189" s="20"/>
      <c r="AC1189" s="20"/>
      <c r="AD1189" s="20"/>
      <c r="AE1189" s="20"/>
      <c r="AF1189" s="20"/>
      <c r="AG1189" s="20"/>
      <c r="AH1189" s="20"/>
      <c r="AI1189" s="20"/>
      <c r="AJ1189" s="20"/>
      <c r="AK1189" s="20"/>
      <c r="AL1189" s="20"/>
      <c r="AM1189" s="20"/>
      <c r="AN1189" s="20"/>
      <c r="AO1189" s="20"/>
      <c r="AP1189" s="20"/>
      <c r="AQ1189" s="20"/>
      <c r="AR1189" s="20"/>
      <c r="AS1189" s="20"/>
    </row>
    <row r="1190">
      <c r="A1190" s="20"/>
      <c r="B1190" s="20"/>
      <c r="C1190" s="20"/>
      <c r="D1190" s="20"/>
      <c r="E1190" s="20"/>
      <c r="F1190" s="20"/>
      <c r="G1190" s="20"/>
      <c r="H1190" s="20"/>
      <c r="I1190" s="20"/>
      <c r="J1190" s="20"/>
      <c r="K1190" s="20"/>
      <c r="L1190" s="20"/>
      <c r="M1190" s="20"/>
      <c r="N1190" s="20"/>
      <c r="O1190" s="20"/>
      <c r="P1190" s="20"/>
      <c r="Q1190" s="20"/>
      <c r="R1190" s="20"/>
      <c r="S1190" s="20"/>
      <c r="T1190" s="20"/>
      <c r="U1190" s="20"/>
      <c r="V1190" s="20"/>
      <c r="W1190" s="20"/>
      <c r="X1190" s="20"/>
      <c r="Y1190" s="20"/>
      <c r="Z1190" s="20"/>
      <c r="AA1190" s="20"/>
      <c r="AB1190" s="20"/>
      <c r="AC1190" s="20"/>
      <c r="AD1190" s="20"/>
      <c r="AE1190" s="20"/>
      <c r="AF1190" s="20"/>
      <c r="AG1190" s="20"/>
      <c r="AH1190" s="20"/>
      <c r="AI1190" s="20"/>
      <c r="AJ1190" s="20"/>
      <c r="AK1190" s="20"/>
      <c r="AL1190" s="20"/>
      <c r="AM1190" s="20"/>
      <c r="AN1190" s="20"/>
      <c r="AO1190" s="20"/>
      <c r="AP1190" s="20"/>
      <c r="AQ1190" s="20"/>
      <c r="AR1190" s="20"/>
      <c r="AS1190" s="20"/>
    </row>
    <row r="1191">
      <c r="A1191" s="20"/>
      <c r="B1191" s="20"/>
      <c r="C1191" s="20"/>
      <c r="D1191" s="20"/>
      <c r="E1191" s="20"/>
      <c r="F1191" s="20"/>
      <c r="G1191" s="20"/>
      <c r="H1191" s="20"/>
      <c r="I1191" s="20"/>
      <c r="J1191" s="20"/>
      <c r="K1191" s="20"/>
      <c r="L1191" s="20"/>
      <c r="M1191" s="20"/>
      <c r="N1191" s="20"/>
      <c r="O1191" s="20"/>
      <c r="P1191" s="20"/>
      <c r="Q1191" s="20"/>
      <c r="R1191" s="20"/>
      <c r="S1191" s="20"/>
      <c r="T1191" s="20"/>
      <c r="U1191" s="20"/>
      <c r="V1191" s="20"/>
      <c r="W1191" s="20"/>
      <c r="X1191" s="20"/>
      <c r="Y1191" s="20"/>
      <c r="Z1191" s="20"/>
      <c r="AA1191" s="20"/>
      <c r="AB1191" s="20"/>
      <c r="AC1191" s="20"/>
      <c r="AD1191" s="20"/>
      <c r="AE1191" s="20"/>
      <c r="AF1191" s="20"/>
      <c r="AG1191" s="20"/>
      <c r="AH1191" s="20"/>
      <c r="AI1191" s="20"/>
      <c r="AJ1191" s="20"/>
      <c r="AK1191" s="20"/>
      <c r="AL1191" s="20"/>
      <c r="AM1191" s="20"/>
      <c r="AN1191" s="20"/>
      <c r="AO1191" s="20"/>
      <c r="AP1191" s="20"/>
      <c r="AQ1191" s="20"/>
      <c r="AR1191" s="20"/>
      <c r="AS1191" s="20"/>
    </row>
    <row r="1192">
      <c r="A1192" s="20"/>
      <c r="B1192" s="20"/>
      <c r="C1192" s="20"/>
      <c r="D1192" s="20"/>
      <c r="E1192" s="20"/>
      <c r="F1192" s="20"/>
      <c r="G1192" s="20"/>
      <c r="H1192" s="20"/>
      <c r="I1192" s="20"/>
      <c r="J1192" s="20"/>
      <c r="K1192" s="20"/>
      <c r="L1192" s="20"/>
      <c r="M1192" s="20"/>
      <c r="N1192" s="20"/>
      <c r="O1192" s="20"/>
      <c r="P1192" s="20"/>
      <c r="Q1192" s="20"/>
      <c r="R1192" s="20"/>
      <c r="S1192" s="20"/>
      <c r="T1192" s="20"/>
      <c r="U1192" s="20"/>
      <c r="V1192" s="20"/>
      <c r="W1192" s="20"/>
      <c r="X1192" s="20"/>
      <c r="Y1192" s="20"/>
      <c r="Z1192" s="20"/>
      <c r="AA1192" s="20"/>
      <c r="AB1192" s="20"/>
      <c r="AC1192" s="20"/>
      <c r="AD1192" s="20"/>
      <c r="AE1192" s="20"/>
      <c r="AF1192" s="20"/>
      <c r="AG1192" s="20"/>
      <c r="AH1192" s="20"/>
      <c r="AI1192" s="20"/>
      <c r="AJ1192" s="20"/>
      <c r="AK1192" s="20"/>
      <c r="AL1192" s="20"/>
      <c r="AM1192" s="20"/>
      <c r="AN1192" s="20"/>
      <c r="AO1192" s="20"/>
      <c r="AP1192" s="20"/>
      <c r="AQ1192" s="20"/>
      <c r="AR1192" s="20"/>
      <c r="AS1192" s="20"/>
    </row>
    <row r="1193">
      <c r="A1193" s="20"/>
      <c r="B1193" s="20"/>
      <c r="C1193" s="20"/>
      <c r="D1193" s="20"/>
      <c r="E1193" s="20"/>
      <c r="F1193" s="20"/>
      <c r="G1193" s="20"/>
      <c r="H1193" s="20"/>
      <c r="I1193" s="20"/>
      <c r="J1193" s="20"/>
      <c r="K1193" s="20"/>
      <c r="L1193" s="20"/>
      <c r="M1193" s="20"/>
      <c r="N1193" s="20"/>
      <c r="O1193" s="20"/>
      <c r="P1193" s="20"/>
      <c r="Q1193" s="20"/>
      <c r="R1193" s="20"/>
      <c r="S1193" s="20"/>
      <c r="T1193" s="20"/>
      <c r="U1193" s="20"/>
      <c r="V1193" s="20"/>
      <c r="W1193" s="20"/>
      <c r="X1193" s="20"/>
      <c r="Y1193" s="20"/>
      <c r="Z1193" s="20"/>
      <c r="AA1193" s="20"/>
      <c r="AB1193" s="20"/>
      <c r="AC1193" s="20"/>
      <c r="AD1193" s="20"/>
      <c r="AE1193" s="20"/>
      <c r="AF1193" s="20"/>
      <c r="AG1193" s="20"/>
      <c r="AH1193" s="20"/>
      <c r="AI1193" s="20"/>
      <c r="AJ1193" s="20"/>
      <c r="AK1193" s="20"/>
      <c r="AL1193" s="20"/>
      <c r="AM1193" s="20"/>
      <c r="AN1193" s="20"/>
      <c r="AO1193" s="20"/>
      <c r="AP1193" s="20"/>
      <c r="AQ1193" s="20"/>
      <c r="AR1193" s="20"/>
      <c r="AS1193" s="20"/>
    </row>
    <row r="1194">
      <c r="A1194" s="20"/>
      <c r="B1194" s="20"/>
      <c r="C1194" s="20"/>
      <c r="D1194" s="20"/>
      <c r="E1194" s="20"/>
      <c r="F1194" s="20"/>
      <c r="G1194" s="20"/>
      <c r="H1194" s="20"/>
      <c r="I1194" s="20"/>
      <c r="J1194" s="20"/>
      <c r="K1194" s="20"/>
      <c r="L1194" s="20"/>
      <c r="M1194" s="20"/>
      <c r="N1194" s="20"/>
      <c r="O1194" s="20"/>
      <c r="P1194" s="20"/>
      <c r="Q1194" s="20"/>
      <c r="R1194" s="20"/>
      <c r="S1194" s="20"/>
      <c r="T1194" s="20"/>
      <c r="U1194" s="20"/>
      <c r="V1194" s="20"/>
      <c r="W1194" s="20"/>
      <c r="X1194" s="20"/>
      <c r="Y1194" s="20"/>
      <c r="Z1194" s="20"/>
      <c r="AA1194" s="20"/>
      <c r="AB1194" s="20"/>
      <c r="AC1194" s="20"/>
      <c r="AD1194" s="20"/>
      <c r="AE1194" s="20"/>
      <c r="AF1194" s="20"/>
      <c r="AG1194" s="20"/>
      <c r="AH1194" s="20"/>
      <c r="AI1194" s="20"/>
      <c r="AJ1194" s="20"/>
      <c r="AK1194" s="20"/>
      <c r="AL1194" s="20"/>
      <c r="AM1194" s="20"/>
      <c r="AN1194" s="20"/>
      <c r="AO1194" s="20"/>
      <c r="AP1194" s="20"/>
      <c r="AQ1194" s="20"/>
      <c r="AR1194" s="20"/>
      <c r="AS1194" s="20"/>
    </row>
    <row r="1195">
      <c r="A1195" s="20"/>
      <c r="B1195" s="20"/>
      <c r="C1195" s="20"/>
      <c r="D1195" s="20"/>
      <c r="E1195" s="20"/>
      <c r="F1195" s="20"/>
      <c r="G1195" s="20"/>
      <c r="H1195" s="20"/>
      <c r="I1195" s="20"/>
      <c r="J1195" s="20"/>
      <c r="K1195" s="20"/>
      <c r="L1195" s="20"/>
      <c r="M1195" s="20"/>
      <c r="N1195" s="20"/>
      <c r="O1195" s="20"/>
      <c r="P1195" s="20"/>
      <c r="Q1195" s="20"/>
      <c r="R1195" s="20"/>
      <c r="S1195" s="20"/>
      <c r="T1195" s="20"/>
      <c r="U1195" s="20"/>
      <c r="V1195" s="20"/>
      <c r="W1195" s="20"/>
      <c r="X1195" s="20"/>
      <c r="Y1195" s="20"/>
      <c r="Z1195" s="20"/>
      <c r="AA1195" s="20"/>
      <c r="AB1195" s="20"/>
      <c r="AC1195" s="20"/>
      <c r="AD1195" s="20"/>
      <c r="AE1195" s="20"/>
      <c r="AF1195" s="20"/>
      <c r="AG1195" s="20"/>
      <c r="AH1195" s="20"/>
      <c r="AI1195" s="20"/>
      <c r="AJ1195" s="20"/>
      <c r="AK1195" s="20"/>
      <c r="AL1195" s="20"/>
      <c r="AM1195" s="20"/>
      <c r="AN1195" s="20"/>
      <c r="AO1195" s="20"/>
      <c r="AP1195" s="20"/>
      <c r="AQ1195" s="20"/>
      <c r="AR1195" s="20"/>
      <c r="AS1195" s="20"/>
    </row>
    <row r="1196">
      <c r="A1196" s="20"/>
      <c r="B1196" s="20"/>
      <c r="C1196" s="20"/>
      <c r="D1196" s="20"/>
      <c r="E1196" s="20"/>
      <c r="F1196" s="20"/>
      <c r="G1196" s="20"/>
      <c r="H1196" s="20"/>
      <c r="I1196" s="20"/>
      <c r="J1196" s="20"/>
      <c r="K1196" s="20"/>
      <c r="L1196" s="20"/>
      <c r="M1196" s="20"/>
      <c r="N1196" s="20"/>
      <c r="O1196" s="20"/>
      <c r="P1196" s="20"/>
      <c r="Q1196" s="20"/>
      <c r="R1196" s="20"/>
      <c r="S1196" s="20"/>
      <c r="T1196" s="20"/>
      <c r="U1196" s="20"/>
      <c r="V1196" s="20"/>
      <c r="W1196" s="20"/>
      <c r="X1196" s="20"/>
      <c r="Y1196" s="20"/>
      <c r="Z1196" s="20"/>
      <c r="AA1196" s="20"/>
      <c r="AB1196" s="20"/>
      <c r="AC1196" s="20"/>
      <c r="AD1196" s="20"/>
      <c r="AE1196" s="20"/>
      <c r="AF1196" s="20"/>
      <c r="AG1196" s="20"/>
      <c r="AH1196" s="20"/>
      <c r="AI1196" s="20"/>
      <c r="AJ1196" s="20"/>
      <c r="AK1196" s="20"/>
      <c r="AL1196" s="20"/>
      <c r="AM1196" s="20"/>
      <c r="AN1196" s="20"/>
      <c r="AO1196" s="20"/>
      <c r="AP1196" s="20"/>
      <c r="AQ1196" s="20"/>
      <c r="AR1196" s="20"/>
      <c r="AS1196" s="20"/>
    </row>
    <row r="1197">
      <c r="A1197" s="20"/>
      <c r="B1197" s="20"/>
      <c r="C1197" s="20"/>
      <c r="D1197" s="20"/>
      <c r="E1197" s="20"/>
      <c r="F1197" s="20"/>
      <c r="G1197" s="20"/>
      <c r="H1197" s="20"/>
      <c r="I1197" s="20"/>
      <c r="J1197" s="20"/>
      <c r="K1197" s="20"/>
      <c r="L1197" s="20"/>
      <c r="M1197" s="20"/>
      <c r="N1197" s="20"/>
      <c r="O1197" s="20"/>
      <c r="P1197" s="20"/>
      <c r="Q1197" s="20"/>
      <c r="R1197" s="20"/>
      <c r="S1197" s="20"/>
      <c r="T1197" s="20"/>
      <c r="U1197" s="20"/>
      <c r="V1197" s="20"/>
      <c r="W1197" s="20"/>
      <c r="X1197" s="20"/>
      <c r="Y1197" s="20"/>
      <c r="Z1197" s="20"/>
      <c r="AA1197" s="20"/>
      <c r="AB1197" s="20"/>
      <c r="AC1197" s="20"/>
      <c r="AD1197" s="20"/>
      <c r="AE1197" s="20"/>
      <c r="AF1197" s="20"/>
      <c r="AG1197" s="20"/>
      <c r="AH1197" s="20"/>
      <c r="AI1197" s="20"/>
      <c r="AJ1197" s="20"/>
      <c r="AK1197" s="20"/>
      <c r="AL1197" s="20"/>
      <c r="AM1197" s="20"/>
      <c r="AN1197" s="20"/>
      <c r="AO1197" s="20"/>
      <c r="AP1197" s="20"/>
      <c r="AQ1197" s="20"/>
      <c r="AR1197" s="20"/>
      <c r="AS1197" s="20"/>
    </row>
    <row r="1198">
      <c r="A1198" s="20"/>
      <c r="B1198" s="20"/>
      <c r="C1198" s="20"/>
      <c r="D1198" s="20"/>
      <c r="E1198" s="20"/>
      <c r="F1198" s="20"/>
      <c r="G1198" s="20"/>
      <c r="H1198" s="20"/>
      <c r="I1198" s="20"/>
      <c r="J1198" s="20"/>
      <c r="K1198" s="20"/>
      <c r="L1198" s="20"/>
      <c r="M1198" s="20"/>
      <c r="N1198" s="20"/>
      <c r="O1198" s="20"/>
      <c r="P1198" s="20"/>
      <c r="Q1198" s="20"/>
      <c r="R1198" s="20"/>
      <c r="S1198" s="20"/>
      <c r="T1198" s="20"/>
      <c r="U1198" s="20"/>
      <c r="V1198" s="20"/>
      <c r="W1198" s="20"/>
      <c r="X1198" s="20"/>
      <c r="Y1198" s="20"/>
      <c r="Z1198" s="20"/>
      <c r="AA1198" s="20"/>
      <c r="AB1198" s="20"/>
      <c r="AC1198" s="20"/>
      <c r="AD1198" s="20"/>
      <c r="AE1198" s="20"/>
      <c r="AF1198" s="20"/>
      <c r="AG1198" s="20"/>
      <c r="AH1198" s="20"/>
      <c r="AI1198" s="20"/>
      <c r="AJ1198" s="20"/>
      <c r="AK1198" s="20"/>
      <c r="AL1198" s="20"/>
      <c r="AM1198" s="20"/>
      <c r="AN1198" s="20"/>
      <c r="AO1198" s="20"/>
      <c r="AP1198" s="20"/>
      <c r="AQ1198" s="20"/>
      <c r="AR1198" s="20"/>
      <c r="AS1198" s="20"/>
    </row>
    <row r="1199">
      <c r="A1199" s="20"/>
      <c r="B1199" s="20"/>
      <c r="C1199" s="20"/>
      <c r="D1199" s="20"/>
      <c r="E1199" s="20"/>
      <c r="F1199" s="20"/>
      <c r="G1199" s="20"/>
      <c r="H1199" s="20"/>
      <c r="I1199" s="20"/>
      <c r="J1199" s="20"/>
      <c r="K1199" s="20"/>
      <c r="L1199" s="20"/>
      <c r="M1199" s="20"/>
      <c r="N1199" s="20"/>
      <c r="O1199" s="20"/>
      <c r="P1199" s="20"/>
      <c r="Q1199" s="20"/>
      <c r="R1199" s="20"/>
      <c r="S1199" s="20"/>
      <c r="T1199" s="20"/>
      <c r="U1199" s="20"/>
      <c r="V1199" s="20"/>
      <c r="W1199" s="20"/>
      <c r="X1199" s="20"/>
      <c r="Y1199" s="20"/>
      <c r="Z1199" s="20"/>
      <c r="AA1199" s="20"/>
      <c r="AB1199" s="20"/>
      <c r="AC1199" s="20"/>
      <c r="AD1199" s="20"/>
      <c r="AE1199" s="20"/>
      <c r="AF1199" s="20"/>
      <c r="AG1199" s="20"/>
      <c r="AH1199" s="20"/>
      <c r="AI1199" s="20"/>
      <c r="AJ1199" s="20"/>
      <c r="AK1199" s="20"/>
      <c r="AL1199" s="20"/>
      <c r="AM1199" s="20"/>
      <c r="AN1199" s="20"/>
      <c r="AO1199" s="20"/>
      <c r="AP1199" s="20"/>
      <c r="AQ1199" s="20"/>
      <c r="AR1199" s="20"/>
      <c r="AS1199" s="20"/>
    </row>
    <row r="1200">
      <c r="A1200" s="20"/>
      <c r="B1200" s="20"/>
      <c r="C1200" s="20"/>
      <c r="D1200" s="20"/>
      <c r="E1200" s="20"/>
      <c r="F1200" s="20"/>
      <c r="G1200" s="20"/>
      <c r="H1200" s="20"/>
      <c r="I1200" s="20"/>
      <c r="J1200" s="20"/>
      <c r="K1200" s="20"/>
      <c r="L1200" s="20"/>
      <c r="M1200" s="20"/>
      <c r="N1200" s="20"/>
      <c r="O1200" s="20"/>
      <c r="P1200" s="20"/>
      <c r="Q1200" s="20"/>
      <c r="R1200" s="20"/>
      <c r="S1200" s="20"/>
      <c r="T1200" s="20"/>
      <c r="U1200" s="20"/>
      <c r="V1200" s="20"/>
      <c r="W1200" s="20"/>
      <c r="X1200" s="20"/>
      <c r="Y1200" s="20"/>
      <c r="Z1200" s="20"/>
      <c r="AA1200" s="20"/>
      <c r="AB1200" s="20"/>
      <c r="AC1200" s="20"/>
      <c r="AD1200" s="20"/>
      <c r="AE1200" s="20"/>
      <c r="AF1200" s="20"/>
      <c r="AG1200" s="20"/>
      <c r="AH1200" s="20"/>
      <c r="AI1200" s="20"/>
      <c r="AJ1200" s="20"/>
      <c r="AK1200" s="20"/>
      <c r="AL1200" s="20"/>
      <c r="AM1200" s="20"/>
      <c r="AN1200" s="20"/>
      <c r="AO1200" s="20"/>
      <c r="AP1200" s="20"/>
      <c r="AQ1200" s="20"/>
      <c r="AR1200" s="20"/>
      <c r="AS1200" s="20"/>
    </row>
    <row r="1201">
      <c r="A1201" s="20"/>
      <c r="B1201" s="20"/>
      <c r="C1201" s="20"/>
      <c r="D1201" s="20"/>
      <c r="E1201" s="20"/>
      <c r="F1201" s="20"/>
      <c r="G1201" s="20"/>
      <c r="H1201" s="20"/>
      <c r="I1201" s="20"/>
      <c r="J1201" s="20"/>
      <c r="K1201" s="20"/>
      <c r="L1201" s="20"/>
      <c r="M1201" s="20"/>
      <c r="N1201" s="20"/>
      <c r="O1201" s="20"/>
      <c r="P1201" s="20"/>
      <c r="Q1201" s="20"/>
      <c r="R1201" s="20"/>
      <c r="S1201" s="20"/>
      <c r="T1201" s="20"/>
      <c r="U1201" s="20"/>
      <c r="V1201" s="20"/>
      <c r="W1201" s="20"/>
      <c r="X1201" s="20"/>
      <c r="Y1201" s="20"/>
      <c r="Z1201" s="20"/>
      <c r="AA1201" s="20"/>
      <c r="AB1201" s="20"/>
      <c r="AC1201" s="20"/>
      <c r="AD1201" s="20"/>
      <c r="AE1201" s="20"/>
      <c r="AF1201" s="20"/>
      <c r="AG1201" s="20"/>
      <c r="AH1201" s="20"/>
      <c r="AI1201" s="20"/>
      <c r="AJ1201" s="20"/>
      <c r="AK1201" s="20"/>
      <c r="AL1201" s="20"/>
      <c r="AM1201" s="20"/>
      <c r="AN1201" s="20"/>
      <c r="AO1201" s="20"/>
      <c r="AP1201" s="20"/>
      <c r="AQ1201" s="20"/>
      <c r="AR1201" s="20"/>
      <c r="AS1201" s="20"/>
    </row>
    <row r="1202">
      <c r="A1202" s="20"/>
      <c r="B1202" s="20"/>
      <c r="C1202" s="20"/>
      <c r="D1202" s="20"/>
      <c r="E1202" s="20"/>
      <c r="F1202" s="20"/>
      <c r="G1202" s="20"/>
      <c r="H1202" s="20"/>
      <c r="I1202" s="20"/>
      <c r="J1202" s="20"/>
      <c r="K1202" s="20"/>
      <c r="L1202" s="20"/>
      <c r="M1202" s="20"/>
      <c r="N1202" s="20"/>
      <c r="O1202" s="20"/>
      <c r="P1202" s="20"/>
      <c r="Q1202" s="20"/>
      <c r="R1202" s="20"/>
      <c r="S1202" s="20"/>
      <c r="T1202" s="20"/>
      <c r="U1202" s="20"/>
      <c r="V1202" s="20"/>
      <c r="W1202" s="20"/>
      <c r="X1202" s="20"/>
      <c r="Y1202" s="20"/>
      <c r="Z1202" s="20"/>
      <c r="AA1202" s="20"/>
      <c r="AB1202" s="20"/>
      <c r="AC1202" s="20"/>
      <c r="AD1202" s="20"/>
      <c r="AE1202" s="20"/>
      <c r="AF1202" s="20"/>
      <c r="AG1202" s="20"/>
      <c r="AH1202" s="20"/>
      <c r="AI1202" s="20"/>
      <c r="AJ1202" s="20"/>
      <c r="AK1202" s="20"/>
      <c r="AL1202" s="20"/>
      <c r="AM1202" s="20"/>
      <c r="AN1202" s="20"/>
      <c r="AO1202" s="20"/>
      <c r="AP1202" s="20"/>
      <c r="AQ1202" s="20"/>
      <c r="AR1202" s="20"/>
      <c r="AS1202" s="20"/>
    </row>
    <row r="1203">
      <c r="A1203" s="20"/>
      <c r="B1203" s="20"/>
      <c r="C1203" s="20"/>
      <c r="D1203" s="20"/>
      <c r="E1203" s="20"/>
      <c r="F1203" s="20"/>
      <c r="G1203" s="20"/>
      <c r="H1203" s="20"/>
      <c r="I1203" s="20"/>
      <c r="J1203" s="20"/>
      <c r="K1203" s="20"/>
      <c r="L1203" s="20"/>
      <c r="M1203" s="20"/>
      <c r="N1203" s="20"/>
      <c r="O1203" s="20"/>
      <c r="P1203" s="20"/>
      <c r="Q1203" s="20"/>
      <c r="R1203" s="20"/>
      <c r="S1203" s="20"/>
      <c r="T1203" s="20"/>
      <c r="U1203" s="20"/>
      <c r="V1203" s="20"/>
      <c r="W1203" s="20"/>
      <c r="X1203" s="20"/>
      <c r="Y1203" s="20"/>
      <c r="Z1203" s="20"/>
      <c r="AA1203" s="20"/>
      <c r="AB1203" s="20"/>
      <c r="AC1203" s="20"/>
      <c r="AD1203" s="20"/>
      <c r="AE1203" s="20"/>
      <c r="AF1203" s="20"/>
      <c r="AG1203" s="20"/>
      <c r="AH1203" s="20"/>
      <c r="AI1203" s="20"/>
      <c r="AJ1203" s="20"/>
      <c r="AK1203" s="20"/>
      <c r="AL1203" s="20"/>
      <c r="AM1203" s="20"/>
      <c r="AN1203" s="20"/>
      <c r="AO1203" s="20"/>
      <c r="AP1203" s="20"/>
      <c r="AQ1203" s="20"/>
      <c r="AR1203" s="20"/>
      <c r="AS1203" s="20"/>
    </row>
    <row r="1204">
      <c r="A1204" s="20"/>
      <c r="B1204" s="20"/>
      <c r="C1204" s="20"/>
      <c r="D1204" s="20"/>
      <c r="E1204" s="20"/>
      <c r="F1204" s="20"/>
      <c r="G1204" s="20"/>
      <c r="H1204" s="20"/>
      <c r="I1204" s="20"/>
      <c r="J1204" s="20"/>
      <c r="K1204" s="20"/>
      <c r="L1204" s="20"/>
      <c r="M1204" s="20"/>
      <c r="N1204" s="20"/>
      <c r="O1204" s="20"/>
      <c r="P1204" s="20"/>
      <c r="Q1204" s="20"/>
      <c r="R1204" s="20"/>
      <c r="S1204" s="20"/>
      <c r="T1204" s="20"/>
      <c r="U1204" s="20"/>
      <c r="V1204" s="20"/>
      <c r="W1204" s="20"/>
      <c r="X1204" s="20"/>
      <c r="Y1204" s="20"/>
      <c r="Z1204" s="20"/>
      <c r="AA1204" s="20"/>
      <c r="AB1204" s="20"/>
      <c r="AC1204" s="20"/>
      <c r="AD1204" s="20"/>
      <c r="AE1204" s="20"/>
      <c r="AF1204" s="20"/>
      <c r="AG1204" s="20"/>
      <c r="AH1204" s="20"/>
      <c r="AI1204" s="20"/>
      <c r="AJ1204" s="20"/>
      <c r="AK1204" s="20"/>
      <c r="AL1204" s="20"/>
      <c r="AM1204" s="20"/>
      <c r="AN1204" s="20"/>
      <c r="AO1204" s="20"/>
      <c r="AP1204" s="20"/>
      <c r="AQ1204" s="20"/>
      <c r="AR1204" s="20"/>
      <c r="AS1204" s="20"/>
    </row>
    <row r="1205">
      <c r="A1205" s="20"/>
      <c r="B1205" s="20"/>
      <c r="C1205" s="20"/>
      <c r="D1205" s="20"/>
      <c r="E1205" s="20"/>
      <c r="F1205" s="20"/>
      <c r="G1205" s="20"/>
      <c r="H1205" s="20"/>
      <c r="I1205" s="20"/>
      <c r="J1205" s="20"/>
      <c r="K1205" s="20"/>
      <c r="L1205" s="20"/>
      <c r="M1205" s="20"/>
      <c r="N1205" s="20"/>
      <c r="O1205" s="20"/>
      <c r="P1205" s="20"/>
      <c r="Q1205" s="20"/>
      <c r="R1205" s="20"/>
      <c r="S1205" s="20"/>
      <c r="T1205" s="20"/>
      <c r="U1205" s="20"/>
      <c r="V1205" s="20"/>
      <c r="W1205" s="20"/>
      <c r="X1205" s="20"/>
      <c r="Y1205" s="20"/>
      <c r="Z1205" s="20"/>
      <c r="AA1205" s="20"/>
      <c r="AB1205" s="20"/>
      <c r="AC1205" s="20"/>
      <c r="AD1205" s="20"/>
      <c r="AE1205" s="20"/>
      <c r="AF1205" s="20"/>
      <c r="AG1205" s="20"/>
      <c r="AH1205" s="20"/>
      <c r="AI1205" s="20"/>
      <c r="AJ1205" s="20"/>
      <c r="AK1205" s="20"/>
      <c r="AL1205" s="20"/>
      <c r="AM1205" s="20"/>
      <c r="AN1205" s="20"/>
      <c r="AO1205" s="20"/>
      <c r="AP1205" s="20"/>
      <c r="AQ1205" s="20"/>
      <c r="AR1205" s="20"/>
      <c r="AS1205" s="20"/>
    </row>
    <row r="1206">
      <c r="A1206" s="20"/>
      <c r="B1206" s="20"/>
      <c r="C1206" s="20"/>
      <c r="D1206" s="20"/>
      <c r="E1206" s="20"/>
      <c r="F1206" s="20"/>
      <c r="G1206" s="20"/>
      <c r="H1206" s="20"/>
      <c r="I1206" s="20"/>
      <c r="J1206" s="20"/>
      <c r="K1206" s="20"/>
      <c r="L1206" s="20"/>
      <c r="M1206" s="20"/>
      <c r="N1206" s="20"/>
      <c r="O1206" s="20"/>
      <c r="P1206" s="20"/>
      <c r="Q1206" s="20"/>
      <c r="R1206" s="20"/>
      <c r="S1206" s="20"/>
      <c r="T1206" s="20"/>
      <c r="U1206" s="20"/>
      <c r="V1206" s="20"/>
      <c r="W1206" s="20"/>
      <c r="X1206" s="20"/>
      <c r="Y1206" s="20"/>
      <c r="Z1206" s="20"/>
      <c r="AA1206" s="20"/>
      <c r="AB1206" s="20"/>
      <c r="AC1206" s="20"/>
      <c r="AD1206" s="20"/>
      <c r="AE1206" s="20"/>
      <c r="AF1206" s="20"/>
      <c r="AG1206" s="20"/>
      <c r="AH1206" s="20"/>
      <c r="AI1206" s="20"/>
      <c r="AJ1206" s="20"/>
      <c r="AK1206" s="20"/>
      <c r="AL1206" s="20"/>
      <c r="AM1206" s="20"/>
      <c r="AN1206" s="20"/>
      <c r="AO1206" s="20"/>
      <c r="AP1206" s="20"/>
      <c r="AQ1206" s="20"/>
      <c r="AR1206" s="20"/>
      <c r="AS1206" s="20"/>
    </row>
    <row r="1207">
      <c r="A1207" s="20"/>
      <c r="B1207" s="20"/>
      <c r="C1207" s="20"/>
      <c r="D1207" s="20"/>
      <c r="E1207" s="20"/>
      <c r="F1207" s="20"/>
      <c r="G1207" s="20"/>
      <c r="H1207" s="20"/>
      <c r="I1207" s="20"/>
      <c r="J1207" s="20"/>
      <c r="K1207" s="20"/>
      <c r="L1207" s="20"/>
      <c r="M1207" s="20"/>
      <c r="N1207" s="20"/>
      <c r="O1207" s="20"/>
      <c r="P1207" s="20"/>
      <c r="Q1207" s="20"/>
      <c r="R1207" s="20"/>
      <c r="S1207" s="20"/>
      <c r="T1207" s="20"/>
      <c r="U1207" s="20"/>
      <c r="V1207" s="20"/>
      <c r="W1207" s="20"/>
      <c r="X1207" s="20"/>
      <c r="Y1207" s="20"/>
      <c r="Z1207" s="20"/>
      <c r="AA1207" s="20"/>
      <c r="AB1207" s="20"/>
      <c r="AC1207" s="20"/>
      <c r="AD1207" s="20"/>
      <c r="AE1207" s="20"/>
      <c r="AF1207" s="20"/>
      <c r="AG1207" s="20"/>
      <c r="AH1207" s="20"/>
      <c r="AI1207" s="20"/>
      <c r="AJ1207" s="20"/>
      <c r="AK1207" s="20"/>
      <c r="AL1207" s="20"/>
      <c r="AM1207" s="20"/>
      <c r="AN1207" s="20"/>
      <c r="AO1207" s="20"/>
      <c r="AP1207" s="20"/>
      <c r="AQ1207" s="20"/>
      <c r="AR1207" s="20"/>
      <c r="AS1207" s="20"/>
    </row>
    <row r="1208">
      <c r="A1208" s="20"/>
      <c r="B1208" s="20"/>
      <c r="C1208" s="20"/>
      <c r="D1208" s="20"/>
      <c r="E1208" s="20"/>
      <c r="F1208" s="20"/>
      <c r="G1208" s="20"/>
      <c r="H1208" s="20"/>
      <c r="I1208" s="20"/>
      <c r="J1208" s="20"/>
      <c r="K1208" s="20"/>
      <c r="L1208" s="20"/>
      <c r="M1208" s="20"/>
      <c r="N1208" s="20"/>
      <c r="O1208" s="20"/>
      <c r="P1208" s="20"/>
      <c r="Q1208" s="20"/>
      <c r="R1208" s="20"/>
      <c r="S1208" s="20"/>
      <c r="T1208" s="20"/>
      <c r="U1208" s="20"/>
      <c r="V1208" s="20"/>
      <c r="W1208" s="20"/>
      <c r="X1208" s="20"/>
      <c r="Y1208" s="20"/>
      <c r="Z1208" s="20"/>
      <c r="AA1208" s="20"/>
      <c r="AB1208" s="20"/>
      <c r="AC1208" s="20"/>
      <c r="AD1208" s="20"/>
      <c r="AE1208" s="20"/>
      <c r="AF1208" s="20"/>
      <c r="AG1208" s="20"/>
      <c r="AH1208" s="20"/>
      <c r="AI1208" s="20"/>
      <c r="AJ1208" s="20"/>
      <c r="AK1208" s="20"/>
      <c r="AL1208" s="20"/>
      <c r="AM1208" s="20"/>
      <c r="AN1208" s="20"/>
      <c r="AO1208" s="20"/>
      <c r="AP1208" s="20"/>
      <c r="AQ1208" s="20"/>
      <c r="AR1208" s="20"/>
      <c r="AS1208" s="20"/>
    </row>
    <row r="1209">
      <c r="A1209" s="20"/>
      <c r="B1209" s="20"/>
      <c r="C1209" s="20"/>
      <c r="D1209" s="20"/>
      <c r="E1209" s="20"/>
      <c r="F1209" s="20"/>
      <c r="G1209" s="20"/>
      <c r="H1209" s="20"/>
      <c r="I1209" s="20"/>
      <c r="J1209" s="20"/>
      <c r="K1209" s="20"/>
      <c r="L1209" s="20"/>
      <c r="M1209" s="20"/>
      <c r="N1209" s="20"/>
      <c r="O1209" s="20"/>
      <c r="P1209" s="20"/>
      <c r="Q1209" s="20"/>
      <c r="R1209" s="20"/>
      <c r="S1209" s="20"/>
      <c r="T1209" s="20"/>
      <c r="U1209" s="20"/>
      <c r="V1209" s="20"/>
      <c r="W1209" s="20"/>
      <c r="X1209" s="20"/>
      <c r="Y1209" s="20"/>
      <c r="Z1209" s="20"/>
      <c r="AA1209" s="20"/>
      <c r="AB1209" s="20"/>
      <c r="AC1209" s="20"/>
      <c r="AD1209" s="20"/>
      <c r="AE1209" s="20"/>
      <c r="AF1209" s="20"/>
      <c r="AG1209" s="20"/>
      <c r="AH1209" s="20"/>
      <c r="AI1209" s="20"/>
      <c r="AJ1209" s="20"/>
      <c r="AK1209" s="20"/>
      <c r="AL1209" s="20"/>
      <c r="AM1209" s="20"/>
      <c r="AN1209" s="20"/>
      <c r="AO1209" s="20"/>
      <c r="AP1209" s="20"/>
      <c r="AQ1209" s="20"/>
      <c r="AR1209" s="20"/>
      <c r="AS1209" s="20"/>
    </row>
    <row r="1210">
      <c r="A1210" s="20"/>
      <c r="B1210" s="20"/>
      <c r="C1210" s="20"/>
      <c r="D1210" s="20"/>
      <c r="E1210" s="20"/>
      <c r="F1210" s="20"/>
      <c r="G1210" s="20"/>
      <c r="H1210" s="20"/>
      <c r="I1210" s="20"/>
      <c r="J1210" s="20"/>
      <c r="K1210" s="20"/>
      <c r="L1210" s="20"/>
      <c r="M1210" s="20"/>
      <c r="N1210" s="20"/>
      <c r="O1210" s="20"/>
      <c r="P1210" s="20"/>
      <c r="Q1210" s="20"/>
      <c r="R1210" s="20"/>
      <c r="S1210" s="20"/>
      <c r="T1210" s="20"/>
      <c r="U1210" s="20"/>
      <c r="V1210" s="20"/>
      <c r="W1210" s="20"/>
      <c r="X1210" s="20"/>
      <c r="Y1210" s="20"/>
      <c r="Z1210" s="20"/>
      <c r="AA1210" s="20"/>
      <c r="AB1210" s="20"/>
      <c r="AC1210" s="20"/>
      <c r="AD1210" s="20"/>
      <c r="AE1210" s="20"/>
      <c r="AF1210" s="20"/>
      <c r="AG1210" s="20"/>
      <c r="AH1210" s="20"/>
      <c r="AI1210" s="20"/>
      <c r="AJ1210" s="20"/>
      <c r="AK1210" s="20"/>
      <c r="AL1210" s="20"/>
      <c r="AM1210" s="20"/>
      <c r="AN1210" s="20"/>
      <c r="AO1210" s="20"/>
      <c r="AP1210" s="20"/>
      <c r="AQ1210" s="20"/>
      <c r="AR1210" s="20"/>
      <c r="AS1210" s="20"/>
    </row>
    <row r="1211">
      <c r="A1211" s="20"/>
      <c r="B1211" s="20"/>
      <c r="C1211" s="20"/>
      <c r="D1211" s="20"/>
      <c r="E1211" s="20"/>
      <c r="F1211" s="20"/>
      <c r="G1211" s="20"/>
      <c r="H1211" s="20"/>
      <c r="I1211" s="20"/>
      <c r="J1211" s="20"/>
      <c r="K1211" s="20"/>
      <c r="L1211" s="20"/>
      <c r="M1211" s="20"/>
      <c r="N1211" s="20"/>
      <c r="O1211" s="20"/>
      <c r="P1211" s="20"/>
      <c r="Q1211" s="20"/>
      <c r="R1211" s="20"/>
      <c r="S1211" s="20"/>
      <c r="T1211" s="20"/>
      <c r="U1211" s="20"/>
      <c r="V1211" s="20"/>
      <c r="W1211" s="20"/>
      <c r="X1211" s="20"/>
      <c r="Y1211" s="20"/>
      <c r="Z1211" s="20"/>
      <c r="AA1211" s="20"/>
      <c r="AB1211" s="20"/>
      <c r="AC1211" s="20"/>
      <c r="AD1211" s="20"/>
      <c r="AE1211" s="20"/>
      <c r="AF1211" s="20"/>
      <c r="AG1211" s="20"/>
      <c r="AH1211" s="20"/>
      <c r="AI1211" s="20"/>
      <c r="AJ1211" s="20"/>
      <c r="AK1211" s="20"/>
      <c r="AL1211" s="20"/>
      <c r="AM1211" s="20"/>
      <c r="AN1211" s="20"/>
      <c r="AO1211" s="20"/>
      <c r="AP1211" s="20"/>
      <c r="AQ1211" s="20"/>
      <c r="AR1211" s="20"/>
      <c r="AS1211" s="20"/>
    </row>
    <row r="1212">
      <c r="A1212" s="20"/>
      <c r="B1212" s="20"/>
      <c r="C1212" s="20"/>
      <c r="D1212" s="20"/>
      <c r="E1212" s="20"/>
      <c r="F1212" s="20"/>
      <c r="G1212" s="20"/>
      <c r="H1212" s="20"/>
      <c r="I1212" s="20"/>
      <c r="J1212" s="20"/>
      <c r="K1212" s="20"/>
      <c r="L1212" s="20"/>
      <c r="M1212" s="20"/>
      <c r="N1212" s="20"/>
      <c r="O1212" s="20"/>
      <c r="P1212" s="20"/>
      <c r="Q1212" s="20"/>
      <c r="R1212" s="20"/>
      <c r="S1212" s="20"/>
      <c r="T1212" s="20"/>
      <c r="U1212" s="20"/>
      <c r="V1212" s="20"/>
      <c r="W1212" s="20"/>
      <c r="X1212" s="20"/>
      <c r="Y1212" s="20"/>
      <c r="Z1212" s="20"/>
      <c r="AA1212" s="20"/>
      <c r="AB1212" s="20"/>
      <c r="AC1212" s="20"/>
      <c r="AD1212" s="20"/>
      <c r="AE1212" s="20"/>
      <c r="AF1212" s="20"/>
      <c r="AG1212" s="20"/>
      <c r="AH1212" s="20"/>
      <c r="AI1212" s="20"/>
      <c r="AJ1212" s="20"/>
      <c r="AK1212" s="20"/>
      <c r="AL1212" s="20"/>
      <c r="AM1212" s="20"/>
      <c r="AN1212" s="20"/>
      <c r="AO1212" s="20"/>
      <c r="AP1212" s="20"/>
      <c r="AQ1212" s="20"/>
      <c r="AR1212" s="20"/>
      <c r="AS1212" s="20"/>
    </row>
    <row r="1213">
      <c r="A1213" s="20"/>
      <c r="B1213" s="20"/>
      <c r="C1213" s="20"/>
      <c r="D1213" s="20"/>
      <c r="E1213" s="20"/>
      <c r="F1213" s="20"/>
      <c r="G1213" s="20"/>
      <c r="H1213" s="20"/>
      <c r="I1213" s="20"/>
      <c r="J1213" s="20"/>
      <c r="K1213" s="20"/>
      <c r="L1213" s="20"/>
      <c r="M1213" s="20"/>
      <c r="N1213" s="20"/>
      <c r="O1213" s="20"/>
      <c r="P1213" s="20"/>
      <c r="Q1213" s="20"/>
      <c r="R1213" s="20"/>
      <c r="S1213" s="20"/>
      <c r="T1213" s="20"/>
      <c r="U1213" s="20"/>
      <c r="V1213" s="20"/>
      <c r="W1213" s="20"/>
      <c r="X1213" s="20"/>
      <c r="Y1213" s="20"/>
      <c r="Z1213" s="20"/>
      <c r="AA1213" s="20"/>
      <c r="AB1213" s="20"/>
      <c r="AC1213" s="20"/>
      <c r="AD1213" s="20"/>
      <c r="AE1213" s="20"/>
      <c r="AF1213" s="20"/>
      <c r="AG1213" s="20"/>
      <c r="AH1213" s="20"/>
      <c r="AI1213" s="20"/>
      <c r="AJ1213" s="20"/>
      <c r="AK1213" s="20"/>
      <c r="AL1213" s="20"/>
      <c r="AM1213" s="20"/>
      <c r="AN1213" s="20"/>
      <c r="AO1213" s="20"/>
      <c r="AP1213" s="20"/>
      <c r="AQ1213" s="20"/>
      <c r="AR1213" s="20"/>
      <c r="AS1213" s="20"/>
    </row>
    <row r="1214">
      <c r="A1214" s="20"/>
      <c r="B1214" s="20"/>
      <c r="C1214" s="20"/>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c r="Z1214" s="20"/>
      <c r="AA1214" s="20"/>
      <c r="AB1214" s="20"/>
      <c r="AC1214" s="20"/>
      <c r="AD1214" s="20"/>
      <c r="AE1214" s="20"/>
      <c r="AF1214" s="20"/>
      <c r="AG1214" s="20"/>
      <c r="AH1214" s="20"/>
      <c r="AI1214" s="20"/>
      <c r="AJ1214" s="20"/>
      <c r="AK1214" s="20"/>
      <c r="AL1214" s="20"/>
      <c r="AM1214" s="20"/>
      <c r="AN1214" s="20"/>
      <c r="AO1214" s="20"/>
      <c r="AP1214" s="20"/>
      <c r="AQ1214" s="20"/>
      <c r="AR1214" s="20"/>
      <c r="AS1214" s="20"/>
    </row>
    <row r="1215">
      <c r="A1215" s="20"/>
      <c r="B1215" s="20"/>
      <c r="C1215" s="20"/>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c r="AA1215" s="20"/>
      <c r="AB1215" s="20"/>
      <c r="AC1215" s="20"/>
      <c r="AD1215" s="20"/>
      <c r="AE1215" s="20"/>
      <c r="AF1215" s="20"/>
      <c r="AG1215" s="20"/>
      <c r="AH1215" s="20"/>
      <c r="AI1215" s="20"/>
      <c r="AJ1215" s="20"/>
      <c r="AK1215" s="20"/>
      <c r="AL1215" s="20"/>
      <c r="AM1215" s="20"/>
      <c r="AN1215" s="20"/>
      <c r="AO1215" s="20"/>
      <c r="AP1215" s="20"/>
      <c r="AQ1215" s="20"/>
      <c r="AR1215" s="20"/>
      <c r="AS1215" s="20"/>
    </row>
    <row r="1216">
      <c r="A1216" s="20"/>
      <c r="B1216" s="20"/>
      <c r="C1216" s="20"/>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c r="AD1216" s="20"/>
      <c r="AE1216" s="20"/>
      <c r="AF1216" s="20"/>
      <c r="AG1216" s="20"/>
      <c r="AH1216" s="20"/>
      <c r="AI1216" s="20"/>
      <c r="AJ1216" s="20"/>
      <c r="AK1216" s="20"/>
      <c r="AL1216" s="20"/>
      <c r="AM1216" s="20"/>
      <c r="AN1216" s="20"/>
      <c r="AO1216" s="20"/>
      <c r="AP1216" s="20"/>
      <c r="AQ1216" s="20"/>
      <c r="AR1216" s="20"/>
      <c r="AS1216" s="20"/>
    </row>
    <row r="1217">
      <c r="A1217" s="20"/>
      <c r="B1217" s="20"/>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c r="AD1217" s="20"/>
      <c r="AE1217" s="20"/>
      <c r="AF1217" s="20"/>
      <c r="AG1217" s="20"/>
      <c r="AH1217" s="20"/>
      <c r="AI1217" s="20"/>
      <c r="AJ1217" s="20"/>
      <c r="AK1217" s="20"/>
      <c r="AL1217" s="20"/>
      <c r="AM1217" s="20"/>
      <c r="AN1217" s="20"/>
      <c r="AO1217" s="20"/>
      <c r="AP1217" s="20"/>
      <c r="AQ1217" s="20"/>
      <c r="AR1217" s="20"/>
      <c r="AS1217" s="20"/>
    </row>
    <row r="1218">
      <c r="A1218" s="20"/>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c r="AE1218" s="20"/>
      <c r="AF1218" s="20"/>
      <c r="AG1218" s="20"/>
      <c r="AH1218" s="20"/>
      <c r="AI1218" s="20"/>
      <c r="AJ1218" s="20"/>
      <c r="AK1218" s="20"/>
      <c r="AL1218" s="20"/>
      <c r="AM1218" s="20"/>
      <c r="AN1218" s="20"/>
      <c r="AO1218" s="20"/>
      <c r="AP1218" s="20"/>
      <c r="AQ1218" s="20"/>
      <c r="AR1218" s="20"/>
      <c r="AS1218" s="20"/>
    </row>
    <row r="1219">
      <c r="A1219" s="20"/>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c r="AE1219" s="20"/>
      <c r="AF1219" s="20"/>
      <c r="AG1219" s="20"/>
      <c r="AH1219" s="20"/>
      <c r="AI1219" s="20"/>
      <c r="AJ1219" s="20"/>
      <c r="AK1219" s="20"/>
      <c r="AL1219" s="20"/>
      <c r="AM1219" s="20"/>
      <c r="AN1219" s="20"/>
      <c r="AO1219" s="20"/>
      <c r="AP1219" s="20"/>
      <c r="AQ1219" s="20"/>
      <c r="AR1219" s="20"/>
      <c r="AS1219" s="20"/>
    </row>
    <row r="1220">
      <c r="A1220" s="20"/>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c r="AE1220" s="20"/>
      <c r="AF1220" s="20"/>
      <c r="AG1220" s="20"/>
      <c r="AH1220" s="20"/>
      <c r="AI1220" s="20"/>
      <c r="AJ1220" s="20"/>
      <c r="AK1220" s="20"/>
      <c r="AL1220" s="20"/>
      <c r="AM1220" s="20"/>
      <c r="AN1220" s="20"/>
      <c r="AO1220" s="20"/>
      <c r="AP1220" s="20"/>
      <c r="AQ1220" s="20"/>
      <c r="AR1220" s="20"/>
      <c r="AS1220" s="20"/>
    </row>
    <row r="1221">
      <c r="A1221" s="20"/>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c r="AE1221" s="20"/>
      <c r="AF1221" s="20"/>
      <c r="AG1221" s="20"/>
      <c r="AH1221" s="20"/>
      <c r="AI1221" s="20"/>
      <c r="AJ1221" s="20"/>
      <c r="AK1221" s="20"/>
      <c r="AL1221" s="20"/>
      <c r="AM1221" s="20"/>
      <c r="AN1221" s="20"/>
      <c r="AO1221" s="20"/>
      <c r="AP1221" s="20"/>
      <c r="AQ1221" s="20"/>
      <c r="AR1221" s="20"/>
      <c r="AS1221" s="20"/>
    </row>
    <row r="1222">
      <c r="A1222" s="20"/>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c r="AE1222" s="20"/>
      <c r="AF1222" s="20"/>
      <c r="AG1222" s="20"/>
      <c r="AH1222" s="20"/>
      <c r="AI1222" s="20"/>
      <c r="AJ1222" s="20"/>
      <c r="AK1222" s="20"/>
      <c r="AL1222" s="20"/>
      <c r="AM1222" s="20"/>
      <c r="AN1222" s="20"/>
      <c r="AO1222" s="20"/>
      <c r="AP1222" s="20"/>
      <c r="AQ1222" s="20"/>
      <c r="AR1222" s="20"/>
      <c r="AS1222" s="20"/>
    </row>
    <row r="1223">
      <c r="A1223" s="20"/>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c r="AE1223" s="20"/>
      <c r="AF1223" s="20"/>
      <c r="AG1223" s="20"/>
      <c r="AH1223" s="20"/>
      <c r="AI1223" s="20"/>
      <c r="AJ1223" s="20"/>
      <c r="AK1223" s="20"/>
      <c r="AL1223" s="20"/>
      <c r="AM1223" s="20"/>
      <c r="AN1223" s="20"/>
      <c r="AO1223" s="20"/>
      <c r="AP1223" s="20"/>
      <c r="AQ1223" s="20"/>
      <c r="AR1223" s="20"/>
      <c r="AS1223" s="20"/>
    </row>
    <row r="1224">
      <c r="A1224" s="20"/>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c r="AE1224" s="20"/>
      <c r="AF1224" s="20"/>
      <c r="AG1224" s="20"/>
      <c r="AH1224" s="20"/>
      <c r="AI1224" s="20"/>
      <c r="AJ1224" s="20"/>
      <c r="AK1224" s="20"/>
      <c r="AL1224" s="20"/>
      <c r="AM1224" s="20"/>
      <c r="AN1224" s="20"/>
      <c r="AO1224" s="20"/>
      <c r="AP1224" s="20"/>
      <c r="AQ1224" s="20"/>
      <c r="AR1224" s="20"/>
      <c r="AS1224" s="20"/>
    </row>
    <row r="1225">
      <c r="A1225" s="20"/>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c r="AE1225" s="20"/>
      <c r="AF1225" s="20"/>
      <c r="AG1225" s="20"/>
      <c r="AH1225" s="20"/>
      <c r="AI1225" s="20"/>
      <c r="AJ1225" s="20"/>
      <c r="AK1225" s="20"/>
      <c r="AL1225" s="20"/>
      <c r="AM1225" s="20"/>
      <c r="AN1225" s="20"/>
      <c r="AO1225" s="20"/>
      <c r="AP1225" s="20"/>
      <c r="AQ1225" s="20"/>
      <c r="AR1225" s="20"/>
      <c r="AS1225" s="20"/>
    </row>
    <row r="1226">
      <c r="A1226" s="20"/>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c r="AE1226" s="20"/>
      <c r="AF1226" s="20"/>
      <c r="AG1226" s="20"/>
      <c r="AH1226" s="20"/>
      <c r="AI1226" s="20"/>
      <c r="AJ1226" s="20"/>
      <c r="AK1226" s="20"/>
      <c r="AL1226" s="20"/>
      <c r="AM1226" s="20"/>
      <c r="AN1226" s="20"/>
      <c r="AO1226" s="20"/>
      <c r="AP1226" s="20"/>
      <c r="AQ1226" s="20"/>
      <c r="AR1226" s="20"/>
      <c r="AS1226" s="20"/>
    </row>
    <row r="1227">
      <c r="A1227" s="20"/>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c r="AE1227" s="20"/>
      <c r="AF1227" s="20"/>
      <c r="AG1227" s="20"/>
      <c r="AH1227" s="20"/>
      <c r="AI1227" s="20"/>
      <c r="AJ1227" s="20"/>
      <c r="AK1227" s="20"/>
      <c r="AL1227" s="20"/>
      <c r="AM1227" s="20"/>
      <c r="AN1227" s="20"/>
      <c r="AO1227" s="20"/>
      <c r="AP1227" s="20"/>
      <c r="AQ1227" s="20"/>
      <c r="AR1227" s="20"/>
      <c r="AS1227" s="20"/>
    </row>
    <row r="1228">
      <c r="A1228" s="20"/>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c r="AE1228" s="20"/>
      <c r="AF1228" s="20"/>
      <c r="AG1228" s="20"/>
      <c r="AH1228" s="20"/>
      <c r="AI1228" s="20"/>
      <c r="AJ1228" s="20"/>
      <c r="AK1228" s="20"/>
      <c r="AL1228" s="20"/>
      <c r="AM1228" s="20"/>
      <c r="AN1228" s="20"/>
      <c r="AO1228" s="20"/>
      <c r="AP1228" s="20"/>
      <c r="AQ1228" s="20"/>
      <c r="AR1228" s="20"/>
      <c r="AS1228" s="20"/>
    </row>
    <row r="1229">
      <c r="A1229" s="20"/>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c r="AE1229" s="20"/>
      <c r="AF1229" s="20"/>
      <c r="AG1229" s="20"/>
      <c r="AH1229" s="20"/>
      <c r="AI1229" s="20"/>
      <c r="AJ1229" s="20"/>
      <c r="AK1229" s="20"/>
      <c r="AL1229" s="20"/>
      <c r="AM1229" s="20"/>
      <c r="AN1229" s="20"/>
      <c r="AO1229" s="20"/>
      <c r="AP1229" s="20"/>
      <c r="AQ1229" s="20"/>
      <c r="AR1229" s="20"/>
      <c r="AS1229" s="20"/>
    </row>
    <row r="1230">
      <c r="A1230" s="20"/>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c r="AE1230" s="20"/>
      <c r="AF1230" s="20"/>
      <c r="AG1230" s="20"/>
      <c r="AH1230" s="20"/>
      <c r="AI1230" s="20"/>
      <c r="AJ1230" s="20"/>
      <c r="AK1230" s="20"/>
      <c r="AL1230" s="20"/>
      <c r="AM1230" s="20"/>
      <c r="AN1230" s="20"/>
      <c r="AO1230" s="20"/>
      <c r="AP1230" s="20"/>
      <c r="AQ1230" s="20"/>
      <c r="AR1230" s="20"/>
      <c r="AS1230" s="20"/>
    </row>
    <row r="1231">
      <c r="A1231" s="20"/>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c r="AE1231" s="20"/>
      <c r="AF1231" s="20"/>
      <c r="AG1231" s="20"/>
      <c r="AH1231" s="20"/>
      <c r="AI1231" s="20"/>
      <c r="AJ1231" s="20"/>
      <c r="AK1231" s="20"/>
      <c r="AL1231" s="20"/>
      <c r="AM1231" s="20"/>
      <c r="AN1231" s="20"/>
      <c r="AO1231" s="20"/>
      <c r="AP1231" s="20"/>
      <c r="AQ1231" s="20"/>
      <c r="AR1231" s="20"/>
      <c r="AS1231" s="20"/>
    </row>
    <row r="1232">
      <c r="A1232" s="20"/>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c r="AE1232" s="20"/>
      <c r="AF1232" s="20"/>
      <c r="AG1232" s="20"/>
      <c r="AH1232" s="20"/>
      <c r="AI1232" s="20"/>
      <c r="AJ1232" s="20"/>
      <c r="AK1232" s="20"/>
      <c r="AL1232" s="20"/>
      <c r="AM1232" s="20"/>
      <c r="AN1232" s="20"/>
      <c r="AO1232" s="20"/>
      <c r="AP1232" s="20"/>
      <c r="AQ1232" s="20"/>
      <c r="AR1232" s="20"/>
      <c r="AS1232" s="20"/>
    </row>
    <row r="1233">
      <c r="A1233" s="20"/>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c r="AE1233" s="20"/>
      <c r="AF1233" s="20"/>
      <c r="AG1233" s="20"/>
      <c r="AH1233" s="20"/>
      <c r="AI1233" s="20"/>
      <c r="AJ1233" s="20"/>
      <c r="AK1233" s="20"/>
      <c r="AL1233" s="20"/>
      <c r="AM1233" s="20"/>
      <c r="AN1233" s="20"/>
      <c r="AO1233" s="20"/>
      <c r="AP1233" s="20"/>
      <c r="AQ1233" s="20"/>
      <c r="AR1233" s="20"/>
      <c r="AS1233" s="20"/>
    </row>
    <row r="1234">
      <c r="A1234" s="20"/>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c r="AE1234" s="20"/>
      <c r="AF1234" s="20"/>
      <c r="AG1234" s="20"/>
      <c r="AH1234" s="20"/>
      <c r="AI1234" s="20"/>
      <c r="AJ1234" s="20"/>
      <c r="AK1234" s="20"/>
      <c r="AL1234" s="20"/>
      <c r="AM1234" s="20"/>
      <c r="AN1234" s="20"/>
      <c r="AO1234" s="20"/>
      <c r="AP1234" s="20"/>
      <c r="AQ1234" s="20"/>
      <c r="AR1234" s="20"/>
      <c r="AS1234" s="20"/>
    </row>
    <row r="1235">
      <c r="A1235" s="20"/>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c r="AE1235" s="20"/>
      <c r="AF1235" s="20"/>
      <c r="AG1235" s="20"/>
      <c r="AH1235" s="20"/>
      <c r="AI1235" s="20"/>
      <c r="AJ1235" s="20"/>
      <c r="AK1235" s="20"/>
      <c r="AL1235" s="20"/>
      <c r="AM1235" s="20"/>
      <c r="AN1235" s="20"/>
      <c r="AO1235" s="20"/>
      <c r="AP1235" s="20"/>
      <c r="AQ1235" s="20"/>
      <c r="AR1235" s="20"/>
      <c r="AS1235" s="20"/>
    </row>
    <row r="1236">
      <c r="A1236" s="20"/>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c r="AE1236" s="20"/>
      <c r="AF1236" s="20"/>
      <c r="AG1236" s="20"/>
      <c r="AH1236" s="20"/>
      <c r="AI1236" s="20"/>
      <c r="AJ1236" s="20"/>
      <c r="AK1236" s="20"/>
      <c r="AL1236" s="20"/>
      <c r="AM1236" s="20"/>
      <c r="AN1236" s="20"/>
      <c r="AO1236" s="20"/>
      <c r="AP1236" s="20"/>
      <c r="AQ1236" s="20"/>
      <c r="AR1236" s="20"/>
      <c r="AS1236" s="20"/>
    </row>
    <row r="1237">
      <c r="A1237" s="20"/>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c r="AE1237" s="20"/>
      <c r="AF1237" s="20"/>
      <c r="AG1237" s="20"/>
      <c r="AH1237" s="20"/>
      <c r="AI1237" s="20"/>
      <c r="AJ1237" s="20"/>
      <c r="AK1237" s="20"/>
      <c r="AL1237" s="20"/>
      <c r="AM1237" s="20"/>
      <c r="AN1237" s="20"/>
      <c r="AO1237" s="20"/>
      <c r="AP1237" s="20"/>
      <c r="AQ1237" s="20"/>
      <c r="AR1237" s="20"/>
      <c r="AS1237" s="20"/>
    </row>
    <row r="1238">
      <c r="A1238" s="20"/>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c r="AE1238" s="20"/>
      <c r="AF1238" s="20"/>
      <c r="AG1238" s="20"/>
      <c r="AH1238" s="20"/>
      <c r="AI1238" s="20"/>
      <c r="AJ1238" s="20"/>
      <c r="AK1238" s="20"/>
      <c r="AL1238" s="20"/>
      <c r="AM1238" s="20"/>
      <c r="AN1238" s="20"/>
      <c r="AO1238" s="20"/>
      <c r="AP1238" s="20"/>
      <c r="AQ1238" s="20"/>
      <c r="AR1238" s="20"/>
      <c r="AS1238" s="20"/>
    </row>
    <row r="1239">
      <c r="A1239" s="20"/>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c r="AE1239" s="20"/>
      <c r="AF1239" s="20"/>
      <c r="AG1239" s="20"/>
      <c r="AH1239" s="20"/>
      <c r="AI1239" s="20"/>
      <c r="AJ1239" s="20"/>
      <c r="AK1239" s="20"/>
      <c r="AL1239" s="20"/>
      <c r="AM1239" s="20"/>
      <c r="AN1239" s="20"/>
      <c r="AO1239" s="20"/>
      <c r="AP1239" s="20"/>
      <c r="AQ1239" s="20"/>
      <c r="AR1239" s="20"/>
      <c r="AS1239" s="20"/>
    </row>
    <row r="1240">
      <c r="A1240" s="20"/>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c r="AE1240" s="20"/>
      <c r="AF1240" s="20"/>
      <c r="AG1240" s="20"/>
      <c r="AH1240" s="20"/>
      <c r="AI1240" s="20"/>
      <c r="AJ1240" s="20"/>
      <c r="AK1240" s="20"/>
      <c r="AL1240" s="20"/>
      <c r="AM1240" s="20"/>
      <c r="AN1240" s="20"/>
      <c r="AO1240" s="20"/>
      <c r="AP1240" s="20"/>
      <c r="AQ1240" s="20"/>
      <c r="AR1240" s="20"/>
      <c r="AS1240" s="20"/>
    </row>
    <row r="1241">
      <c r="A1241" s="20"/>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c r="AE1241" s="20"/>
      <c r="AF1241" s="20"/>
      <c r="AG1241" s="20"/>
      <c r="AH1241" s="20"/>
      <c r="AI1241" s="20"/>
      <c r="AJ1241" s="20"/>
      <c r="AK1241" s="20"/>
      <c r="AL1241" s="20"/>
      <c r="AM1241" s="20"/>
      <c r="AN1241" s="20"/>
      <c r="AO1241" s="20"/>
      <c r="AP1241" s="20"/>
      <c r="AQ1241" s="20"/>
      <c r="AR1241" s="20"/>
      <c r="AS1241" s="20"/>
    </row>
    <row r="1242">
      <c r="A1242" s="20"/>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c r="AE1242" s="20"/>
      <c r="AF1242" s="20"/>
      <c r="AG1242" s="20"/>
      <c r="AH1242" s="20"/>
      <c r="AI1242" s="20"/>
      <c r="AJ1242" s="20"/>
      <c r="AK1242" s="20"/>
      <c r="AL1242" s="20"/>
      <c r="AM1242" s="20"/>
      <c r="AN1242" s="20"/>
      <c r="AO1242" s="20"/>
      <c r="AP1242" s="20"/>
      <c r="AQ1242" s="20"/>
      <c r="AR1242" s="20"/>
      <c r="AS1242" s="20"/>
    </row>
    <row r="1243">
      <c r="A1243" s="20"/>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c r="AE1243" s="20"/>
      <c r="AF1243" s="20"/>
      <c r="AG1243" s="20"/>
      <c r="AH1243" s="20"/>
      <c r="AI1243" s="20"/>
      <c r="AJ1243" s="20"/>
      <c r="AK1243" s="20"/>
      <c r="AL1243" s="20"/>
      <c r="AM1243" s="20"/>
      <c r="AN1243" s="20"/>
      <c r="AO1243" s="20"/>
      <c r="AP1243" s="20"/>
      <c r="AQ1243" s="20"/>
      <c r="AR1243" s="20"/>
      <c r="AS1243" s="20"/>
    </row>
    <row r="1244">
      <c r="A1244" s="20"/>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c r="AE1244" s="20"/>
      <c r="AF1244" s="20"/>
      <c r="AG1244" s="20"/>
      <c r="AH1244" s="20"/>
      <c r="AI1244" s="20"/>
      <c r="AJ1244" s="20"/>
      <c r="AK1244" s="20"/>
      <c r="AL1244" s="20"/>
      <c r="AM1244" s="20"/>
      <c r="AN1244" s="20"/>
      <c r="AO1244" s="20"/>
      <c r="AP1244" s="20"/>
      <c r="AQ1244" s="20"/>
      <c r="AR1244" s="20"/>
      <c r="AS1244" s="20"/>
    </row>
    <row r="1245">
      <c r="A1245" s="20"/>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c r="AE1245" s="20"/>
      <c r="AF1245" s="20"/>
      <c r="AG1245" s="20"/>
      <c r="AH1245" s="20"/>
      <c r="AI1245" s="20"/>
      <c r="AJ1245" s="20"/>
      <c r="AK1245" s="20"/>
      <c r="AL1245" s="20"/>
      <c r="AM1245" s="20"/>
      <c r="AN1245" s="20"/>
      <c r="AO1245" s="20"/>
      <c r="AP1245" s="20"/>
      <c r="AQ1245" s="20"/>
      <c r="AR1245" s="20"/>
      <c r="AS1245" s="20"/>
    </row>
    <row r="1246">
      <c r="A1246" s="20"/>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c r="AE1246" s="20"/>
      <c r="AF1246" s="20"/>
      <c r="AG1246" s="20"/>
      <c r="AH1246" s="20"/>
      <c r="AI1246" s="20"/>
      <c r="AJ1246" s="20"/>
      <c r="AK1246" s="20"/>
      <c r="AL1246" s="20"/>
      <c r="AM1246" s="20"/>
      <c r="AN1246" s="20"/>
      <c r="AO1246" s="20"/>
      <c r="AP1246" s="20"/>
      <c r="AQ1246" s="20"/>
      <c r="AR1246" s="20"/>
      <c r="AS1246" s="20"/>
    </row>
    <row r="1247">
      <c r="A1247" s="20"/>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c r="AE1247" s="20"/>
      <c r="AF1247" s="20"/>
      <c r="AG1247" s="20"/>
      <c r="AH1247" s="20"/>
      <c r="AI1247" s="20"/>
      <c r="AJ1247" s="20"/>
      <c r="AK1247" s="20"/>
      <c r="AL1247" s="20"/>
      <c r="AM1247" s="20"/>
      <c r="AN1247" s="20"/>
      <c r="AO1247" s="20"/>
      <c r="AP1247" s="20"/>
      <c r="AQ1247" s="20"/>
      <c r="AR1247" s="20"/>
      <c r="AS1247" s="20"/>
    </row>
    <row r="1248">
      <c r="A1248" s="20"/>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c r="AE1248" s="20"/>
      <c r="AF1248" s="20"/>
      <c r="AG1248" s="20"/>
      <c r="AH1248" s="20"/>
      <c r="AI1248" s="20"/>
      <c r="AJ1248" s="20"/>
      <c r="AK1248" s="20"/>
      <c r="AL1248" s="20"/>
      <c r="AM1248" s="20"/>
      <c r="AN1248" s="20"/>
      <c r="AO1248" s="20"/>
      <c r="AP1248" s="20"/>
      <c r="AQ1248" s="20"/>
      <c r="AR1248" s="20"/>
      <c r="AS1248" s="20"/>
    </row>
    <row r="1249">
      <c r="A1249" s="20"/>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c r="AE1249" s="20"/>
      <c r="AF1249" s="20"/>
      <c r="AG1249" s="20"/>
      <c r="AH1249" s="20"/>
      <c r="AI1249" s="20"/>
      <c r="AJ1249" s="20"/>
      <c r="AK1249" s="20"/>
      <c r="AL1249" s="20"/>
      <c r="AM1249" s="20"/>
      <c r="AN1249" s="20"/>
      <c r="AO1249" s="20"/>
      <c r="AP1249" s="20"/>
      <c r="AQ1249" s="20"/>
      <c r="AR1249" s="20"/>
      <c r="AS1249" s="20"/>
    </row>
    <row r="1250">
      <c r="A1250" s="20"/>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c r="AE1250" s="20"/>
      <c r="AF1250" s="20"/>
      <c r="AG1250" s="20"/>
      <c r="AH1250" s="20"/>
      <c r="AI1250" s="20"/>
      <c r="AJ1250" s="20"/>
      <c r="AK1250" s="20"/>
      <c r="AL1250" s="20"/>
      <c r="AM1250" s="20"/>
      <c r="AN1250" s="20"/>
      <c r="AO1250" s="20"/>
      <c r="AP1250" s="20"/>
      <c r="AQ1250" s="20"/>
      <c r="AR1250" s="20"/>
      <c r="AS1250" s="20"/>
    </row>
    <row r="1251">
      <c r="A1251" s="20"/>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c r="AE1251" s="20"/>
      <c r="AF1251" s="20"/>
      <c r="AG1251" s="20"/>
      <c r="AH1251" s="20"/>
      <c r="AI1251" s="20"/>
      <c r="AJ1251" s="20"/>
      <c r="AK1251" s="20"/>
      <c r="AL1251" s="20"/>
      <c r="AM1251" s="20"/>
      <c r="AN1251" s="20"/>
      <c r="AO1251" s="20"/>
      <c r="AP1251" s="20"/>
      <c r="AQ1251" s="20"/>
      <c r="AR1251" s="20"/>
      <c r="AS1251" s="20"/>
    </row>
    <row r="1252">
      <c r="A1252" s="20"/>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c r="AE1252" s="20"/>
      <c r="AF1252" s="20"/>
      <c r="AG1252" s="20"/>
      <c r="AH1252" s="20"/>
      <c r="AI1252" s="20"/>
      <c r="AJ1252" s="20"/>
      <c r="AK1252" s="20"/>
      <c r="AL1252" s="20"/>
      <c r="AM1252" s="20"/>
      <c r="AN1252" s="20"/>
      <c r="AO1252" s="20"/>
      <c r="AP1252" s="20"/>
      <c r="AQ1252" s="20"/>
      <c r="AR1252" s="20"/>
      <c r="AS1252" s="20"/>
    </row>
    <row r="1253">
      <c r="A1253" s="20"/>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c r="AE1253" s="20"/>
      <c r="AF1253" s="20"/>
      <c r="AG1253" s="20"/>
      <c r="AH1253" s="20"/>
      <c r="AI1253" s="20"/>
      <c r="AJ1253" s="20"/>
      <c r="AK1253" s="20"/>
      <c r="AL1253" s="20"/>
      <c r="AM1253" s="20"/>
      <c r="AN1253" s="20"/>
      <c r="AO1253" s="20"/>
      <c r="AP1253" s="20"/>
      <c r="AQ1253" s="20"/>
      <c r="AR1253" s="20"/>
      <c r="AS1253" s="20"/>
    </row>
    <row r="1254">
      <c r="A1254" s="20"/>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c r="AE1254" s="20"/>
      <c r="AF1254" s="20"/>
      <c r="AG1254" s="20"/>
      <c r="AH1254" s="20"/>
      <c r="AI1254" s="20"/>
      <c r="AJ1254" s="20"/>
      <c r="AK1254" s="20"/>
      <c r="AL1254" s="20"/>
      <c r="AM1254" s="20"/>
      <c r="AN1254" s="20"/>
      <c r="AO1254" s="20"/>
      <c r="AP1254" s="20"/>
      <c r="AQ1254" s="20"/>
      <c r="AR1254" s="20"/>
      <c r="AS1254" s="20"/>
    </row>
    <row r="1255">
      <c r="A1255" s="20"/>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c r="AE1255" s="20"/>
      <c r="AF1255" s="20"/>
      <c r="AG1255" s="20"/>
      <c r="AH1255" s="20"/>
      <c r="AI1255" s="20"/>
      <c r="AJ1255" s="20"/>
      <c r="AK1255" s="20"/>
      <c r="AL1255" s="20"/>
      <c r="AM1255" s="20"/>
      <c r="AN1255" s="20"/>
      <c r="AO1255" s="20"/>
      <c r="AP1255" s="20"/>
      <c r="AQ1255" s="20"/>
      <c r="AR1255" s="20"/>
      <c r="AS1255" s="20"/>
    </row>
    <row r="1256">
      <c r="A1256" s="20"/>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c r="AE1256" s="20"/>
      <c r="AF1256" s="20"/>
      <c r="AG1256" s="20"/>
      <c r="AH1256" s="20"/>
      <c r="AI1256" s="20"/>
      <c r="AJ1256" s="20"/>
      <c r="AK1256" s="20"/>
      <c r="AL1256" s="20"/>
      <c r="AM1256" s="20"/>
      <c r="AN1256" s="20"/>
      <c r="AO1256" s="20"/>
      <c r="AP1256" s="20"/>
      <c r="AQ1256" s="20"/>
      <c r="AR1256" s="20"/>
      <c r="AS1256" s="20"/>
    </row>
    <row r="1257">
      <c r="A1257" s="20"/>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c r="AE1257" s="20"/>
      <c r="AF1257" s="20"/>
      <c r="AG1257" s="20"/>
      <c r="AH1257" s="20"/>
      <c r="AI1257" s="20"/>
      <c r="AJ1257" s="20"/>
      <c r="AK1257" s="20"/>
      <c r="AL1257" s="20"/>
      <c r="AM1257" s="20"/>
      <c r="AN1257" s="20"/>
      <c r="AO1257" s="20"/>
      <c r="AP1257" s="20"/>
      <c r="AQ1257" s="20"/>
      <c r="AR1257" s="20"/>
      <c r="AS1257" s="20"/>
    </row>
    <row r="1258">
      <c r="A1258" s="20"/>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c r="AE1258" s="20"/>
      <c r="AF1258" s="20"/>
      <c r="AG1258" s="20"/>
      <c r="AH1258" s="20"/>
      <c r="AI1258" s="20"/>
      <c r="AJ1258" s="20"/>
      <c r="AK1258" s="20"/>
      <c r="AL1258" s="20"/>
      <c r="AM1258" s="20"/>
      <c r="AN1258" s="20"/>
      <c r="AO1258" s="20"/>
      <c r="AP1258" s="20"/>
      <c r="AQ1258" s="20"/>
      <c r="AR1258" s="20"/>
      <c r="AS1258" s="20"/>
    </row>
    <row r="1259">
      <c r="A1259" s="20"/>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c r="AE1259" s="20"/>
      <c r="AF1259" s="20"/>
      <c r="AG1259" s="20"/>
      <c r="AH1259" s="20"/>
      <c r="AI1259" s="20"/>
      <c r="AJ1259" s="20"/>
      <c r="AK1259" s="20"/>
      <c r="AL1259" s="20"/>
      <c r="AM1259" s="20"/>
      <c r="AN1259" s="20"/>
      <c r="AO1259" s="20"/>
      <c r="AP1259" s="20"/>
      <c r="AQ1259" s="20"/>
      <c r="AR1259" s="20"/>
      <c r="AS1259" s="20"/>
    </row>
    <row r="1260">
      <c r="A1260" s="20"/>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c r="AE1260" s="20"/>
      <c r="AF1260" s="20"/>
      <c r="AG1260" s="20"/>
      <c r="AH1260" s="20"/>
      <c r="AI1260" s="20"/>
      <c r="AJ1260" s="20"/>
      <c r="AK1260" s="20"/>
      <c r="AL1260" s="20"/>
      <c r="AM1260" s="20"/>
      <c r="AN1260" s="20"/>
      <c r="AO1260" s="20"/>
      <c r="AP1260" s="20"/>
      <c r="AQ1260" s="20"/>
      <c r="AR1260" s="20"/>
      <c r="AS1260" s="20"/>
    </row>
    <row r="1261">
      <c r="A1261" s="20"/>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c r="AE1261" s="20"/>
      <c r="AF1261" s="20"/>
      <c r="AG1261" s="20"/>
      <c r="AH1261" s="20"/>
      <c r="AI1261" s="20"/>
      <c r="AJ1261" s="20"/>
      <c r="AK1261" s="20"/>
      <c r="AL1261" s="20"/>
      <c r="AM1261" s="20"/>
      <c r="AN1261" s="20"/>
      <c r="AO1261" s="20"/>
      <c r="AP1261" s="20"/>
      <c r="AQ1261" s="20"/>
      <c r="AR1261" s="20"/>
      <c r="AS1261" s="20"/>
    </row>
    <row r="1262">
      <c r="A1262" s="20"/>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c r="AE1262" s="20"/>
      <c r="AF1262" s="20"/>
      <c r="AG1262" s="20"/>
      <c r="AH1262" s="20"/>
      <c r="AI1262" s="20"/>
      <c r="AJ1262" s="20"/>
      <c r="AK1262" s="20"/>
      <c r="AL1262" s="20"/>
      <c r="AM1262" s="20"/>
      <c r="AN1262" s="20"/>
      <c r="AO1262" s="20"/>
      <c r="AP1262" s="20"/>
      <c r="AQ1262" s="20"/>
      <c r="AR1262" s="20"/>
      <c r="AS1262" s="20"/>
    </row>
    <row r="1263">
      <c r="A1263" s="20"/>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c r="AE1263" s="20"/>
      <c r="AF1263" s="20"/>
      <c r="AG1263" s="20"/>
      <c r="AH1263" s="20"/>
      <c r="AI1263" s="20"/>
      <c r="AJ1263" s="20"/>
      <c r="AK1263" s="20"/>
      <c r="AL1263" s="20"/>
      <c r="AM1263" s="20"/>
      <c r="AN1263" s="20"/>
      <c r="AO1263" s="20"/>
      <c r="AP1263" s="20"/>
      <c r="AQ1263" s="20"/>
      <c r="AR1263" s="20"/>
      <c r="AS1263" s="20"/>
    </row>
    <row r="1264">
      <c r="A1264" s="20"/>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c r="AE1264" s="20"/>
      <c r="AF1264" s="20"/>
      <c r="AG1264" s="20"/>
      <c r="AH1264" s="20"/>
      <c r="AI1264" s="20"/>
      <c r="AJ1264" s="20"/>
      <c r="AK1264" s="20"/>
      <c r="AL1264" s="20"/>
      <c r="AM1264" s="20"/>
      <c r="AN1264" s="20"/>
      <c r="AO1264" s="20"/>
      <c r="AP1264" s="20"/>
      <c r="AQ1264" s="20"/>
      <c r="AR1264" s="20"/>
      <c r="AS1264" s="20"/>
    </row>
    <row r="1265">
      <c r="A1265" s="20"/>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c r="AE1265" s="20"/>
      <c r="AF1265" s="20"/>
      <c r="AG1265" s="20"/>
      <c r="AH1265" s="20"/>
      <c r="AI1265" s="20"/>
      <c r="AJ1265" s="20"/>
      <c r="AK1265" s="20"/>
      <c r="AL1265" s="20"/>
      <c r="AM1265" s="20"/>
      <c r="AN1265" s="20"/>
      <c r="AO1265" s="20"/>
      <c r="AP1265" s="20"/>
      <c r="AQ1265" s="20"/>
      <c r="AR1265" s="20"/>
      <c r="AS1265" s="20"/>
    </row>
    <row r="1266">
      <c r="A1266" s="20"/>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c r="AE1266" s="20"/>
      <c r="AF1266" s="20"/>
      <c r="AG1266" s="20"/>
      <c r="AH1266" s="20"/>
      <c r="AI1266" s="20"/>
      <c r="AJ1266" s="20"/>
      <c r="AK1266" s="20"/>
      <c r="AL1266" s="20"/>
      <c r="AM1266" s="20"/>
      <c r="AN1266" s="20"/>
      <c r="AO1266" s="20"/>
      <c r="AP1266" s="20"/>
      <c r="AQ1266" s="20"/>
      <c r="AR1266" s="20"/>
      <c r="AS1266" s="20"/>
    </row>
    <row r="1267">
      <c r="A1267" s="20"/>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c r="AE1267" s="20"/>
      <c r="AF1267" s="20"/>
      <c r="AG1267" s="20"/>
      <c r="AH1267" s="20"/>
      <c r="AI1267" s="20"/>
      <c r="AJ1267" s="20"/>
      <c r="AK1267" s="20"/>
      <c r="AL1267" s="20"/>
      <c r="AM1267" s="20"/>
      <c r="AN1267" s="20"/>
      <c r="AO1267" s="20"/>
      <c r="AP1267" s="20"/>
      <c r="AQ1267" s="20"/>
      <c r="AR1267" s="20"/>
      <c r="AS1267" s="20"/>
    </row>
    <row r="1268">
      <c r="A1268" s="20"/>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c r="AE1268" s="20"/>
      <c r="AF1268" s="20"/>
      <c r="AG1268" s="20"/>
      <c r="AH1268" s="20"/>
      <c r="AI1268" s="20"/>
      <c r="AJ1268" s="20"/>
      <c r="AK1268" s="20"/>
      <c r="AL1268" s="20"/>
      <c r="AM1268" s="20"/>
      <c r="AN1268" s="20"/>
      <c r="AO1268" s="20"/>
      <c r="AP1268" s="20"/>
      <c r="AQ1268" s="20"/>
      <c r="AR1268" s="20"/>
      <c r="AS1268" s="20"/>
    </row>
    <row r="1269">
      <c r="A1269" s="20"/>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c r="AE1269" s="20"/>
      <c r="AF1269" s="20"/>
      <c r="AG1269" s="20"/>
      <c r="AH1269" s="20"/>
      <c r="AI1269" s="20"/>
      <c r="AJ1269" s="20"/>
      <c r="AK1269" s="20"/>
      <c r="AL1269" s="20"/>
      <c r="AM1269" s="20"/>
      <c r="AN1269" s="20"/>
      <c r="AO1269" s="20"/>
      <c r="AP1269" s="20"/>
      <c r="AQ1269" s="20"/>
      <c r="AR1269" s="20"/>
      <c r="AS1269" s="20"/>
    </row>
    <row r="1270">
      <c r="A1270" s="20"/>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c r="AE1270" s="20"/>
      <c r="AF1270" s="20"/>
      <c r="AG1270" s="20"/>
      <c r="AH1270" s="20"/>
      <c r="AI1270" s="20"/>
      <c r="AJ1270" s="20"/>
      <c r="AK1270" s="20"/>
      <c r="AL1270" s="20"/>
      <c r="AM1270" s="20"/>
      <c r="AN1270" s="20"/>
      <c r="AO1270" s="20"/>
      <c r="AP1270" s="20"/>
      <c r="AQ1270" s="20"/>
      <c r="AR1270" s="20"/>
      <c r="AS1270" s="20"/>
    </row>
    <row r="1271">
      <c r="A1271" s="20"/>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c r="AE1271" s="20"/>
      <c r="AF1271" s="20"/>
      <c r="AG1271" s="20"/>
      <c r="AH1271" s="20"/>
      <c r="AI1271" s="20"/>
      <c r="AJ1271" s="20"/>
      <c r="AK1271" s="20"/>
      <c r="AL1271" s="20"/>
      <c r="AM1271" s="20"/>
      <c r="AN1271" s="20"/>
      <c r="AO1271" s="20"/>
      <c r="AP1271" s="20"/>
      <c r="AQ1271" s="20"/>
      <c r="AR1271" s="20"/>
      <c r="AS1271" s="20"/>
    </row>
    <row r="1272">
      <c r="A1272" s="20"/>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c r="AE1272" s="20"/>
      <c r="AF1272" s="20"/>
      <c r="AG1272" s="20"/>
      <c r="AH1272" s="20"/>
      <c r="AI1272" s="20"/>
      <c r="AJ1272" s="20"/>
      <c r="AK1272" s="20"/>
      <c r="AL1272" s="20"/>
      <c r="AM1272" s="20"/>
      <c r="AN1272" s="20"/>
      <c r="AO1272" s="20"/>
      <c r="AP1272" s="20"/>
      <c r="AQ1272" s="20"/>
      <c r="AR1272" s="20"/>
      <c r="AS1272" s="20"/>
    </row>
    <row r="1273">
      <c r="A1273" s="20"/>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c r="AE1273" s="20"/>
      <c r="AF1273" s="20"/>
      <c r="AG1273" s="20"/>
      <c r="AH1273" s="20"/>
      <c r="AI1273" s="20"/>
      <c r="AJ1273" s="20"/>
      <c r="AK1273" s="20"/>
      <c r="AL1273" s="20"/>
      <c r="AM1273" s="20"/>
      <c r="AN1273" s="20"/>
      <c r="AO1273" s="20"/>
      <c r="AP1273" s="20"/>
      <c r="AQ1273" s="20"/>
      <c r="AR1273" s="20"/>
      <c r="AS1273" s="20"/>
    </row>
    <row r="1274">
      <c r="A1274" s="20"/>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c r="AE1274" s="20"/>
      <c r="AF1274" s="20"/>
      <c r="AG1274" s="20"/>
      <c r="AH1274" s="20"/>
      <c r="AI1274" s="20"/>
      <c r="AJ1274" s="20"/>
      <c r="AK1274" s="20"/>
      <c r="AL1274" s="20"/>
      <c r="AM1274" s="20"/>
      <c r="AN1274" s="20"/>
      <c r="AO1274" s="20"/>
      <c r="AP1274" s="20"/>
      <c r="AQ1274" s="20"/>
      <c r="AR1274" s="20"/>
      <c r="AS1274" s="20"/>
    </row>
    <row r="1275">
      <c r="A1275" s="20"/>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c r="AE1275" s="20"/>
      <c r="AF1275" s="20"/>
      <c r="AG1275" s="20"/>
      <c r="AH1275" s="20"/>
      <c r="AI1275" s="20"/>
      <c r="AJ1275" s="20"/>
      <c r="AK1275" s="20"/>
      <c r="AL1275" s="20"/>
      <c r="AM1275" s="20"/>
      <c r="AN1275" s="20"/>
      <c r="AO1275" s="20"/>
      <c r="AP1275" s="20"/>
      <c r="AQ1275" s="20"/>
      <c r="AR1275" s="20"/>
      <c r="AS1275" s="20"/>
    </row>
    <row r="1276">
      <c r="A1276" s="20"/>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c r="AE1276" s="20"/>
      <c r="AF1276" s="20"/>
      <c r="AG1276" s="20"/>
      <c r="AH1276" s="20"/>
      <c r="AI1276" s="20"/>
      <c r="AJ1276" s="20"/>
      <c r="AK1276" s="20"/>
      <c r="AL1276" s="20"/>
      <c r="AM1276" s="20"/>
      <c r="AN1276" s="20"/>
      <c r="AO1276" s="20"/>
      <c r="AP1276" s="20"/>
      <c r="AQ1276" s="20"/>
      <c r="AR1276" s="20"/>
      <c r="AS1276" s="20"/>
    </row>
    <row r="1277">
      <c r="A1277" s="20"/>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c r="AE1277" s="20"/>
      <c r="AF1277" s="20"/>
      <c r="AG1277" s="20"/>
      <c r="AH1277" s="20"/>
      <c r="AI1277" s="20"/>
      <c r="AJ1277" s="20"/>
      <c r="AK1277" s="20"/>
      <c r="AL1277" s="20"/>
      <c r="AM1277" s="20"/>
      <c r="AN1277" s="20"/>
      <c r="AO1277" s="20"/>
      <c r="AP1277" s="20"/>
      <c r="AQ1277" s="20"/>
      <c r="AR1277" s="20"/>
      <c r="AS1277" s="20"/>
    </row>
    <row r="1278">
      <c r="A1278" s="20"/>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c r="AE1278" s="20"/>
      <c r="AF1278" s="20"/>
      <c r="AG1278" s="20"/>
      <c r="AH1278" s="20"/>
      <c r="AI1278" s="20"/>
      <c r="AJ1278" s="20"/>
      <c r="AK1278" s="20"/>
      <c r="AL1278" s="20"/>
      <c r="AM1278" s="20"/>
      <c r="AN1278" s="20"/>
      <c r="AO1278" s="20"/>
      <c r="AP1278" s="20"/>
      <c r="AQ1278" s="20"/>
      <c r="AR1278" s="20"/>
      <c r="AS1278" s="20"/>
    </row>
    <row r="1279">
      <c r="A1279" s="20"/>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c r="AE1279" s="20"/>
      <c r="AF1279" s="20"/>
      <c r="AG1279" s="20"/>
      <c r="AH1279" s="20"/>
      <c r="AI1279" s="20"/>
      <c r="AJ1279" s="20"/>
      <c r="AK1279" s="20"/>
      <c r="AL1279" s="20"/>
      <c r="AM1279" s="20"/>
      <c r="AN1279" s="20"/>
      <c r="AO1279" s="20"/>
      <c r="AP1279" s="20"/>
      <c r="AQ1279" s="20"/>
      <c r="AR1279" s="20"/>
      <c r="AS1279" s="20"/>
    </row>
    <row r="1280">
      <c r="A1280" s="20"/>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c r="AE1280" s="20"/>
      <c r="AF1280" s="20"/>
      <c r="AG1280" s="20"/>
      <c r="AH1280" s="20"/>
      <c r="AI1280" s="20"/>
      <c r="AJ1280" s="20"/>
      <c r="AK1280" s="20"/>
      <c r="AL1280" s="20"/>
      <c r="AM1280" s="20"/>
      <c r="AN1280" s="20"/>
      <c r="AO1280" s="20"/>
      <c r="AP1280" s="20"/>
      <c r="AQ1280" s="20"/>
      <c r="AR1280" s="20"/>
      <c r="AS1280" s="20"/>
    </row>
    <row r="1281">
      <c r="A1281" s="20"/>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c r="AE1281" s="20"/>
      <c r="AF1281" s="20"/>
      <c r="AG1281" s="20"/>
      <c r="AH1281" s="20"/>
      <c r="AI1281" s="20"/>
      <c r="AJ1281" s="20"/>
      <c r="AK1281" s="20"/>
      <c r="AL1281" s="20"/>
      <c r="AM1281" s="20"/>
      <c r="AN1281" s="20"/>
      <c r="AO1281" s="20"/>
      <c r="AP1281" s="20"/>
      <c r="AQ1281" s="20"/>
      <c r="AR1281" s="20"/>
      <c r="AS1281" s="20"/>
    </row>
    <row r="1282">
      <c r="A1282" s="20"/>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c r="AE1282" s="20"/>
      <c r="AF1282" s="20"/>
      <c r="AG1282" s="20"/>
      <c r="AH1282" s="20"/>
      <c r="AI1282" s="20"/>
      <c r="AJ1282" s="20"/>
      <c r="AK1282" s="20"/>
      <c r="AL1282" s="20"/>
      <c r="AM1282" s="20"/>
      <c r="AN1282" s="20"/>
      <c r="AO1282" s="20"/>
      <c r="AP1282" s="20"/>
      <c r="AQ1282" s="20"/>
      <c r="AR1282" s="20"/>
      <c r="AS1282" s="20"/>
    </row>
    <row r="1283">
      <c r="A1283" s="20"/>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c r="AE1283" s="20"/>
      <c r="AF1283" s="20"/>
      <c r="AG1283" s="20"/>
      <c r="AH1283" s="20"/>
      <c r="AI1283" s="20"/>
      <c r="AJ1283" s="20"/>
      <c r="AK1283" s="20"/>
      <c r="AL1283" s="20"/>
      <c r="AM1283" s="20"/>
      <c r="AN1283" s="20"/>
      <c r="AO1283" s="20"/>
      <c r="AP1283" s="20"/>
      <c r="AQ1283" s="20"/>
      <c r="AR1283" s="20"/>
      <c r="AS1283" s="20"/>
    </row>
    <row r="1284">
      <c r="A1284" s="20"/>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c r="AE1284" s="20"/>
      <c r="AF1284" s="20"/>
      <c r="AG1284" s="20"/>
      <c r="AH1284" s="20"/>
      <c r="AI1284" s="20"/>
      <c r="AJ1284" s="20"/>
      <c r="AK1284" s="20"/>
      <c r="AL1284" s="20"/>
      <c r="AM1284" s="20"/>
      <c r="AN1284" s="20"/>
      <c r="AO1284" s="20"/>
      <c r="AP1284" s="20"/>
      <c r="AQ1284" s="20"/>
      <c r="AR1284" s="20"/>
      <c r="AS1284" s="20"/>
    </row>
    <row r="1285">
      <c r="A1285" s="20"/>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c r="AE1285" s="20"/>
      <c r="AF1285" s="20"/>
      <c r="AG1285" s="20"/>
      <c r="AH1285" s="20"/>
      <c r="AI1285" s="20"/>
      <c r="AJ1285" s="20"/>
      <c r="AK1285" s="20"/>
      <c r="AL1285" s="20"/>
      <c r="AM1285" s="20"/>
      <c r="AN1285" s="20"/>
      <c r="AO1285" s="20"/>
      <c r="AP1285" s="20"/>
      <c r="AQ1285" s="20"/>
      <c r="AR1285" s="20"/>
      <c r="AS1285" s="20"/>
    </row>
    <row r="1286">
      <c r="A1286" s="20"/>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c r="AE1286" s="20"/>
      <c r="AF1286" s="20"/>
      <c r="AG1286" s="20"/>
      <c r="AH1286" s="20"/>
      <c r="AI1286" s="20"/>
      <c r="AJ1286" s="20"/>
      <c r="AK1286" s="20"/>
      <c r="AL1286" s="20"/>
      <c r="AM1286" s="20"/>
      <c r="AN1286" s="20"/>
      <c r="AO1286" s="20"/>
      <c r="AP1286" s="20"/>
      <c r="AQ1286" s="20"/>
      <c r="AR1286" s="20"/>
      <c r="AS1286" s="20"/>
    </row>
    <row r="1287">
      <c r="A1287" s="20"/>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c r="AE1287" s="20"/>
      <c r="AF1287" s="20"/>
      <c r="AG1287" s="20"/>
      <c r="AH1287" s="20"/>
      <c r="AI1287" s="20"/>
      <c r="AJ1287" s="20"/>
      <c r="AK1287" s="20"/>
      <c r="AL1287" s="20"/>
      <c r="AM1287" s="20"/>
      <c r="AN1287" s="20"/>
      <c r="AO1287" s="20"/>
      <c r="AP1287" s="20"/>
      <c r="AQ1287" s="20"/>
      <c r="AR1287" s="20"/>
      <c r="AS1287" s="20"/>
    </row>
    <row r="1288">
      <c r="A1288" s="20"/>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c r="AE1288" s="20"/>
      <c r="AF1288" s="20"/>
      <c r="AG1288" s="20"/>
      <c r="AH1288" s="20"/>
      <c r="AI1288" s="20"/>
      <c r="AJ1288" s="20"/>
      <c r="AK1288" s="20"/>
      <c r="AL1288" s="20"/>
      <c r="AM1288" s="20"/>
      <c r="AN1288" s="20"/>
      <c r="AO1288" s="20"/>
      <c r="AP1288" s="20"/>
      <c r="AQ1288" s="20"/>
      <c r="AR1288" s="20"/>
      <c r="AS1288" s="20"/>
    </row>
    <row r="1289">
      <c r="A1289" s="20"/>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c r="AE1289" s="20"/>
      <c r="AF1289" s="20"/>
      <c r="AG1289" s="20"/>
      <c r="AH1289" s="20"/>
      <c r="AI1289" s="20"/>
      <c r="AJ1289" s="20"/>
      <c r="AK1289" s="20"/>
      <c r="AL1289" s="20"/>
      <c r="AM1289" s="20"/>
      <c r="AN1289" s="20"/>
      <c r="AO1289" s="20"/>
      <c r="AP1289" s="20"/>
      <c r="AQ1289" s="20"/>
      <c r="AR1289" s="20"/>
      <c r="AS1289" s="20"/>
    </row>
    <row r="1290">
      <c r="A1290" s="20"/>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c r="AE1290" s="20"/>
      <c r="AF1290" s="20"/>
      <c r="AG1290" s="20"/>
      <c r="AH1290" s="20"/>
      <c r="AI1290" s="20"/>
      <c r="AJ1290" s="20"/>
      <c r="AK1290" s="20"/>
      <c r="AL1290" s="20"/>
      <c r="AM1290" s="20"/>
      <c r="AN1290" s="20"/>
      <c r="AO1290" s="20"/>
      <c r="AP1290" s="20"/>
      <c r="AQ1290" s="20"/>
      <c r="AR1290" s="20"/>
      <c r="AS1290" s="20"/>
    </row>
    <row r="1291">
      <c r="A1291" s="20"/>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c r="AE1291" s="20"/>
      <c r="AF1291" s="20"/>
      <c r="AG1291" s="20"/>
      <c r="AH1291" s="20"/>
      <c r="AI1291" s="20"/>
      <c r="AJ1291" s="20"/>
      <c r="AK1291" s="20"/>
      <c r="AL1291" s="20"/>
      <c r="AM1291" s="20"/>
      <c r="AN1291" s="20"/>
      <c r="AO1291" s="20"/>
      <c r="AP1291" s="20"/>
      <c r="AQ1291" s="20"/>
      <c r="AR1291" s="20"/>
      <c r="AS1291" s="20"/>
    </row>
    <row r="1292">
      <c r="A1292" s="20"/>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c r="AE1292" s="20"/>
      <c r="AF1292" s="20"/>
      <c r="AG1292" s="20"/>
      <c r="AH1292" s="20"/>
      <c r="AI1292" s="20"/>
      <c r="AJ1292" s="20"/>
      <c r="AK1292" s="20"/>
      <c r="AL1292" s="20"/>
      <c r="AM1292" s="20"/>
      <c r="AN1292" s="20"/>
      <c r="AO1292" s="20"/>
      <c r="AP1292" s="20"/>
      <c r="AQ1292" s="20"/>
      <c r="AR1292" s="20"/>
      <c r="AS1292" s="20"/>
    </row>
    <row r="1293">
      <c r="A1293" s="20"/>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c r="AE1293" s="20"/>
      <c r="AF1293" s="20"/>
      <c r="AG1293" s="20"/>
      <c r="AH1293" s="20"/>
      <c r="AI1293" s="20"/>
      <c r="AJ1293" s="20"/>
      <c r="AK1293" s="20"/>
      <c r="AL1293" s="20"/>
      <c r="AM1293" s="20"/>
      <c r="AN1293" s="20"/>
      <c r="AO1293" s="20"/>
      <c r="AP1293" s="20"/>
      <c r="AQ1293" s="20"/>
      <c r="AR1293" s="20"/>
      <c r="AS1293" s="20"/>
    </row>
    <row r="1294">
      <c r="A1294" s="20"/>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c r="AE1294" s="20"/>
      <c r="AF1294" s="20"/>
      <c r="AG1294" s="20"/>
      <c r="AH1294" s="20"/>
      <c r="AI1294" s="20"/>
      <c r="AJ1294" s="20"/>
      <c r="AK1294" s="20"/>
      <c r="AL1294" s="20"/>
      <c r="AM1294" s="20"/>
      <c r="AN1294" s="20"/>
      <c r="AO1294" s="20"/>
      <c r="AP1294" s="20"/>
      <c r="AQ1294" s="20"/>
      <c r="AR1294" s="20"/>
      <c r="AS1294" s="20"/>
    </row>
    <row r="1295">
      <c r="A1295" s="20"/>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c r="AE1295" s="20"/>
      <c r="AF1295" s="20"/>
      <c r="AG1295" s="20"/>
      <c r="AH1295" s="20"/>
      <c r="AI1295" s="20"/>
      <c r="AJ1295" s="20"/>
      <c r="AK1295" s="20"/>
      <c r="AL1295" s="20"/>
      <c r="AM1295" s="20"/>
      <c r="AN1295" s="20"/>
      <c r="AO1295" s="20"/>
      <c r="AP1295" s="20"/>
      <c r="AQ1295" s="20"/>
      <c r="AR1295" s="20"/>
      <c r="AS1295" s="20"/>
    </row>
    <row r="1296">
      <c r="A1296" s="20"/>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c r="AE1296" s="20"/>
      <c r="AF1296" s="20"/>
      <c r="AG1296" s="20"/>
      <c r="AH1296" s="20"/>
      <c r="AI1296" s="20"/>
      <c r="AJ1296" s="20"/>
      <c r="AK1296" s="20"/>
      <c r="AL1296" s="20"/>
      <c r="AM1296" s="20"/>
      <c r="AN1296" s="20"/>
      <c r="AO1296" s="20"/>
      <c r="AP1296" s="20"/>
      <c r="AQ1296" s="20"/>
      <c r="AR1296" s="20"/>
      <c r="AS1296" s="20"/>
    </row>
    <row r="1297">
      <c r="A1297" s="20"/>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c r="AE1297" s="20"/>
      <c r="AF1297" s="20"/>
      <c r="AG1297" s="20"/>
      <c r="AH1297" s="20"/>
      <c r="AI1297" s="20"/>
      <c r="AJ1297" s="20"/>
      <c r="AK1297" s="20"/>
      <c r="AL1297" s="20"/>
      <c r="AM1297" s="20"/>
      <c r="AN1297" s="20"/>
      <c r="AO1297" s="20"/>
      <c r="AP1297" s="20"/>
      <c r="AQ1297" s="20"/>
      <c r="AR1297" s="20"/>
      <c r="AS1297" s="20"/>
    </row>
    <row r="1298">
      <c r="A1298" s="20"/>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c r="AE1298" s="20"/>
      <c r="AF1298" s="20"/>
      <c r="AG1298" s="20"/>
      <c r="AH1298" s="20"/>
      <c r="AI1298" s="20"/>
      <c r="AJ1298" s="20"/>
      <c r="AK1298" s="20"/>
      <c r="AL1298" s="20"/>
      <c r="AM1298" s="20"/>
      <c r="AN1298" s="20"/>
      <c r="AO1298" s="20"/>
      <c r="AP1298" s="20"/>
      <c r="AQ1298" s="20"/>
      <c r="AR1298" s="20"/>
      <c r="AS1298" s="20"/>
    </row>
    <row r="1299">
      <c r="A1299" s="20"/>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c r="AE1299" s="20"/>
      <c r="AF1299" s="20"/>
      <c r="AG1299" s="20"/>
      <c r="AH1299" s="20"/>
      <c r="AI1299" s="20"/>
      <c r="AJ1299" s="20"/>
      <c r="AK1299" s="20"/>
      <c r="AL1299" s="20"/>
      <c r="AM1299" s="20"/>
      <c r="AN1299" s="20"/>
      <c r="AO1299" s="20"/>
      <c r="AP1299" s="20"/>
      <c r="AQ1299" s="20"/>
      <c r="AR1299" s="20"/>
      <c r="AS1299" s="20"/>
    </row>
    <row r="1300">
      <c r="A1300" s="20"/>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c r="AE1300" s="20"/>
      <c r="AF1300" s="20"/>
      <c r="AG1300" s="20"/>
      <c r="AH1300" s="20"/>
      <c r="AI1300" s="20"/>
      <c r="AJ1300" s="20"/>
      <c r="AK1300" s="20"/>
      <c r="AL1300" s="20"/>
      <c r="AM1300" s="20"/>
      <c r="AN1300" s="20"/>
      <c r="AO1300" s="20"/>
      <c r="AP1300" s="20"/>
      <c r="AQ1300" s="20"/>
      <c r="AR1300" s="20"/>
      <c r="AS1300" s="20"/>
    </row>
    <row r="1301">
      <c r="A1301" s="20"/>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c r="AE1301" s="20"/>
      <c r="AF1301" s="20"/>
      <c r="AG1301" s="20"/>
      <c r="AH1301" s="20"/>
      <c r="AI1301" s="20"/>
      <c r="AJ1301" s="20"/>
      <c r="AK1301" s="20"/>
      <c r="AL1301" s="20"/>
      <c r="AM1301" s="20"/>
      <c r="AN1301" s="20"/>
      <c r="AO1301" s="20"/>
      <c r="AP1301" s="20"/>
      <c r="AQ1301" s="20"/>
      <c r="AR1301" s="20"/>
      <c r="AS1301" s="20"/>
    </row>
    <row r="1302">
      <c r="A1302" s="20"/>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c r="AE1302" s="20"/>
      <c r="AF1302" s="20"/>
      <c r="AG1302" s="20"/>
      <c r="AH1302" s="20"/>
      <c r="AI1302" s="20"/>
      <c r="AJ1302" s="20"/>
      <c r="AK1302" s="20"/>
      <c r="AL1302" s="20"/>
      <c r="AM1302" s="20"/>
      <c r="AN1302" s="20"/>
      <c r="AO1302" s="20"/>
      <c r="AP1302" s="20"/>
      <c r="AQ1302" s="20"/>
      <c r="AR1302" s="20"/>
      <c r="AS1302" s="20"/>
    </row>
    <row r="1303">
      <c r="A1303" s="20"/>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c r="AE1303" s="20"/>
      <c r="AF1303" s="20"/>
      <c r="AG1303" s="20"/>
      <c r="AH1303" s="20"/>
      <c r="AI1303" s="20"/>
      <c r="AJ1303" s="20"/>
      <c r="AK1303" s="20"/>
      <c r="AL1303" s="20"/>
      <c r="AM1303" s="20"/>
      <c r="AN1303" s="20"/>
      <c r="AO1303" s="20"/>
      <c r="AP1303" s="20"/>
      <c r="AQ1303" s="20"/>
      <c r="AR1303" s="20"/>
      <c r="AS1303" s="20"/>
    </row>
    <row r="1304">
      <c r="A1304" s="20"/>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c r="AE1304" s="20"/>
      <c r="AF1304" s="20"/>
      <c r="AG1304" s="20"/>
      <c r="AH1304" s="20"/>
      <c r="AI1304" s="20"/>
      <c r="AJ1304" s="20"/>
      <c r="AK1304" s="20"/>
      <c r="AL1304" s="20"/>
      <c r="AM1304" s="20"/>
      <c r="AN1304" s="20"/>
      <c r="AO1304" s="20"/>
      <c r="AP1304" s="20"/>
      <c r="AQ1304" s="20"/>
      <c r="AR1304" s="20"/>
      <c r="AS1304" s="20"/>
    </row>
    <row r="1305">
      <c r="A1305" s="20"/>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c r="AE1305" s="20"/>
      <c r="AF1305" s="20"/>
      <c r="AG1305" s="20"/>
      <c r="AH1305" s="20"/>
      <c r="AI1305" s="20"/>
      <c r="AJ1305" s="20"/>
      <c r="AK1305" s="20"/>
      <c r="AL1305" s="20"/>
      <c r="AM1305" s="20"/>
      <c r="AN1305" s="20"/>
      <c r="AO1305" s="20"/>
      <c r="AP1305" s="20"/>
      <c r="AQ1305" s="20"/>
      <c r="AR1305" s="20"/>
      <c r="AS1305" s="20"/>
    </row>
    <row r="1306">
      <c r="A1306" s="20"/>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c r="AE1306" s="20"/>
      <c r="AF1306" s="20"/>
      <c r="AG1306" s="20"/>
      <c r="AH1306" s="20"/>
      <c r="AI1306" s="20"/>
      <c r="AJ1306" s="20"/>
      <c r="AK1306" s="20"/>
      <c r="AL1306" s="20"/>
      <c r="AM1306" s="20"/>
      <c r="AN1306" s="20"/>
      <c r="AO1306" s="20"/>
      <c r="AP1306" s="20"/>
      <c r="AQ1306" s="20"/>
      <c r="AR1306" s="20"/>
      <c r="AS1306" s="20"/>
    </row>
    <row r="1307">
      <c r="A1307" s="20"/>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c r="AE1307" s="20"/>
      <c r="AF1307" s="20"/>
      <c r="AG1307" s="20"/>
      <c r="AH1307" s="20"/>
      <c r="AI1307" s="20"/>
      <c r="AJ1307" s="20"/>
      <c r="AK1307" s="20"/>
      <c r="AL1307" s="20"/>
      <c r="AM1307" s="20"/>
      <c r="AN1307" s="20"/>
      <c r="AO1307" s="20"/>
      <c r="AP1307" s="20"/>
      <c r="AQ1307" s="20"/>
      <c r="AR1307" s="20"/>
      <c r="AS1307" s="20"/>
    </row>
    <row r="1308">
      <c r="A1308" s="20"/>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c r="AE1308" s="20"/>
      <c r="AF1308" s="20"/>
      <c r="AG1308" s="20"/>
      <c r="AH1308" s="20"/>
      <c r="AI1308" s="20"/>
      <c r="AJ1308" s="20"/>
      <c r="AK1308" s="20"/>
      <c r="AL1308" s="20"/>
      <c r="AM1308" s="20"/>
      <c r="AN1308" s="20"/>
      <c r="AO1308" s="20"/>
      <c r="AP1308" s="20"/>
      <c r="AQ1308" s="20"/>
      <c r="AR1308" s="20"/>
      <c r="AS1308" s="20"/>
    </row>
    <row r="1309">
      <c r="A1309" s="20"/>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c r="AE1309" s="20"/>
      <c r="AF1309" s="20"/>
      <c r="AG1309" s="20"/>
      <c r="AH1309" s="20"/>
      <c r="AI1309" s="20"/>
      <c r="AJ1309" s="20"/>
      <c r="AK1309" s="20"/>
      <c r="AL1309" s="20"/>
      <c r="AM1309" s="20"/>
      <c r="AN1309" s="20"/>
      <c r="AO1309" s="20"/>
      <c r="AP1309" s="20"/>
      <c r="AQ1309" s="20"/>
      <c r="AR1309" s="20"/>
      <c r="AS1309" s="20"/>
    </row>
    <row r="1310">
      <c r="A1310" s="20"/>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c r="AE1310" s="20"/>
      <c r="AF1310" s="20"/>
      <c r="AG1310" s="20"/>
      <c r="AH1310" s="20"/>
      <c r="AI1310" s="20"/>
      <c r="AJ1310" s="20"/>
      <c r="AK1310" s="20"/>
      <c r="AL1310" s="20"/>
      <c r="AM1310" s="20"/>
      <c r="AN1310" s="20"/>
      <c r="AO1310" s="20"/>
      <c r="AP1310" s="20"/>
      <c r="AQ1310" s="20"/>
      <c r="AR1310" s="20"/>
      <c r="AS1310" s="20"/>
    </row>
    <row r="1311">
      <c r="A1311" s="20"/>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c r="AE1311" s="20"/>
      <c r="AF1311" s="20"/>
      <c r="AG1311" s="20"/>
      <c r="AH1311" s="20"/>
      <c r="AI1311" s="20"/>
      <c r="AJ1311" s="20"/>
      <c r="AK1311" s="20"/>
      <c r="AL1311" s="20"/>
      <c r="AM1311" s="20"/>
      <c r="AN1311" s="20"/>
      <c r="AO1311" s="20"/>
      <c r="AP1311" s="20"/>
      <c r="AQ1311" s="20"/>
      <c r="AR1311" s="20"/>
      <c r="AS1311" s="20"/>
    </row>
    <row r="1312">
      <c r="A1312" s="20"/>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c r="AE1312" s="20"/>
      <c r="AF1312" s="20"/>
      <c r="AG1312" s="20"/>
      <c r="AH1312" s="20"/>
      <c r="AI1312" s="20"/>
      <c r="AJ1312" s="20"/>
      <c r="AK1312" s="20"/>
      <c r="AL1312" s="20"/>
      <c r="AM1312" s="20"/>
      <c r="AN1312" s="20"/>
      <c r="AO1312" s="20"/>
      <c r="AP1312" s="20"/>
      <c r="AQ1312" s="20"/>
      <c r="AR1312" s="20"/>
      <c r="AS1312" s="20"/>
    </row>
    <row r="1313">
      <c r="A1313" s="20"/>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c r="AE1313" s="20"/>
      <c r="AF1313" s="20"/>
      <c r="AG1313" s="20"/>
      <c r="AH1313" s="20"/>
      <c r="AI1313" s="20"/>
      <c r="AJ1313" s="20"/>
      <c r="AK1313" s="20"/>
      <c r="AL1313" s="20"/>
      <c r="AM1313" s="20"/>
      <c r="AN1313" s="20"/>
      <c r="AO1313" s="20"/>
      <c r="AP1313" s="20"/>
      <c r="AQ1313" s="20"/>
      <c r="AR1313" s="20"/>
      <c r="AS1313" s="20"/>
    </row>
    <row r="1314">
      <c r="A1314" s="20"/>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c r="AE1314" s="20"/>
      <c r="AF1314" s="20"/>
      <c r="AG1314" s="20"/>
      <c r="AH1314" s="20"/>
      <c r="AI1314" s="20"/>
      <c r="AJ1314" s="20"/>
      <c r="AK1314" s="20"/>
      <c r="AL1314" s="20"/>
      <c r="AM1314" s="20"/>
      <c r="AN1314" s="20"/>
      <c r="AO1314" s="20"/>
      <c r="AP1314" s="20"/>
      <c r="AQ1314" s="20"/>
      <c r="AR1314" s="20"/>
      <c r="AS1314" s="20"/>
    </row>
    <row r="1315">
      <c r="A1315" s="20"/>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c r="AE1315" s="20"/>
      <c r="AF1315" s="20"/>
      <c r="AG1315" s="20"/>
      <c r="AH1315" s="20"/>
      <c r="AI1315" s="20"/>
      <c r="AJ1315" s="20"/>
      <c r="AK1315" s="20"/>
      <c r="AL1315" s="20"/>
      <c r="AM1315" s="20"/>
      <c r="AN1315" s="20"/>
      <c r="AO1315" s="20"/>
      <c r="AP1315" s="20"/>
      <c r="AQ1315" s="20"/>
      <c r="AR1315" s="20"/>
      <c r="AS1315" s="20"/>
    </row>
    <row r="1316">
      <c r="A1316" s="20"/>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c r="AE1316" s="20"/>
      <c r="AF1316" s="20"/>
      <c r="AG1316" s="20"/>
      <c r="AH1316" s="20"/>
      <c r="AI1316" s="20"/>
      <c r="AJ1316" s="20"/>
      <c r="AK1316" s="20"/>
      <c r="AL1316" s="20"/>
      <c r="AM1316" s="20"/>
      <c r="AN1316" s="20"/>
      <c r="AO1316" s="20"/>
      <c r="AP1316" s="20"/>
      <c r="AQ1316" s="20"/>
      <c r="AR1316" s="20"/>
      <c r="AS1316" s="20"/>
    </row>
    <row r="1317">
      <c r="A1317" s="20"/>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c r="AE1317" s="20"/>
      <c r="AF1317" s="20"/>
      <c r="AG1317" s="20"/>
      <c r="AH1317" s="20"/>
      <c r="AI1317" s="20"/>
      <c r="AJ1317" s="20"/>
      <c r="AK1317" s="20"/>
      <c r="AL1317" s="20"/>
      <c r="AM1317" s="20"/>
      <c r="AN1317" s="20"/>
      <c r="AO1317" s="20"/>
      <c r="AP1317" s="20"/>
      <c r="AQ1317" s="20"/>
      <c r="AR1317" s="20"/>
      <c r="AS1317" s="20"/>
    </row>
    <row r="1318">
      <c r="A1318" s="20"/>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c r="AE1318" s="20"/>
      <c r="AF1318" s="20"/>
      <c r="AG1318" s="20"/>
      <c r="AH1318" s="20"/>
      <c r="AI1318" s="20"/>
      <c r="AJ1318" s="20"/>
      <c r="AK1318" s="20"/>
      <c r="AL1318" s="20"/>
      <c r="AM1318" s="20"/>
      <c r="AN1318" s="20"/>
      <c r="AO1318" s="20"/>
      <c r="AP1318" s="20"/>
      <c r="AQ1318" s="20"/>
      <c r="AR1318" s="20"/>
      <c r="AS1318" s="20"/>
    </row>
    <row r="1319">
      <c r="A1319" s="20"/>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c r="AE1319" s="20"/>
      <c r="AF1319" s="20"/>
      <c r="AG1319" s="20"/>
      <c r="AH1319" s="20"/>
      <c r="AI1319" s="20"/>
      <c r="AJ1319" s="20"/>
      <c r="AK1319" s="20"/>
      <c r="AL1319" s="20"/>
      <c r="AM1319" s="20"/>
      <c r="AN1319" s="20"/>
      <c r="AO1319" s="20"/>
      <c r="AP1319" s="20"/>
      <c r="AQ1319" s="20"/>
      <c r="AR1319" s="20"/>
      <c r="AS1319" s="20"/>
    </row>
    <row r="1320">
      <c r="A1320" s="20"/>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c r="AE1320" s="20"/>
      <c r="AF1320" s="20"/>
      <c r="AG1320" s="20"/>
      <c r="AH1320" s="20"/>
      <c r="AI1320" s="20"/>
      <c r="AJ1320" s="20"/>
      <c r="AK1320" s="20"/>
      <c r="AL1320" s="20"/>
      <c r="AM1320" s="20"/>
      <c r="AN1320" s="20"/>
      <c r="AO1320" s="20"/>
      <c r="AP1320" s="20"/>
      <c r="AQ1320" s="20"/>
      <c r="AR1320" s="20"/>
      <c r="AS1320" s="20"/>
    </row>
    <row r="1321">
      <c r="A1321" s="20"/>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c r="AE1321" s="20"/>
      <c r="AF1321" s="20"/>
      <c r="AG1321" s="20"/>
      <c r="AH1321" s="20"/>
      <c r="AI1321" s="20"/>
      <c r="AJ1321" s="20"/>
      <c r="AK1321" s="20"/>
      <c r="AL1321" s="20"/>
      <c r="AM1321" s="20"/>
      <c r="AN1321" s="20"/>
      <c r="AO1321" s="20"/>
      <c r="AP1321" s="20"/>
      <c r="AQ1321" s="20"/>
      <c r="AR1321" s="20"/>
      <c r="AS1321" s="20"/>
    </row>
    <row r="1322">
      <c r="A1322" s="20"/>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c r="AE1322" s="20"/>
      <c r="AF1322" s="20"/>
      <c r="AG1322" s="20"/>
      <c r="AH1322" s="20"/>
      <c r="AI1322" s="20"/>
      <c r="AJ1322" s="20"/>
      <c r="AK1322" s="20"/>
      <c r="AL1322" s="20"/>
      <c r="AM1322" s="20"/>
      <c r="AN1322" s="20"/>
      <c r="AO1322" s="20"/>
      <c r="AP1322" s="20"/>
      <c r="AQ1322" s="20"/>
      <c r="AR1322" s="20"/>
      <c r="AS1322" s="20"/>
    </row>
    <row r="1323">
      <c r="A1323" s="20"/>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c r="AE1323" s="20"/>
      <c r="AF1323" s="20"/>
      <c r="AG1323" s="20"/>
      <c r="AH1323" s="20"/>
      <c r="AI1323" s="20"/>
      <c r="AJ1323" s="20"/>
      <c r="AK1323" s="20"/>
      <c r="AL1323" s="20"/>
      <c r="AM1323" s="20"/>
      <c r="AN1323" s="20"/>
      <c r="AO1323" s="20"/>
      <c r="AP1323" s="20"/>
      <c r="AQ1323" s="20"/>
      <c r="AR1323" s="20"/>
      <c r="AS1323" s="20"/>
    </row>
    <row r="1324">
      <c r="A1324" s="20"/>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c r="AE1324" s="20"/>
      <c r="AF1324" s="20"/>
      <c r="AG1324" s="20"/>
      <c r="AH1324" s="20"/>
      <c r="AI1324" s="20"/>
      <c r="AJ1324" s="20"/>
      <c r="AK1324" s="20"/>
      <c r="AL1324" s="20"/>
      <c r="AM1324" s="20"/>
      <c r="AN1324" s="20"/>
      <c r="AO1324" s="20"/>
      <c r="AP1324" s="20"/>
      <c r="AQ1324" s="20"/>
      <c r="AR1324" s="20"/>
      <c r="AS1324" s="20"/>
    </row>
    <row r="1325">
      <c r="A1325" s="20"/>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c r="AE1325" s="20"/>
      <c r="AF1325" s="20"/>
      <c r="AG1325" s="20"/>
      <c r="AH1325" s="20"/>
      <c r="AI1325" s="20"/>
      <c r="AJ1325" s="20"/>
      <c r="AK1325" s="20"/>
      <c r="AL1325" s="20"/>
      <c r="AM1325" s="20"/>
      <c r="AN1325" s="20"/>
      <c r="AO1325" s="20"/>
      <c r="AP1325" s="20"/>
      <c r="AQ1325" s="20"/>
      <c r="AR1325" s="20"/>
      <c r="AS1325" s="20"/>
    </row>
    <row r="1326">
      <c r="A1326" s="20"/>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c r="AE1326" s="20"/>
      <c r="AF1326" s="20"/>
      <c r="AG1326" s="20"/>
      <c r="AH1326" s="20"/>
      <c r="AI1326" s="20"/>
      <c r="AJ1326" s="20"/>
      <c r="AK1326" s="20"/>
      <c r="AL1326" s="20"/>
      <c r="AM1326" s="20"/>
      <c r="AN1326" s="20"/>
      <c r="AO1326" s="20"/>
      <c r="AP1326" s="20"/>
      <c r="AQ1326" s="20"/>
      <c r="AR1326" s="20"/>
      <c r="AS1326" s="20"/>
    </row>
    <row r="1327">
      <c r="A1327" s="20"/>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c r="AE1327" s="20"/>
      <c r="AF1327" s="20"/>
      <c r="AG1327" s="20"/>
      <c r="AH1327" s="20"/>
      <c r="AI1327" s="20"/>
      <c r="AJ1327" s="20"/>
      <c r="AK1327" s="20"/>
      <c r="AL1327" s="20"/>
      <c r="AM1327" s="20"/>
      <c r="AN1327" s="20"/>
      <c r="AO1327" s="20"/>
      <c r="AP1327" s="20"/>
      <c r="AQ1327" s="20"/>
      <c r="AR1327" s="20"/>
      <c r="AS1327" s="20"/>
    </row>
    <row r="1328">
      <c r="A1328" s="20"/>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c r="AE1328" s="20"/>
      <c r="AF1328" s="20"/>
      <c r="AG1328" s="20"/>
      <c r="AH1328" s="20"/>
      <c r="AI1328" s="20"/>
      <c r="AJ1328" s="20"/>
      <c r="AK1328" s="20"/>
      <c r="AL1328" s="20"/>
      <c r="AM1328" s="20"/>
      <c r="AN1328" s="20"/>
      <c r="AO1328" s="20"/>
      <c r="AP1328" s="20"/>
      <c r="AQ1328" s="20"/>
      <c r="AR1328" s="20"/>
      <c r="AS1328" s="20"/>
    </row>
    <row r="1329">
      <c r="A1329" s="20"/>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c r="AE1329" s="20"/>
      <c r="AF1329" s="20"/>
      <c r="AG1329" s="20"/>
      <c r="AH1329" s="20"/>
      <c r="AI1329" s="20"/>
      <c r="AJ1329" s="20"/>
      <c r="AK1329" s="20"/>
      <c r="AL1329" s="20"/>
      <c r="AM1329" s="20"/>
      <c r="AN1329" s="20"/>
      <c r="AO1329" s="20"/>
      <c r="AP1329" s="20"/>
      <c r="AQ1329" s="20"/>
      <c r="AR1329" s="20"/>
      <c r="AS1329" s="20"/>
    </row>
    <row r="1330">
      <c r="A1330" s="20"/>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c r="AE1330" s="20"/>
      <c r="AF1330" s="20"/>
      <c r="AG1330" s="20"/>
      <c r="AH1330" s="20"/>
      <c r="AI1330" s="20"/>
      <c r="AJ1330" s="20"/>
      <c r="AK1330" s="20"/>
      <c r="AL1330" s="20"/>
      <c r="AM1330" s="20"/>
      <c r="AN1330" s="20"/>
      <c r="AO1330" s="20"/>
      <c r="AP1330" s="20"/>
      <c r="AQ1330" s="20"/>
      <c r="AR1330" s="20"/>
      <c r="AS1330" s="20"/>
    </row>
    <row r="1331">
      <c r="A1331" s="20"/>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c r="AE1331" s="20"/>
      <c r="AF1331" s="20"/>
      <c r="AG1331" s="20"/>
      <c r="AH1331" s="20"/>
      <c r="AI1331" s="20"/>
      <c r="AJ1331" s="20"/>
      <c r="AK1331" s="20"/>
      <c r="AL1331" s="20"/>
      <c r="AM1331" s="20"/>
      <c r="AN1331" s="20"/>
      <c r="AO1331" s="20"/>
      <c r="AP1331" s="20"/>
      <c r="AQ1331" s="20"/>
      <c r="AR1331" s="20"/>
      <c r="AS1331" s="20"/>
    </row>
    <row r="1332">
      <c r="A1332" s="20"/>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c r="AE1332" s="20"/>
      <c r="AF1332" s="20"/>
      <c r="AG1332" s="20"/>
      <c r="AH1332" s="20"/>
      <c r="AI1332" s="20"/>
      <c r="AJ1332" s="20"/>
      <c r="AK1332" s="20"/>
      <c r="AL1332" s="20"/>
      <c r="AM1332" s="20"/>
      <c r="AN1332" s="20"/>
      <c r="AO1332" s="20"/>
      <c r="AP1332" s="20"/>
      <c r="AQ1332" s="20"/>
      <c r="AR1332" s="20"/>
      <c r="AS1332" s="20"/>
    </row>
    <row r="1333">
      <c r="A1333" s="20"/>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c r="AE1333" s="20"/>
      <c r="AF1333" s="20"/>
      <c r="AG1333" s="20"/>
      <c r="AH1333" s="20"/>
      <c r="AI1333" s="20"/>
      <c r="AJ1333" s="20"/>
      <c r="AK1333" s="20"/>
      <c r="AL1333" s="20"/>
      <c r="AM1333" s="20"/>
      <c r="AN1333" s="20"/>
      <c r="AO1333" s="20"/>
      <c r="AP1333" s="20"/>
      <c r="AQ1333" s="20"/>
      <c r="AR1333" s="20"/>
      <c r="AS1333" s="20"/>
    </row>
    <row r="1334">
      <c r="A1334" s="20"/>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c r="AE1334" s="20"/>
      <c r="AF1334" s="20"/>
      <c r="AG1334" s="20"/>
      <c r="AH1334" s="20"/>
      <c r="AI1334" s="20"/>
      <c r="AJ1334" s="20"/>
      <c r="AK1334" s="20"/>
      <c r="AL1334" s="20"/>
      <c r="AM1334" s="20"/>
      <c r="AN1334" s="20"/>
      <c r="AO1334" s="20"/>
      <c r="AP1334" s="20"/>
      <c r="AQ1334" s="20"/>
      <c r="AR1334" s="20"/>
      <c r="AS1334" s="20"/>
    </row>
    <row r="1335">
      <c r="A1335" s="20"/>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c r="AE1335" s="20"/>
      <c r="AF1335" s="20"/>
      <c r="AG1335" s="20"/>
      <c r="AH1335" s="20"/>
      <c r="AI1335" s="20"/>
      <c r="AJ1335" s="20"/>
      <c r="AK1335" s="20"/>
      <c r="AL1335" s="20"/>
      <c r="AM1335" s="20"/>
      <c r="AN1335" s="20"/>
      <c r="AO1335" s="20"/>
      <c r="AP1335" s="20"/>
      <c r="AQ1335" s="20"/>
      <c r="AR1335" s="20"/>
      <c r="AS1335" s="20"/>
    </row>
    <row r="1336">
      <c r="A1336" s="20"/>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c r="AE1336" s="20"/>
      <c r="AF1336" s="20"/>
      <c r="AG1336" s="20"/>
      <c r="AH1336" s="20"/>
      <c r="AI1336" s="20"/>
      <c r="AJ1336" s="20"/>
      <c r="AK1336" s="20"/>
      <c r="AL1336" s="20"/>
      <c r="AM1336" s="20"/>
      <c r="AN1336" s="20"/>
      <c r="AO1336" s="20"/>
      <c r="AP1336" s="20"/>
      <c r="AQ1336" s="20"/>
      <c r="AR1336" s="20"/>
      <c r="AS1336" s="20"/>
    </row>
    <row r="1337">
      <c r="A1337" s="20"/>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c r="AE1337" s="20"/>
      <c r="AF1337" s="20"/>
      <c r="AG1337" s="20"/>
      <c r="AH1337" s="20"/>
      <c r="AI1337" s="20"/>
      <c r="AJ1337" s="20"/>
      <c r="AK1337" s="20"/>
      <c r="AL1337" s="20"/>
      <c r="AM1337" s="20"/>
      <c r="AN1337" s="20"/>
      <c r="AO1337" s="20"/>
      <c r="AP1337" s="20"/>
      <c r="AQ1337" s="20"/>
      <c r="AR1337" s="20"/>
      <c r="AS1337" s="20"/>
    </row>
    <row r="1338">
      <c r="A1338" s="20"/>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c r="AE1338" s="20"/>
      <c r="AF1338" s="20"/>
      <c r="AG1338" s="20"/>
      <c r="AH1338" s="20"/>
      <c r="AI1338" s="20"/>
      <c r="AJ1338" s="20"/>
      <c r="AK1338" s="20"/>
      <c r="AL1338" s="20"/>
      <c r="AM1338" s="20"/>
      <c r="AN1338" s="20"/>
      <c r="AO1338" s="20"/>
      <c r="AP1338" s="20"/>
      <c r="AQ1338" s="20"/>
      <c r="AR1338" s="20"/>
      <c r="AS1338" s="20"/>
    </row>
    <row r="1339">
      <c r="A1339" s="20"/>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c r="AE1339" s="20"/>
      <c r="AF1339" s="20"/>
      <c r="AG1339" s="20"/>
      <c r="AH1339" s="20"/>
      <c r="AI1339" s="20"/>
      <c r="AJ1339" s="20"/>
      <c r="AK1339" s="20"/>
      <c r="AL1339" s="20"/>
      <c r="AM1339" s="20"/>
      <c r="AN1339" s="20"/>
      <c r="AO1339" s="20"/>
      <c r="AP1339" s="20"/>
      <c r="AQ1339" s="20"/>
      <c r="AR1339" s="20"/>
      <c r="AS1339" s="20"/>
    </row>
    <row r="1340">
      <c r="A1340" s="20"/>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c r="AE1340" s="20"/>
      <c r="AF1340" s="20"/>
      <c r="AG1340" s="20"/>
      <c r="AH1340" s="20"/>
      <c r="AI1340" s="20"/>
      <c r="AJ1340" s="20"/>
      <c r="AK1340" s="20"/>
      <c r="AL1340" s="20"/>
      <c r="AM1340" s="20"/>
      <c r="AN1340" s="20"/>
      <c r="AO1340" s="20"/>
      <c r="AP1340" s="20"/>
      <c r="AQ1340" s="20"/>
      <c r="AR1340" s="20"/>
      <c r="AS1340" s="20"/>
    </row>
    <row r="1341">
      <c r="A1341" s="20"/>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c r="AE1341" s="20"/>
      <c r="AF1341" s="20"/>
      <c r="AG1341" s="20"/>
      <c r="AH1341" s="20"/>
      <c r="AI1341" s="20"/>
      <c r="AJ1341" s="20"/>
      <c r="AK1341" s="20"/>
      <c r="AL1341" s="20"/>
      <c r="AM1341" s="20"/>
      <c r="AN1341" s="20"/>
      <c r="AO1341" s="20"/>
      <c r="AP1341" s="20"/>
      <c r="AQ1341" s="20"/>
      <c r="AR1341" s="20"/>
      <c r="AS1341" s="20"/>
    </row>
    <row r="1342">
      <c r="A1342" s="20"/>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c r="AE1342" s="20"/>
      <c r="AF1342" s="20"/>
      <c r="AG1342" s="20"/>
      <c r="AH1342" s="20"/>
      <c r="AI1342" s="20"/>
      <c r="AJ1342" s="20"/>
      <c r="AK1342" s="20"/>
      <c r="AL1342" s="20"/>
      <c r="AM1342" s="20"/>
      <c r="AN1342" s="20"/>
      <c r="AO1342" s="20"/>
      <c r="AP1342" s="20"/>
      <c r="AQ1342" s="20"/>
      <c r="AR1342" s="20"/>
      <c r="AS1342" s="20"/>
    </row>
    <row r="1343">
      <c r="A1343" s="20"/>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c r="AE1343" s="20"/>
      <c r="AF1343" s="20"/>
      <c r="AG1343" s="20"/>
      <c r="AH1343" s="20"/>
      <c r="AI1343" s="20"/>
      <c r="AJ1343" s="20"/>
      <c r="AK1343" s="20"/>
      <c r="AL1343" s="20"/>
      <c r="AM1343" s="20"/>
      <c r="AN1343" s="20"/>
      <c r="AO1343" s="20"/>
      <c r="AP1343" s="20"/>
      <c r="AQ1343" s="20"/>
      <c r="AR1343" s="20"/>
      <c r="AS1343" s="20"/>
    </row>
    <row r="1344">
      <c r="A1344" s="20"/>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c r="AE1344" s="20"/>
      <c r="AF1344" s="20"/>
      <c r="AG1344" s="20"/>
      <c r="AH1344" s="20"/>
      <c r="AI1344" s="20"/>
      <c r="AJ1344" s="20"/>
      <c r="AK1344" s="20"/>
      <c r="AL1344" s="20"/>
      <c r="AM1344" s="20"/>
      <c r="AN1344" s="20"/>
      <c r="AO1344" s="20"/>
      <c r="AP1344" s="20"/>
      <c r="AQ1344" s="20"/>
      <c r="AR1344" s="20"/>
      <c r="AS1344" s="20"/>
    </row>
    <row r="1345">
      <c r="A1345" s="20"/>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c r="AE1345" s="20"/>
      <c r="AF1345" s="20"/>
      <c r="AG1345" s="20"/>
      <c r="AH1345" s="20"/>
      <c r="AI1345" s="20"/>
      <c r="AJ1345" s="20"/>
      <c r="AK1345" s="20"/>
      <c r="AL1345" s="20"/>
      <c r="AM1345" s="20"/>
      <c r="AN1345" s="20"/>
      <c r="AO1345" s="20"/>
      <c r="AP1345" s="20"/>
      <c r="AQ1345" s="20"/>
      <c r="AR1345" s="20"/>
      <c r="AS1345" s="20"/>
    </row>
    <row r="1346">
      <c r="A1346" s="20"/>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c r="AE1346" s="20"/>
      <c r="AF1346" s="20"/>
      <c r="AG1346" s="20"/>
      <c r="AH1346" s="20"/>
      <c r="AI1346" s="20"/>
      <c r="AJ1346" s="20"/>
      <c r="AK1346" s="20"/>
      <c r="AL1346" s="20"/>
      <c r="AM1346" s="20"/>
      <c r="AN1346" s="20"/>
      <c r="AO1346" s="20"/>
      <c r="AP1346" s="20"/>
      <c r="AQ1346" s="20"/>
      <c r="AR1346" s="20"/>
      <c r="AS1346" s="20"/>
    </row>
    <row r="1347">
      <c r="A1347" s="20"/>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c r="AE1347" s="20"/>
      <c r="AF1347" s="20"/>
      <c r="AG1347" s="20"/>
      <c r="AH1347" s="20"/>
      <c r="AI1347" s="20"/>
      <c r="AJ1347" s="20"/>
      <c r="AK1347" s="20"/>
      <c r="AL1347" s="20"/>
      <c r="AM1347" s="20"/>
      <c r="AN1347" s="20"/>
      <c r="AO1347" s="20"/>
      <c r="AP1347" s="20"/>
      <c r="AQ1347" s="20"/>
      <c r="AR1347" s="20"/>
      <c r="AS1347" s="20"/>
    </row>
    <row r="1348">
      <c r="A1348" s="20"/>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c r="AE1348" s="20"/>
      <c r="AF1348" s="20"/>
      <c r="AG1348" s="20"/>
      <c r="AH1348" s="20"/>
      <c r="AI1348" s="20"/>
      <c r="AJ1348" s="20"/>
      <c r="AK1348" s="20"/>
      <c r="AL1348" s="20"/>
      <c r="AM1348" s="20"/>
      <c r="AN1348" s="20"/>
      <c r="AO1348" s="20"/>
      <c r="AP1348" s="20"/>
      <c r="AQ1348" s="20"/>
      <c r="AR1348" s="20"/>
      <c r="AS1348" s="20"/>
    </row>
    <row r="1349">
      <c r="A1349" s="20"/>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c r="AE1349" s="20"/>
      <c r="AF1349" s="20"/>
      <c r="AG1349" s="20"/>
      <c r="AH1349" s="20"/>
      <c r="AI1349" s="20"/>
      <c r="AJ1349" s="20"/>
      <c r="AK1349" s="20"/>
      <c r="AL1349" s="20"/>
      <c r="AM1349" s="20"/>
      <c r="AN1349" s="20"/>
      <c r="AO1349" s="20"/>
      <c r="AP1349" s="20"/>
      <c r="AQ1349" s="20"/>
      <c r="AR1349" s="20"/>
      <c r="AS1349" s="20"/>
    </row>
    <row r="1350">
      <c r="A1350" s="20"/>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c r="AE1350" s="20"/>
      <c r="AF1350" s="20"/>
      <c r="AG1350" s="20"/>
      <c r="AH1350" s="20"/>
      <c r="AI1350" s="20"/>
      <c r="AJ1350" s="20"/>
      <c r="AK1350" s="20"/>
      <c r="AL1350" s="20"/>
      <c r="AM1350" s="20"/>
      <c r="AN1350" s="20"/>
      <c r="AO1350" s="20"/>
      <c r="AP1350" s="20"/>
      <c r="AQ1350" s="20"/>
      <c r="AR1350" s="20"/>
      <c r="AS1350" s="20"/>
    </row>
    <row r="1351">
      <c r="A1351" s="20"/>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c r="AE1351" s="20"/>
      <c r="AF1351" s="20"/>
      <c r="AG1351" s="20"/>
      <c r="AH1351" s="20"/>
      <c r="AI1351" s="20"/>
      <c r="AJ1351" s="20"/>
      <c r="AK1351" s="20"/>
      <c r="AL1351" s="20"/>
      <c r="AM1351" s="20"/>
      <c r="AN1351" s="20"/>
      <c r="AO1351" s="20"/>
      <c r="AP1351" s="20"/>
      <c r="AQ1351" s="20"/>
      <c r="AR1351" s="20"/>
      <c r="AS1351" s="20"/>
    </row>
    <row r="1352">
      <c r="A1352" s="20"/>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c r="AE1352" s="20"/>
      <c r="AF1352" s="20"/>
      <c r="AG1352" s="20"/>
      <c r="AH1352" s="20"/>
      <c r="AI1352" s="20"/>
      <c r="AJ1352" s="20"/>
      <c r="AK1352" s="20"/>
      <c r="AL1352" s="20"/>
      <c r="AM1352" s="20"/>
      <c r="AN1352" s="20"/>
      <c r="AO1352" s="20"/>
      <c r="AP1352" s="20"/>
      <c r="AQ1352" s="20"/>
      <c r="AR1352" s="20"/>
      <c r="AS1352" s="20"/>
    </row>
    <row r="1353">
      <c r="A1353" s="20"/>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c r="AE1353" s="20"/>
      <c r="AF1353" s="20"/>
      <c r="AG1353" s="20"/>
      <c r="AH1353" s="20"/>
      <c r="AI1353" s="20"/>
      <c r="AJ1353" s="20"/>
      <c r="AK1353" s="20"/>
      <c r="AL1353" s="20"/>
      <c r="AM1353" s="20"/>
      <c r="AN1353" s="20"/>
      <c r="AO1353" s="20"/>
      <c r="AP1353" s="20"/>
      <c r="AQ1353" s="20"/>
      <c r="AR1353" s="20"/>
      <c r="AS1353" s="20"/>
    </row>
    <row r="1354">
      <c r="A1354" s="20"/>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c r="AE1354" s="20"/>
      <c r="AF1354" s="20"/>
      <c r="AG1354" s="20"/>
      <c r="AH1354" s="20"/>
      <c r="AI1354" s="20"/>
      <c r="AJ1354" s="20"/>
      <c r="AK1354" s="20"/>
      <c r="AL1354" s="20"/>
      <c r="AM1354" s="20"/>
      <c r="AN1354" s="20"/>
      <c r="AO1354" s="20"/>
      <c r="AP1354" s="20"/>
      <c r="AQ1354" s="20"/>
      <c r="AR1354" s="20"/>
      <c r="AS1354" s="20"/>
    </row>
    <row r="1355">
      <c r="A1355" s="20"/>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c r="AE1355" s="20"/>
      <c r="AF1355" s="20"/>
      <c r="AG1355" s="20"/>
      <c r="AH1355" s="20"/>
      <c r="AI1355" s="20"/>
      <c r="AJ1355" s="20"/>
      <c r="AK1355" s="20"/>
      <c r="AL1355" s="20"/>
      <c r="AM1355" s="20"/>
      <c r="AN1355" s="20"/>
      <c r="AO1355" s="20"/>
      <c r="AP1355" s="20"/>
      <c r="AQ1355" s="20"/>
      <c r="AR1355" s="20"/>
      <c r="AS1355" s="20"/>
    </row>
    <row r="1356">
      <c r="A1356" s="20"/>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c r="AE1356" s="20"/>
      <c r="AF1356" s="20"/>
      <c r="AG1356" s="20"/>
      <c r="AH1356" s="20"/>
      <c r="AI1356" s="20"/>
      <c r="AJ1356" s="20"/>
      <c r="AK1356" s="20"/>
      <c r="AL1356" s="20"/>
      <c r="AM1356" s="20"/>
      <c r="AN1356" s="20"/>
      <c r="AO1356" s="20"/>
      <c r="AP1356" s="20"/>
      <c r="AQ1356" s="20"/>
      <c r="AR1356" s="20"/>
      <c r="AS1356" s="20"/>
    </row>
    <row r="1357">
      <c r="A1357" s="20"/>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c r="AE1357" s="20"/>
      <c r="AF1357" s="20"/>
      <c r="AG1357" s="20"/>
      <c r="AH1357" s="20"/>
      <c r="AI1357" s="20"/>
      <c r="AJ1357" s="20"/>
      <c r="AK1357" s="20"/>
      <c r="AL1357" s="20"/>
      <c r="AM1357" s="20"/>
      <c r="AN1357" s="20"/>
      <c r="AO1357" s="20"/>
      <c r="AP1357" s="20"/>
      <c r="AQ1357" s="20"/>
      <c r="AR1357" s="20"/>
      <c r="AS1357" s="20"/>
    </row>
    <row r="1358">
      <c r="A1358" s="20"/>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c r="AE1358" s="20"/>
      <c r="AF1358" s="20"/>
      <c r="AG1358" s="20"/>
      <c r="AH1358" s="20"/>
      <c r="AI1358" s="20"/>
      <c r="AJ1358" s="20"/>
      <c r="AK1358" s="20"/>
      <c r="AL1358" s="20"/>
      <c r="AM1358" s="20"/>
      <c r="AN1358" s="20"/>
      <c r="AO1358" s="20"/>
      <c r="AP1358" s="20"/>
      <c r="AQ1358" s="20"/>
      <c r="AR1358" s="20"/>
      <c r="AS1358" s="20"/>
    </row>
    <row r="1359">
      <c r="A1359" s="20"/>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c r="AE1359" s="20"/>
      <c r="AF1359" s="20"/>
      <c r="AG1359" s="20"/>
      <c r="AH1359" s="20"/>
      <c r="AI1359" s="20"/>
      <c r="AJ1359" s="20"/>
      <c r="AK1359" s="20"/>
      <c r="AL1359" s="20"/>
      <c r="AM1359" s="20"/>
      <c r="AN1359" s="20"/>
      <c r="AO1359" s="20"/>
      <c r="AP1359" s="20"/>
      <c r="AQ1359" s="20"/>
      <c r="AR1359" s="20"/>
      <c r="AS1359" s="20"/>
    </row>
    <row r="1360">
      <c r="A1360" s="20"/>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c r="AE1360" s="20"/>
      <c r="AF1360" s="20"/>
      <c r="AG1360" s="20"/>
      <c r="AH1360" s="20"/>
      <c r="AI1360" s="20"/>
      <c r="AJ1360" s="20"/>
      <c r="AK1360" s="20"/>
      <c r="AL1360" s="20"/>
      <c r="AM1360" s="20"/>
      <c r="AN1360" s="20"/>
      <c r="AO1360" s="20"/>
      <c r="AP1360" s="20"/>
      <c r="AQ1360" s="20"/>
      <c r="AR1360" s="20"/>
      <c r="AS1360" s="20"/>
    </row>
    <row r="1361">
      <c r="A1361" s="20"/>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c r="AE1361" s="20"/>
      <c r="AF1361" s="20"/>
      <c r="AG1361" s="20"/>
      <c r="AH1361" s="20"/>
      <c r="AI1361" s="20"/>
      <c r="AJ1361" s="20"/>
      <c r="AK1361" s="20"/>
      <c r="AL1361" s="20"/>
      <c r="AM1361" s="20"/>
      <c r="AN1361" s="20"/>
      <c r="AO1361" s="20"/>
      <c r="AP1361" s="20"/>
      <c r="AQ1361" s="20"/>
      <c r="AR1361" s="20"/>
      <c r="AS1361" s="20"/>
    </row>
    <row r="1362">
      <c r="A1362" s="20"/>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c r="AE1362" s="20"/>
      <c r="AF1362" s="20"/>
      <c r="AG1362" s="20"/>
      <c r="AH1362" s="20"/>
      <c r="AI1362" s="20"/>
      <c r="AJ1362" s="20"/>
      <c r="AK1362" s="20"/>
      <c r="AL1362" s="20"/>
      <c r="AM1362" s="20"/>
      <c r="AN1362" s="20"/>
      <c r="AO1362" s="20"/>
      <c r="AP1362" s="20"/>
      <c r="AQ1362" s="20"/>
      <c r="AR1362" s="20"/>
      <c r="AS1362" s="20"/>
    </row>
    <row r="1363">
      <c r="A1363" s="20"/>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c r="AE1363" s="20"/>
      <c r="AF1363" s="20"/>
      <c r="AG1363" s="20"/>
      <c r="AH1363" s="20"/>
      <c r="AI1363" s="20"/>
      <c r="AJ1363" s="20"/>
      <c r="AK1363" s="20"/>
      <c r="AL1363" s="20"/>
      <c r="AM1363" s="20"/>
      <c r="AN1363" s="20"/>
      <c r="AO1363" s="20"/>
      <c r="AP1363" s="20"/>
      <c r="AQ1363" s="20"/>
      <c r="AR1363" s="20"/>
      <c r="AS1363" s="20"/>
    </row>
    <row r="1364">
      <c r="A1364" s="20"/>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c r="AE1364" s="20"/>
      <c r="AF1364" s="20"/>
      <c r="AG1364" s="20"/>
      <c r="AH1364" s="20"/>
      <c r="AI1364" s="20"/>
      <c r="AJ1364" s="20"/>
      <c r="AK1364" s="20"/>
      <c r="AL1364" s="20"/>
      <c r="AM1364" s="20"/>
      <c r="AN1364" s="20"/>
      <c r="AO1364" s="20"/>
      <c r="AP1364" s="20"/>
      <c r="AQ1364" s="20"/>
      <c r="AR1364" s="20"/>
      <c r="AS1364" s="20"/>
    </row>
    <row r="1365">
      <c r="A1365" s="20"/>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c r="AE1365" s="20"/>
      <c r="AF1365" s="20"/>
      <c r="AG1365" s="20"/>
      <c r="AH1365" s="20"/>
      <c r="AI1365" s="20"/>
      <c r="AJ1365" s="20"/>
      <c r="AK1365" s="20"/>
      <c r="AL1365" s="20"/>
      <c r="AM1365" s="20"/>
      <c r="AN1365" s="20"/>
      <c r="AO1365" s="20"/>
      <c r="AP1365" s="20"/>
      <c r="AQ1365" s="20"/>
      <c r="AR1365" s="20"/>
      <c r="AS1365" s="20"/>
    </row>
    <row r="1366">
      <c r="A1366" s="20"/>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c r="AE1366" s="20"/>
      <c r="AF1366" s="20"/>
      <c r="AG1366" s="20"/>
      <c r="AH1366" s="20"/>
      <c r="AI1366" s="20"/>
      <c r="AJ1366" s="20"/>
      <c r="AK1366" s="20"/>
      <c r="AL1366" s="20"/>
      <c r="AM1366" s="20"/>
      <c r="AN1366" s="20"/>
      <c r="AO1366" s="20"/>
      <c r="AP1366" s="20"/>
      <c r="AQ1366" s="20"/>
      <c r="AR1366" s="20"/>
      <c r="AS1366" s="20"/>
    </row>
    <row r="1367">
      <c r="A1367" s="20"/>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c r="AE1367" s="20"/>
      <c r="AF1367" s="20"/>
      <c r="AG1367" s="20"/>
      <c r="AH1367" s="20"/>
      <c r="AI1367" s="20"/>
      <c r="AJ1367" s="20"/>
      <c r="AK1367" s="20"/>
      <c r="AL1367" s="20"/>
      <c r="AM1367" s="20"/>
      <c r="AN1367" s="20"/>
      <c r="AO1367" s="20"/>
      <c r="AP1367" s="20"/>
      <c r="AQ1367" s="20"/>
      <c r="AR1367" s="20"/>
      <c r="AS1367" s="20"/>
    </row>
    <row r="1368">
      <c r="A1368" s="20"/>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c r="AE1368" s="20"/>
      <c r="AF1368" s="20"/>
      <c r="AG1368" s="20"/>
      <c r="AH1368" s="20"/>
      <c r="AI1368" s="20"/>
      <c r="AJ1368" s="20"/>
      <c r="AK1368" s="20"/>
      <c r="AL1368" s="20"/>
      <c r="AM1368" s="20"/>
      <c r="AN1368" s="20"/>
      <c r="AO1368" s="20"/>
      <c r="AP1368" s="20"/>
      <c r="AQ1368" s="20"/>
      <c r="AR1368" s="20"/>
      <c r="AS1368" s="20"/>
    </row>
    <row r="1369">
      <c r="A1369" s="20"/>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c r="AE1369" s="20"/>
      <c r="AF1369" s="20"/>
      <c r="AG1369" s="20"/>
      <c r="AH1369" s="20"/>
      <c r="AI1369" s="20"/>
      <c r="AJ1369" s="20"/>
      <c r="AK1369" s="20"/>
      <c r="AL1369" s="20"/>
      <c r="AM1369" s="20"/>
      <c r="AN1369" s="20"/>
      <c r="AO1369" s="20"/>
      <c r="AP1369" s="20"/>
      <c r="AQ1369" s="20"/>
      <c r="AR1369" s="20"/>
      <c r="AS1369" s="20"/>
    </row>
    <row r="1370">
      <c r="A1370" s="20"/>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c r="AE1370" s="20"/>
      <c r="AF1370" s="20"/>
      <c r="AG1370" s="20"/>
      <c r="AH1370" s="20"/>
      <c r="AI1370" s="20"/>
      <c r="AJ1370" s="20"/>
      <c r="AK1370" s="20"/>
      <c r="AL1370" s="20"/>
      <c r="AM1370" s="20"/>
      <c r="AN1370" s="20"/>
      <c r="AO1370" s="20"/>
      <c r="AP1370" s="20"/>
      <c r="AQ1370" s="20"/>
      <c r="AR1370" s="20"/>
      <c r="AS1370" s="20"/>
    </row>
    <row r="1371">
      <c r="A1371" s="20"/>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c r="AE1371" s="20"/>
      <c r="AF1371" s="20"/>
      <c r="AG1371" s="20"/>
      <c r="AH1371" s="20"/>
      <c r="AI1371" s="20"/>
      <c r="AJ1371" s="20"/>
      <c r="AK1371" s="20"/>
      <c r="AL1371" s="20"/>
      <c r="AM1371" s="20"/>
      <c r="AN1371" s="20"/>
      <c r="AO1371" s="20"/>
      <c r="AP1371" s="20"/>
      <c r="AQ1371" s="20"/>
      <c r="AR1371" s="20"/>
      <c r="AS1371" s="20"/>
    </row>
    <row r="1372">
      <c r="A1372" s="20"/>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c r="AE1372" s="20"/>
      <c r="AF1372" s="20"/>
      <c r="AG1372" s="20"/>
      <c r="AH1372" s="20"/>
      <c r="AI1372" s="20"/>
      <c r="AJ1372" s="20"/>
      <c r="AK1372" s="20"/>
      <c r="AL1372" s="20"/>
      <c r="AM1372" s="20"/>
      <c r="AN1372" s="20"/>
      <c r="AO1372" s="20"/>
      <c r="AP1372" s="20"/>
      <c r="AQ1372" s="20"/>
      <c r="AR1372" s="20"/>
      <c r="AS1372" s="20"/>
    </row>
    <row r="1373">
      <c r="A1373" s="20"/>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c r="AE1373" s="20"/>
      <c r="AF1373" s="20"/>
      <c r="AG1373" s="20"/>
      <c r="AH1373" s="20"/>
      <c r="AI1373" s="20"/>
      <c r="AJ1373" s="20"/>
      <c r="AK1373" s="20"/>
      <c r="AL1373" s="20"/>
      <c r="AM1373" s="20"/>
      <c r="AN1373" s="20"/>
      <c r="AO1373" s="20"/>
      <c r="AP1373" s="20"/>
      <c r="AQ1373" s="20"/>
      <c r="AR1373" s="20"/>
      <c r="AS1373" s="20"/>
    </row>
    <row r="1374">
      <c r="A1374" s="20"/>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c r="AE1374" s="20"/>
      <c r="AF1374" s="20"/>
      <c r="AG1374" s="20"/>
      <c r="AH1374" s="20"/>
      <c r="AI1374" s="20"/>
      <c r="AJ1374" s="20"/>
      <c r="AK1374" s="20"/>
      <c r="AL1374" s="20"/>
      <c r="AM1374" s="20"/>
      <c r="AN1374" s="20"/>
      <c r="AO1374" s="20"/>
      <c r="AP1374" s="20"/>
      <c r="AQ1374" s="20"/>
      <c r="AR1374" s="20"/>
      <c r="AS1374" s="20"/>
    </row>
    <row r="1375">
      <c r="A1375" s="20"/>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c r="AE1375" s="20"/>
      <c r="AF1375" s="20"/>
      <c r="AG1375" s="20"/>
      <c r="AH1375" s="20"/>
      <c r="AI1375" s="20"/>
      <c r="AJ1375" s="20"/>
      <c r="AK1375" s="20"/>
      <c r="AL1375" s="20"/>
      <c r="AM1375" s="20"/>
      <c r="AN1375" s="20"/>
      <c r="AO1375" s="20"/>
      <c r="AP1375" s="20"/>
      <c r="AQ1375" s="20"/>
      <c r="AR1375" s="20"/>
      <c r="AS1375" s="20"/>
    </row>
    <row r="1376">
      <c r="A1376" s="20"/>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c r="AE1376" s="20"/>
      <c r="AF1376" s="20"/>
      <c r="AG1376" s="20"/>
      <c r="AH1376" s="20"/>
      <c r="AI1376" s="20"/>
      <c r="AJ1376" s="20"/>
      <c r="AK1376" s="20"/>
      <c r="AL1376" s="20"/>
      <c r="AM1376" s="20"/>
      <c r="AN1376" s="20"/>
      <c r="AO1376" s="20"/>
      <c r="AP1376" s="20"/>
      <c r="AQ1376" s="20"/>
      <c r="AR1376" s="20"/>
      <c r="AS1376" s="20"/>
    </row>
    <row r="1377">
      <c r="A1377" s="20"/>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c r="AE1377" s="20"/>
      <c r="AF1377" s="20"/>
      <c r="AG1377" s="20"/>
      <c r="AH1377" s="20"/>
      <c r="AI1377" s="20"/>
      <c r="AJ1377" s="20"/>
      <c r="AK1377" s="20"/>
      <c r="AL1377" s="20"/>
      <c r="AM1377" s="20"/>
      <c r="AN1377" s="20"/>
      <c r="AO1377" s="20"/>
      <c r="AP1377" s="20"/>
      <c r="AQ1377" s="20"/>
      <c r="AR1377" s="20"/>
      <c r="AS1377" s="20"/>
    </row>
    <row r="1378">
      <c r="A1378" s="20"/>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c r="AE1378" s="20"/>
      <c r="AF1378" s="20"/>
      <c r="AG1378" s="20"/>
      <c r="AH1378" s="20"/>
      <c r="AI1378" s="20"/>
      <c r="AJ1378" s="20"/>
      <c r="AK1378" s="20"/>
      <c r="AL1378" s="20"/>
      <c r="AM1378" s="20"/>
      <c r="AN1378" s="20"/>
      <c r="AO1378" s="20"/>
      <c r="AP1378" s="20"/>
      <c r="AQ1378" s="20"/>
      <c r="AR1378" s="20"/>
      <c r="AS1378" s="20"/>
    </row>
    <row r="1379">
      <c r="A1379" s="20"/>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c r="AE1379" s="20"/>
      <c r="AF1379" s="20"/>
      <c r="AG1379" s="20"/>
      <c r="AH1379" s="20"/>
      <c r="AI1379" s="20"/>
      <c r="AJ1379" s="20"/>
      <c r="AK1379" s="20"/>
      <c r="AL1379" s="20"/>
      <c r="AM1379" s="20"/>
      <c r="AN1379" s="20"/>
      <c r="AO1379" s="20"/>
      <c r="AP1379" s="20"/>
      <c r="AQ1379" s="20"/>
      <c r="AR1379" s="20"/>
      <c r="AS1379" s="20"/>
    </row>
    <row r="1380">
      <c r="A1380" s="20"/>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c r="AE1380" s="20"/>
      <c r="AF1380" s="20"/>
      <c r="AG1380" s="20"/>
      <c r="AH1380" s="20"/>
      <c r="AI1380" s="20"/>
      <c r="AJ1380" s="20"/>
      <c r="AK1380" s="20"/>
      <c r="AL1380" s="20"/>
      <c r="AM1380" s="20"/>
      <c r="AN1380" s="20"/>
      <c r="AO1380" s="20"/>
      <c r="AP1380" s="20"/>
      <c r="AQ1380" s="20"/>
      <c r="AR1380" s="20"/>
      <c r="AS1380" s="20"/>
    </row>
    <row r="1381">
      <c r="A1381" s="20"/>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c r="AE1381" s="20"/>
      <c r="AF1381" s="20"/>
      <c r="AG1381" s="20"/>
      <c r="AH1381" s="20"/>
      <c r="AI1381" s="20"/>
      <c r="AJ1381" s="20"/>
      <c r="AK1381" s="20"/>
      <c r="AL1381" s="20"/>
      <c r="AM1381" s="20"/>
      <c r="AN1381" s="20"/>
      <c r="AO1381" s="20"/>
      <c r="AP1381" s="20"/>
      <c r="AQ1381" s="20"/>
      <c r="AR1381" s="20"/>
      <c r="AS1381" s="20"/>
    </row>
    <row r="1382">
      <c r="A1382" s="20"/>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c r="AE1382" s="20"/>
      <c r="AF1382" s="20"/>
      <c r="AG1382" s="20"/>
      <c r="AH1382" s="20"/>
      <c r="AI1382" s="20"/>
      <c r="AJ1382" s="20"/>
      <c r="AK1382" s="20"/>
      <c r="AL1382" s="20"/>
      <c r="AM1382" s="20"/>
      <c r="AN1382" s="20"/>
      <c r="AO1382" s="20"/>
      <c r="AP1382" s="20"/>
      <c r="AQ1382" s="20"/>
      <c r="AR1382" s="20"/>
      <c r="AS1382" s="20"/>
    </row>
    <row r="1383">
      <c r="A1383" s="20"/>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c r="AE1383" s="20"/>
      <c r="AF1383" s="20"/>
      <c r="AG1383" s="20"/>
      <c r="AH1383" s="20"/>
      <c r="AI1383" s="20"/>
      <c r="AJ1383" s="20"/>
      <c r="AK1383" s="20"/>
      <c r="AL1383" s="20"/>
      <c r="AM1383" s="20"/>
      <c r="AN1383" s="20"/>
      <c r="AO1383" s="20"/>
      <c r="AP1383" s="20"/>
      <c r="AQ1383" s="20"/>
      <c r="AR1383" s="20"/>
      <c r="AS1383" s="20"/>
    </row>
    <row r="1384">
      <c r="A1384" s="20"/>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c r="AE1384" s="20"/>
      <c r="AF1384" s="20"/>
      <c r="AG1384" s="20"/>
      <c r="AH1384" s="20"/>
      <c r="AI1384" s="20"/>
      <c r="AJ1384" s="20"/>
      <c r="AK1384" s="20"/>
      <c r="AL1384" s="20"/>
      <c r="AM1384" s="20"/>
      <c r="AN1384" s="20"/>
      <c r="AO1384" s="20"/>
      <c r="AP1384" s="20"/>
      <c r="AQ1384" s="20"/>
      <c r="AR1384" s="20"/>
      <c r="AS1384" s="20"/>
    </row>
    <row r="1385">
      <c r="A1385" s="20"/>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c r="AE1385" s="20"/>
      <c r="AF1385" s="20"/>
      <c r="AG1385" s="20"/>
      <c r="AH1385" s="20"/>
      <c r="AI1385" s="20"/>
      <c r="AJ1385" s="20"/>
      <c r="AK1385" s="20"/>
      <c r="AL1385" s="20"/>
      <c r="AM1385" s="20"/>
      <c r="AN1385" s="20"/>
      <c r="AO1385" s="20"/>
      <c r="AP1385" s="20"/>
      <c r="AQ1385" s="20"/>
      <c r="AR1385" s="20"/>
      <c r="AS1385" s="20"/>
    </row>
    <row r="1386">
      <c r="A1386" s="20"/>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c r="AE1386" s="20"/>
      <c r="AF1386" s="20"/>
      <c r="AG1386" s="20"/>
      <c r="AH1386" s="20"/>
      <c r="AI1386" s="20"/>
      <c r="AJ1386" s="20"/>
      <c r="AK1386" s="20"/>
      <c r="AL1386" s="20"/>
      <c r="AM1386" s="20"/>
      <c r="AN1386" s="20"/>
      <c r="AO1386" s="20"/>
      <c r="AP1386" s="20"/>
      <c r="AQ1386" s="20"/>
      <c r="AR1386" s="20"/>
      <c r="AS1386" s="20"/>
    </row>
    <row r="1387">
      <c r="A1387" s="20"/>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c r="AE1387" s="20"/>
      <c r="AF1387" s="20"/>
      <c r="AG1387" s="20"/>
      <c r="AH1387" s="20"/>
      <c r="AI1387" s="20"/>
      <c r="AJ1387" s="20"/>
      <c r="AK1387" s="20"/>
      <c r="AL1387" s="20"/>
      <c r="AM1387" s="20"/>
      <c r="AN1387" s="20"/>
      <c r="AO1387" s="20"/>
      <c r="AP1387" s="20"/>
      <c r="AQ1387" s="20"/>
      <c r="AR1387" s="20"/>
      <c r="AS1387" s="20"/>
    </row>
    <row r="1388">
      <c r="A1388" s="20"/>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c r="AE1388" s="20"/>
      <c r="AF1388" s="20"/>
      <c r="AG1388" s="20"/>
      <c r="AH1388" s="20"/>
      <c r="AI1388" s="20"/>
      <c r="AJ1388" s="20"/>
      <c r="AK1388" s="20"/>
      <c r="AL1388" s="20"/>
      <c r="AM1388" s="20"/>
      <c r="AN1388" s="20"/>
      <c r="AO1388" s="20"/>
      <c r="AP1388" s="20"/>
      <c r="AQ1388" s="20"/>
      <c r="AR1388" s="20"/>
      <c r="AS1388" s="20"/>
    </row>
    <row r="1389">
      <c r="A1389" s="20"/>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c r="AE1389" s="20"/>
      <c r="AF1389" s="20"/>
      <c r="AG1389" s="20"/>
      <c r="AH1389" s="20"/>
      <c r="AI1389" s="20"/>
      <c r="AJ1389" s="20"/>
      <c r="AK1389" s="20"/>
      <c r="AL1389" s="20"/>
      <c r="AM1389" s="20"/>
      <c r="AN1389" s="20"/>
      <c r="AO1389" s="20"/>
      <c r="AP1389" s="20"/>
      <c r="AQ1389" s="20"/>
      <c r="AR1389" s="20"/>
      <c r="AS1389" s="20"/>
    </row>
    <row r="1390">
      <c r="A1390" s="20"/>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c r="AE1390" s="20"/>
      <c r="AF1390" s="20"/>
      <c r="AG1390" s="20"/>
      <c r="AH1390" s="20"/>
      <c r="AI1390" s="20"/>
      <c r="AJ1390" s="20"/>
      <c r="AK1390" s="20"/>
      <c r="AL1390" s="20"/>
      <c r="AM1390" s="20"/>
      <c r="AN1390" s="20"/>
      <c r="AO1390" s="20"/>
      <c r="AP1390" s="20"/>
      <c r="AQ1390" s="20"/>
      <c r="AR1390" s="20"/>
      <c r="AS1390" s="20"/>
    </row>
    <row r="1391">
      <c r="A1391" s="20"/>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c r="AE1391" s="20"/>
      <c r="AF1391" s="20"/>
      <c r="AG1391" s="20"/>
      <c r="AH1391" s="20"/>
      <c r="AI1391" s="20"/>
      <c r="AJ1391" s="20"/>
      <c r="AK1391" s="20"/>
      <c r="AL1391" s="20"/>
      <c r="AM1391" s="20"/>
      <c r="AN1391" s="20"/>
      <c r="AO1391" s="20"/>
      <c r="AP1391" s="20"/>
      <c r="AQ1391" s="20"/>
      <c r="AR1391" s="20"/>
      <c r="AS1391" s="20"/>
    </row>
    <row r="1392">
      <c r="A1392" s="20"/>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c r="AE1392" s="20"/>
      <c r="AF1392" s="20"/>
      <c r="AG1392" s="20"/>
      <c r="AH1392" s="20"/>
      <c r="AI1392" s="20"/>
      <c r="AJ1392" s="20"/>
      <c r="AK1392" s="20"/>
      <c r="AL1392" s="20"/>
      <c r="AM1392" s="20"/>
      <c r="AN1392" s="20"/>
      <c r="AO1392" s="20"/>
      <c r="AP1392" s="20"/>
      <c r="AQ1392" s="20"/>
      <c r="AR1392" s="20"/>
      <c r="AS1392" s="20"/>
    </row>
    <row r="1393">
      <c r="A1393" s="20"/>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c r="AE1393" s="20"/>
      <c r="AF1393" s="20"/>
      <c r="AG1393" s="20"/>
      <c r="AH1393" s="20"/>
      <c r="AI1393" s="20"/>
      <c r="AJ1393" s="20"/>
      <c r="AK1393" s="20"/>
      <c r="AL1393" s="20"/>
      <c r="AM1393" s="20"/>
      <c r="AN1393" s="20"/>
      <c r="AO1393" s="20"/>
      <c r="AP1393" s="20"/>
      <c r="AQ1393" s="20"/>
      <c r="AR1393" s="20"/>
      <c r="AS1393" s="20"/>
    </row>
    <row r="1394">
      <c r="A1394" s="20"/>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c r="AE1394" s="20"/>
      <c r="AF1394" s="20"/>
      <c r="AG1394" s="20"/>
      <c r="AH1394" s="20"/>
      <c r="AI1394" s="20"/>
      <c r="AJ1394" s="20"/>
      <c r="AK1394" s="20"/>
      <c r="AL1394" s="20"/>
      <c r="AM1394" s="20"/>
      <c r="AN1394" s="20"/>
      <c r="AO1394" s="20"/>
      <c r="AP1394" s="20"/>
      <c r="AQ1394" s="20"/>
      <c r="AR1394" s="20"/>
      <c r="AS1394" s="20"/>
    </row>
    <row r="1395">
      <c r="A1395" s="20"/>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c r="AE1395" s="20"/>
      <c r="AF1395" s="20"/>
      <c r="AG1395" s="20"/>
      <c r="AH1395" s="20"/>
      <c r="AI1395" s="20"/>
      <c r="AJ1395" s="20"/>
      <c r="AK1395" s="20"/>
      <c r="AL1395" s="20"/>
      <c r="AM1395" s="20"/>
      <c r="AN1395" s="20"/>
      <c r="AO1395" s="20"/>
      <c r="AP1395" s="20"/>
      <c r="AQ1395" s="20"/>
      <c r="AR1395" s="20"/>
      <c r="AS1395" s="20"/>
    </row>
    <row r="1396">
      <c r="A1396" s="20"/>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c r="AE1396" s="20"/>
      <c r="AF1396" s="20"/>
      <c r="AG1396" s="20"/>
      <c r="AH1396" s="20"/>
      <c r="AI1396" s="20"/>
      <c r="AJ1396" s="20"/>
      <c r="AK1396" s="20"/>
      <c r="AL1396" s="20"/>
      <c r="AM1396" s="20"/>
      <c r="AN1396" s="20"/>
      <c r="AO1396" s="20"/>
      <c r="AP1396" s="20"/>
      <c r="AQ1396" s="20"/>
      <c r="AR1396" s="20"/>
      <c r="AS1396" s="20"/>
    </row>
    <row r="1397">
      <c r="A1397" s="20"/>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c r="AE1397" s="20"/>
      <c r="AF1397" s="20"/>
      <c r="AG1397" s="20"/>
      <c r="AH1397" s="20"/>
      <c r="AI1397" s="20"/>
      <c r="AJ1397" s="20"/>
      <c r="AK1397" s="20"/>
      <c r="AL1397" s="20"/>
      <c r="AM1397" s="20"/>
      <c r="AN1397" s="20"/>
      <c r="AO1397" s="20"/>
      <c r="AP1397" s="20"/>
      <c r="AQ1397" s="20"/>
      <c r="AR1397" s="20"/>
      <c r="AS1397" s="20"/>
    </row>
    <row r="1398">
      <c r="A1398" s="20"/>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c r="AE1398" s="20"/>
      <c r="AF1398" s="20"/>
      <c r="AG1398" s="20"/>
      <c r="AH1398" s="20"/>
      <c r="AI1398" s="20"/>
      <c r="AJ1398" s="20"/>
      <c r="AK1398" s="20"/>
      <c r="AL1398" s="20"/>
      <c r="AM1398" s="20"/>
      <c r="AN1398" s="20"/>
      <c r="AO1398" s="20"/>
      <c r="AP1398" s="20"/>
      <c r="AQ1398" s="20"/>
      <c r="AR1398" s="20"/>
      <c r="AS1398" s="20"/>
    </row>
    <row r="1399">
      <c r="A1399" s="20"/>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c r="AE1399" s="20"/>
      <c r="AF1399" s="20"/>
      <c r="AG1399" s="20"/>
      <c r="AH1399" s="20"/>
      <c r="AI1399" s="20"/>
      <c r="AJ1399" s="20"/>
      <c r="AK1399" s="20"/>
      <c r="AL1399" s="20"/>
      <c r="AM1399" s="20"/>
      <c r="AN1399" s="20"/>
      <c r="AO1399" s="20"/>
      <c r="AP1399" s="20"/>
      <c r="AQ1399" s="20"/>
      <c r="AR1399" s="20"/>
      <c r="AS1399" s="20"/>
    </row>
    <row r="1400">
      <c r="A1400" s="20"/>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c r="AE1400" s="20"/>
      <c r="AF1400" s="20"/>
      <c r="AG1400" s="20"/>
      <c r="AH1400" s="20"/>
      <c r="AI1400" s="20"/>
      <c r="AJ1400" s="20"/>
      <c r="AK1400" s="20"/>
      <c r="AL1400" s="20"/>
      <c r="AM1400" s="20"/>
      <c r="AN1400" s="20"/>
      <c r="AO1400" s="20"/>
      <c r="AP1400" s="20"/>
      <c r="AQ1400" s="20"/>
      <c r="AR1400" s="20"/>
      <c r="AS1400" s="20"/>
    </row>
    <row r="1401">
      <c r="A1401" s="20"/>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c r="AE1401" s="20"/>
      <c r="AF1401" s="20"/>
      <c r="AG1401" s="20"/>
      <c r="AH1401" s="20"/>
      <c r="AI1401" s="20"/>
      <c r="AJ1401" s="20"/>
      <c r="AK1401" s="20"/>
      <c r="AL1401" s="20"/>
      <c r="AM1401" s="20"/>
      <c r="AN1401" s="20"/>
      <c r="AO1401" s="20"/>
      <c r="AP1401" s="20"/>
      <c r="AQ1401" s="20"/>
      <c r="AR1401" s="20"/>
      <c r="AS1401" s="20"/>
    </row>
    <row r="1402">
      <c r="A1402" s="20"/>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c r="AE1402" s="20"/>
      <c r="AF1402" s="20"/>
      <c r="AG1402" s="20"/>
      <c r="AH1402" s="20"/>
      <c r="AI1402" s="20"/>
      <c r="AJ1402" s="20"/>
      <c r="AK1402" s="20"/>
      <c r="AL1402" s="20"/>
      <c r="AM1402" s="20"/>
      <c r="AN1402" s="20"/>
      <c r="AO1402" s="20"/>
      <c r="AP1402" s="20"/>
      <c r="AQ1402" s="20"/>
      <c r="AR1402" s="20"/>
      <c r="AS1402" s="20"/>
    </row>
    <row r="1403">
      <c r="A1403" s="20"/>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c r="AE1403" s="20"/>
      <c r="AF1403" s="20"/>
      <c r="AG1403" s="20"/>
      <c r="AH1403" s="20"/>
      <c r="AI1403" s="20"/>
      <c r="AJ1403" s="20"/>
      <c r="AK1403" s="20"/>
      <c r="AL1403" s="20"/>
      <c r="AM1403" s="20"/>
      <c r="AN1403" s="20"/>
      <c r="AO1403" s="20"/>
      <c r="AP1403" s="20"/>
      <c r="AQ1403" s="20"/>
      <c r="AR1403" s="20"/>
      <c r="AS1403" s="20"/>
    </row>
    <row r="1404">
      <c r="A1404" s="20"/>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c r="AE1404" s="20"/>
      <c r="AF1404" s="20"/>
      <c r="AG1404" s="20"/>
      <c r="AH1404" s="20"/>
      <c r="AI1404" s="20"/>
      <c r="AJ1404" s="20"/>
      <c r="AK1404" s="20"/>
      <c r="AL1404" s="20"/>
      <c r="AM1404" s="20"/>
      <c r="AN1404" s="20"/>
      <c r="AO1404" s="20"/>
      <c r="AP1404" s="20"/>
      <c r="AQ1404" s="20"/>
      <c r="AR1404" s="20"/>
      <c r="AS1404" s="20"/>
    </row>
    <row r="1405">
      <c r="A1405" s="20"/>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c r="AE1405" s="20"/>
      <c r="AF1405" s="20"/>
      <c r="AG1405" s="20"/>
      <c r="AH1405" s="20"/>
      <c r="AI1405" s="20"/>
      <c r="AJ1405" s="20"/>
      <c r="AK1405" s="20"/>
      <c r="AL1405" s="20"/>
      <c r="AM1405" s="20"/>
      <c r="AN1405" s="20"/>
      <c r="AO1405" s="20"/>
      <c r="AP1405" s="20"/>
      <c r="AQ1405" s="20"/>
      <c r="AR1405" s="20"/>
      <c r="AS1405" s="20"/>
    </row>
    <row r="1406">
      <c r="A1406" s="20"/>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c r="AE1406" s="20"/>
      <c r="AF1406" s="20"/>
      <c r="AG1406" s="20"/>
      <c r="AH1406" s="20"/>
      <c r="AI1406" s="20"/>
      <c r="AJ1406" s="20"/>
      <c r="AK1406" s="20"/>
      <c r="AL1406" s="20"/>
      <c r="AM1406" s="20"/>
      <c r="AN1406" s="20"/>
      <c r="AO1406" s="20"/>
      <c r="AP1406" s="20"/>
      <c r="AQ1406" s="20"/>
      <c r="AR1406" s="20"/>
      <c r="AS1406" s="20"/>
    </row>
    <row r="1407">
      <c r="A1407" s="20"/>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c r="AE1407" s="20"/>
      <c r="AF1407" s="20"/>
      <c r="AG1407" s="20"/>
      <c r="AH1407" s="20"/>
      <c r="AI1407" s="20"/>
      <c r="AJ1407" s="20"/>
      <c r="AK1407" s="20"/>
      <c r="AL1407" s="20"/>
      <c r="AM1407" s="20"/>
      <c r="AN1407" s="20"/>
      <c r="AO1407" s="20"/>
      <c r="AP1407" s="20"/>
      <c r="AQ1407" s="20"/>
      <c r="AR1407" s="20"/>
      <c r="AS1407" s="20"/>
    </row>
    <row r="1408">
      <c r="A1408" s="20"/>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c r="AE1408" s="20"/>
      <c r="AF1408" s="20"/>
      <c r="AG1408" s="20"/>
      <c r="AH1408" s="20"/>
      <c r="AI1408" s="20"/>
      <c r="AJ1408" s="20"/>
      <c r="AK1408" s="20"/>
      <c r="AL1408" s="20"/>
      <c r="AM1408" s="20"/>
      <c r="AN1408" s="20"/>
      <c r="AO1408" s="20"/>
      <c r="AP1408" s="20"/>
      <c r="AQ1408" s="20"/>
      <c r="AR1408" s="20"/>
      <c r="AS1408" s="20"/>
    </row>
    <row r="1409">
      <c r="A1409" s="20"/>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c r="AE1409" s="20"/>
      <c r="AF1409" s="20"/>
      <c r="AG1409" s="20"/>
      <c r="AH1409" s="20"/>
      <c r="AI1409" s="20"/>
      <c r="AJ1409" s="20"/>
      <c r="AK1409" s="20"/>
      <c r="AL1409" s="20"/>
      <c r="AM1409" s="20"/>
      <c r="AN1409" s="20"/>
      <c r="AO1409" s="20"/>
      <c r="AP1409" s="20"/>
      <c r="AQ1409" s="20"/>
      <c r="AR1409" s="20"/>
      <c r="AS1409" s="20"/>
    </row>
    <row r="1410">
      <c r="A1410" s="20"/>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c r="AE1410" s="20"/>
      <c r="AF1410" s="20"/>
      <c r="AG1410" s="20"/>
      <c r="AH1410" s="20"/>
      <c r="AI1410" s="20"/>
      <c r="AJ1410" s="20"/>
      <c r="AK1410" s="20"/>
      <c r="AL1410" s="20"/>
      <c r="AM1410" s="20"/>
      <c r="AN1410" s="20"/>
      <c r="AO1410" s="20"/>
      <c r="AP1410" s="20"/>
      <c r="AQ1410" s="20"/>
      <c r="AR1410" s="20"/>
      <c r="AS1410" s="20"/>
    </row>
    <row r="1411">
      <c r="A1411" s="20"/>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c r="AE1411" s="20"/>
      <c r="AF1411" s="20"/>
      <c r="AG1411" s="20"/>
      <c r="AH1411" s="20"/>
      <c r="AI1411" s="20"/>
      <c r="AJ1411" s="20"/>
      <c r="AK1411" s="20"/>
      <c r="AL1411" s="20"/>
      <c r="AM1411" s="20"/>
      <c r="AN1411" s="20"/>
      <c r="AO1411" s="20"/>
      <c r="AP1411" s="20"/>
      <c r="AQ1411" s="20"/>
      <c r="AR1411" s="20"/>
      <c r="AS1411" s="20"/>
    </row>
    <row r="1412">
      <c r="A1412" s="20"/>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c r="AE1412" s="20"/>
      <c r="AF1412" s="20"/>
      <c r="AG1412" s="20"/>
      <c r="AH1412" s="20"/>
      <c r="AI1412" s="20"/>
      <c r="AJ1412" s="20"/>
      <c r="AK1412" s="20"/>
      <c r="AL1412" s="20"/>
      <c r="AM1412" s="20"/>
      <c r="AN1412" s="20"/>
      <c r="AO1412" s="20"/>
      <c r="AP1412" s="20"/>
      <c r="AQ1412" s="20"/>
      <c r="AR1412" s="20"/>
      <c r="AS1412" s="20"/>
    </row>
    <row r="1413">
      <c r="A1413" s="20"/>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c r="AE1413" s="20"/>
      <c r="AF1413" s="20"/>
      <c r="AG1413" s="20"/>
      <c r="AH1413" s="20"/>
      <c r="AI1413" s="20"/>
      <c r="AJ1413" s="20"/>
      <c r="AK1413" s="20"/>
      <c r="AL1413" s="20"/>
      <c r="AM1413" s="20"/>
      <c r="AN1413" s="20"/>
      <c r="AO1413" s="20"/>
      <c r="AP1413" s="20"/>
      <c r="AQ1413" s="20"/>
      <c r="AR1413" s="20"/>
      <c r="AS1413" s="20"/>
    </row>
    <row r="1414">
      <c r="A1414" s="20"/>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c r="AE1414" s="20"/>
      <c r="AF1414" s="20"/>
      <c r="AG1414" s="20"/>
      <c r="AH1414" s="20"/>
      <c r="AI1414" s="20"/>
      <c r="AJ1414" s="20"/>
      <c r="AK1414" s="20"/>
      <c r="AL1414" s="20"/>
      <c r="AM1414" s="20"/>
      <c r="AN1414" s="20"/>
      <c r="AO1414" s="20"/>
      <c r="AP1414" s="20"/>
      <c r="AQ1414" s="20"/>
      <c r="AR1414" s="20"/>
      <c r="AS1414" s="20"/>
    </row>
    <row r="1415">
      <c r="A1415" s="20"/>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c r="AE1415" s="20"/>
      <c r="AF1415" s="20"/>
      <c r="AG1415" s="20"/>
      <c r="AH1415" s="20"/>
      <c r="AI1415" s="20"/>
      <c r="AJ1415" s="20"/>
      <c r="AK1415" s="20"/>
      <c r="AL1415" s="20"/>
      <c r="AM1415" s="20"/>
      <c r="AN1415" s="20"/>
      <c r="AO1415" s="20"/>
      <c r="AP1415" s="20"/>
      <c r="AQ1415" s="20"/>
      <c r="AR1415" s="20"/>
      <c r="AS1415" s="20"/>
    </row>
    <row r="1416">
      <c r="A1416" s="20"/>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c r="AE1416" s="20"/>
      <c r="AF1416" s="20"/>
      <c r="AG1416" s="20"/>
      <c r="AH1416" s="20"/>
      <c r="AI1416" s="20"/>
      <c r="AJ1416" s="20"/>
      <c r="AK1416" s="20"/>
      <c r="AL1416" s="20"/>
      <c r="AM1416" s="20"/>
      <c r="AN1416" s="20"/>
      <c r="AO1416" s="20"/>
      <c r="AP1416" s="20"/>
      <c r="AQ1416" s="20"/>
      <c r="AR1416" s="20"/>
      <c r="AS1416" s="20"/>
    </row>
    <row r="1417">
      <c r="A1417" s="20"/>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c r="AE1417" s="20"/>
      <c r="AF1417" s="20"/>
      <c r="AG1417" s="20"/>
      <c r="AH1417" s="20"/>
      <c r="AI1417" s="20"/>
      <c r="AJ1417" s="20"/>
      <c r="AK1417" s="20"/>
      <c r="AL1417" s="20"/>
      <c r="AM1417" s="20"/>
      <c r="AN1417" s="20"/>
      <c r="AO1417" s="20"/>
      <c r="AP1417" s="20"/>
      <c r="AQ1417" s="20"/>
      <c r="AR1417" s="20"/>
      <c r="AS1417" s="20"/>
    </row>
    <row r="1418">
      <c r="A1418" s="20"/>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c r="AE1418" s="20"/>
      <c r="AF1418" s="20"/>
      <c r="AG1418" s="20"/>
      <c r="AH1418" s="20"/>
      <c r="AI1418" s="20"/>
      <c r="AJ1418" s="20"/>
      <c r="AK1418" s="20"/>
      <c r="AL1418" s="20"/>
      <c r="AM1418" s="20"/>
      <c r="AN1418" s="20"/>
      <c r="AO1418" s="20"/>
      <c r="AP1418" s="20"/>
      <c r="AQ1418" s="20"/>
      <c r="AR1418" s="20"/>
      <c r="AS1418" s="20"/>
    </row>
    <row r="1419">
      <c r="A1419" s="20"/>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c r="AE1419" s="20"/>
      <c r="AF1419" s="20"/>
      <c r="AG1419" s="20"/>
      <c r="AH1419" s="20"/>
      <c r="AI1419" s="20"/>
      <c r="AJ1419" s="20"/>
      <c r="AK1419" s="20"/>
      <c r="AL1419" s="20"/>
      <c r="AM1419" s="20"/>
      <c r="AN1419" s="20"/>
      <c r="AO1419" s="20"/>
      <c r="AP1419" s="20"/>
      <c r="AQ1419" s="20"/>
      <c r="AR1419" s="20"/>
      <c r="AS1419" s="20"/>
    </row>
    <row r="1420">
      <c r="A1420" s="20"/>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c r="AE1420" s="20"/>
      <c r="AF1420" s="20"/>
      <c r="AG1420" s="20"/>
      <c r="AH1420" s="20"/>
      <c r="AI1420" s="20"/>
      <c r="AJ1420" s="20"/>
      <c r="AK1420" s="20"/>
      <c r="AL1420" s="20"/>
      <c r="AM1420" s="20"/>
      <c r="AN1420" s="20"/>
      <c r="AO1420" s="20"/>
      <c r="AP1420" s="20"/>
      <c r="AQ1420" s="20"/>
      <c r="AR1420" s="20"/>
      <c r="AS1420" s="20"/>
    </row>
    <row r="1421">
      <c r="A1421" s="20"/>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c r="AE1421" s="20"/>
      <c r="AF1421" s="20"/>
      <c r="AG1421" s="20"/>
      <c r="AH1421" s="20"/>
      <c r="AI1421" s="20"/>
      <c r="AJ1421" s="20"/>
      <c r="AK1421" s="20"/>
      <c r="AL1421" s="20"/>
      <c r="AM1421" s="20"/>
      <c r="AN1421" s="20"/>
      <c r="AO1421" s="20"/>
      <c r="AP1421" s="20"/>
      <c r="AQ1421" s="20"/>
      <c r="AR1421" s="20"/>
      <c r="AS1421" s="20"/>
    </row>
  </sheetData>
  <autoFilter ref="$F$1:$F$1421"/>
  <hyperlinks>
    <hyperlink r:id="rId1" ref="F6"/>
    <hyperlink r:id="rId2" ref="F8"/>
    <hyperlink r:id="rId3" ref="F10"/>
    <hyperlink r:id="rId4" ref="F13"/>
    <hyperlink r:id="rId5" ref="F16"/>
    <hyperlink r:id="rId6" ref="F17"/>
    <hyperlink r:id="rId7" ref="F20"/>
    <hyperlink r:id="rId8" ref="F21"/>
    <hyperlink r:id="rId9" ref="F22"/>
    <hyperlink r:id="rId10" ref="F23"/>
    <hyperlink r:id="rId11" ref="F25"/>
    <hyperlink r:id="rId12" ref="F29"/>
    <hyperlink r:id="rId13" ref="F31"/>
    <hyperlink r:id="rId14" ref="F33"/>
    <hyperlink r:id="rId15" ref="F35"/>
    <hyperlink r:id="rId16" ref="F37"/>
    <hyperlink r:id="rId17" ref="F38"/>
    <hyperlink r:id="rId18" ref="F40"/>
    <hyperlink r:id="rId19" ref="F42"/>
    <hyperlink r:id="rId20" ref="F45"/>
    <hyperlink r:id="rId21" ref="F46"/>
    <hyperlink r:id="rId22" ref="F47"/>
    <hyperlink r:id="rId23" ref="F48"/>
    <hyperlink r:id="rId24" ref="F49"/>
    <hyperlink r:id="rId25" ref="F51"/>
    <hyperlink r:id="rId26" ref="F54"/>
    <hyperlink r:id="rId27" ref="G54"/>
    <hyperlink r:id="rId28" ref="F55"/>
    <hyperlink r:id="rId29" ref="F59"/>
    <hyperlink r:id="rId30" ref="F60"/>
    <hyperlink r:id="rId31" ref="F65"/>
    <hyperlink r:id="rId32" ref="F66"/>
    <hyperlink r:id="rId33" ref="F67"/>
    <hyperlink r:id="rId34" ref="F68"/>
    <hyperlink r:id="rId35" ref="F69"/>
    <hyperlink r:id="rId36" ref="F70"/>
    <hyperlink r:id="rId37" ref="F72"/>
    <hyperlink r:id="rId38" ref="F73"/>
    <hyperlink r:id="rId39" ref="F77"/>
    <hyperlink r:id="rId40" ref="F78"/>
    <hyperlink r:id="rId41" ref="F81"/>
    <hyperlink r:id="rId42" ref="F82"/>
    <hyperlink r:id="rId43" ref="F86"/>
    <hyperlink r:id="rId44" ref="F89"/>
    <hyperlink r:id="rId45" ref="F90"/>
    <hyperlink r:id="rId46" ref="F92"/>
    <hyperlink r:id="rId47" ref="F93"/>
    <hyperlink r:id="rId48" ref="F98"/>
    <hyperlink r:id="rId49" ref="F102"/>
    <hyperlink r:id="rId50" ref="F103"/>
    <hyperlink r:id="rId51" ref="F106"/>
    <hyperlink r:id="rId52" ref="F108"/>
    <hyperlink r:id="rId53" ref="F109"/>
    <hyperlink r:id="rId54" ref="F115"/>
    <hyperlink r:id="rId55" ref="F116"/>
    <hyperlink r:id="rId56" ref="F117"/>
    <hyperlink r:id="rId57" ref="F119"/>
    <hyperlink r:id="rId58" ref="F122"/>
    <hyperlink r:id="rId59" ref="G122"/>
    <hyperlink r:id="rId60" ref="F125"/>
    <hyperlink r:id="rId61" ref="F126"/>
    <hyperlink r:id="rId62" ref="F127"/>
    <hyperlink r:id="rId63" ref="F130"/>
    <hyperlink r:id="rId64" ref="F131"/>
    <hyperlink r:id="rId65" ref="F137"/>
    <hyperlink r:id="rId66" ref="F138"/>
    <hyperlink r:id="rId67" ref="F140"/>
    <hyperlink r:id="rId68" ref="F142"/>
    <hyperlink r:id="rId69" ref="F145"/>
    <hyperlink r:id="rId70" ref="F146"/>
    <hyperlink r:id="rId71" ref="F147"/>
    <hyperlink r:id="rId72" ref="F148"/>
    <hyperlink r:id="rId73" ref="F150"/>
    <hyperlink r:id="rId74" ref="F151"/>
    <hyperlink r:id="rId75" ref="F152"/>
    <hyperlink r:id="rId76" ref="F153"/>
    <hyperlink r:id="rId77" ref="F154"/>
    <hyperlink r:id="rId78" ref="F155"/>
    <hyperlink r:id="rId79" ref="F157"/>
    <hyperlink r:id="rId80" ref="F159"/>
    <hyperlink r:id="rId81" ref="F160"/>
    <hyperlink r:id="rId82" ref="F161"/>
    <hyperlink r:id="rId83" ref="F162"/>
    <hyperlink r:id="rId84" ref="F164"/>
    <hyperlink r:id="rId85" ref="F165"/>
    <hyperlink r:id="rId86" ref="F166"/>
    <hyperlink r:id="rId87" ref="F169"/>
    <hyperlink r:id="rId88" ref="F171"/>
    <hyperlink r:id="rId89" ref="F172"/>
    <hyperlink r:id="rId90" ref="F174"/>
    <hyperlink r:id="rId91" ref="F177"/>
    <hyperlink r:id="rId92" ref="F178"/>
    <hyperlink r:id="rId93" ref="F181"/>
    <hyperlink r:id="rId94" ref="F182"/>
    <hyperlink r:id="rId95" ref="F183"/>
    <hyperlink r:id="rId96" ref="G183"/>
    <hyperlink r:id="rId97" ref="F185"/>
    <hyperlink r:id="rId98" ref="F186"/>
    <hyperlink r:id="rId99" ref="G186"/>
    <hyperlink r:id="rId100" ref="F188"/>
    <hyperlink r:id="rId101" ref="F189"/>
    <hyperlink r:id="rId102" ref="F190"/>
    <hyperlink r:id="rId103" ref="F191"/>
    <hyperlink r:id="rId104" ref="G191"/>
    <hyperlink r:id="rId105" ref="F192"/>
    <hyperlink r:id="rId106" ref="F193"/>
    <hyperlink r:id="rId107" ref="F195"/>
    <hyperlink r:id="rId108" ref="F196"/>
    <hyperlink r:id="rId109" ref="F198"/>
    <hyperlink r:id="rId110" ref="F199"/>
    <hyperlink r:id="rId111" ref="G199"/>
    <hyperlink r:id="rId112" ref="F201"/>
    <hyperlink r:id="rId113" ref="F203"/>
    <hyperlink r:id="rId114" ref="F204"/>
    <hyperlink r:id="rId115" ref="F206"/>
    <hyperlink r:id="rId116" ref="G206"/>
    <hyperlink r:id="rId117" ref="F208"/>
    <hyperlink r:id="rId118" ref="F209"/>
    <hyperlink r:id="rId119" ref="F210"/>
    <hyperlink r:id="rId120" ref="F211"/>
    <hyperlink r:id="rId121" ref="F212"/>
    <hyperlink r:id="rId122" ref="F213"/>
    <hyperlink r:id="rId123" ref="F215"/>
    <hyperlink r:id="rId124" ref="F216"/>
    <hyperlink r:id="rId125" ref="F218"/>
    <hyperlink r:id="rId126" ref="F220"/>
    <hyperlink r:id="rId127" ref="F222"/>
    <hyperlink r:id="rId128" ref="F224"/>
    <hyperlink r:id="rId129" ref="F225"/>
    <hyperlink r:id="rId130" ref="F226"/>
    <hyperlink r:id="rId131" ref="F227"/>
    <hyperlink r:id="rId132" ref="F229"/>
    <hyperlink r:id="rId133" ref="F230"/>
    <hyperlink r:id="rId134" ref="F233"/>
    <hyperlink r:id="rId135" ref="G233"/>
    <hyperlink r:id="rId136" ref="F234"/>
    <hyperlink r:id="rId137" ref="F235"/>
    <hyperlink r:id="rId138" ref="F236"/>
    <hyperlink r:id="rId139" ref="F238"/>
    <hyperlink r:id="rId140" ref="F239"/>
    <hyperlink r:id="rId141" ref="F240"/>
    <hyperlink r:id="rId142" ref="F241"/>
    <hyperlink r:id="rId143" ref="F243"/>
    <hyperlink r:id="rId144" ref="F246"/>
    <hyperlink r:id="rId145" ref="F248"/>
    <hyperlink r:id="rId146" ref="F250"/>
    <hyperlink r:id="rId147" ref="F251"/>
    <hyperlink r:id="rId148" ref="F252"/>
    <hyperlink r:id="rId149" ref="G252"/>
    <hyperlink r:id="rId150" ref="F253"/>
    <hyperlink r:id="rId151" ref="F255"/>
    <hyperlink r:id="rId152" ref="F256"/>
    <hyperlink r:id="rId153" ref="F257"/>
    <hyperlink r:id="rId154" ref="F258"/>
    <hyperlink r:id="rId155" ref="F260"/>
    <hyperlink r:id="rId156" ref="G261"/>
    <hyperlink r:id="rId157" ref="F262"/>
    <hyperlink r:id="rId158" ref="F263"/>
    <hyperlink r:id="rId159" ref="F264"/>
    <hyperlink r:id="rId160" ref="F265"/>
    <hyperlink r:id="rId161" ref="F266"/>
    <hyperlink r:id="rId162" ref="F270"/>
    <hyperlink r:id="rId163" ref="F271"/>
    <hyperlink r:id="rId164" ref="F272"/>
    <hyperlink r:id="rId165" ref="F273"/>
    <hyperlink r:id="rId166" ref="F274"/>
    <hyperlink r:id="rId167" ref="F275"/>
    <hyperlink r:id="rId168" ref="F276"/>
    <hyperlink r:id="rId169" ref="F277"/>
    <hyperlink r:id="rId170" ref="F278"/>
    <hyperlink r:id="rId171" ref="F279"/>
    <hyperlink r:id="rId172" ref="F282"/>
    <hyperlink r:id="rId173" ref="F284"/>
    <hyperlink r:id="rId174" ref="F285"/>
    <hyperlink r:id="rId175" ref="F286"/>
    <hyperlink r:id="rId176" ref="F287"/>
    <hyperlink r:id="rId177" ref="F291"/>
    <hyperlink r:id="rId178" ref="F293"/>
    <hyperlink r:id="rId179" ref="F299"/>
    <hyperlink r:id="rId180" ref="F300"/>
    <hyperlink r:id="rId181" ref="F301"/>
    <hyperlink r:id="rId182" ref="F303"/>
    <hyperlink r:id="rId183" ref="F305"/>
    <hyperlink r:id="rId184" ref="F307"/>
    <hyperlink r:id="rId185" ref="F309"/>
    <hyperlink r:id="rId186" ref="F310"/>
    <hyperlink r:id="rId187" ref="F311"/>
    <hyperlink r:id="rId188" ref="F312"/>
    <hyperlink r:id="rId189" ref="F313"/>
    <hyperlink r:id="rId190" ref="F314"/>
    <hyperlink r:id="rId191" ref="F316"/>
    <hyperlink r:id="rId192" ref="F317"/>
    <hyperlink r:id="rId193" ref="F318"/>
    <hyperlink r:id="rId194" ref="F319"/>
    <hyperlink r:id="rId195" ref="F321"/>
    <hyperlink r:id="rId196" ref="F322"/>
    <hyperlink r:id="rId197" ref="F323"/>
    <hyperlink r:id="rId198" ref="F325"/>
    <hyperlink r:id="rId199" ref="F327"/>
    <hyperlink r:id="rId200" ref="G327"/>
    <hyperlink r:id="rId201" ref="F328"/>
    <hyperlink r:id="rId202" ref="F330"/>
    <hyperlink r:id="rId203" ref="G330"/>
    <hyperlink r:id="rId204" ref="F331"/>
    <hyperlink r:id="rId205" ref="G331"/>
    <hyperlink r:id="rId206" ref="F332"/>
    <hyperlink r:id="rId207" ref="F333"/>
    <hyperlink r:id="rId208" ref="F334"/>
    <hyperlink r:id="rId209" ref="F335"/>
    <hyperlink r:id="rId210" ref="F336"/>
    <hyperlink r:id="rId211" ref="F337"/>
    <hyperlink r:id="rId212" ref="F339"/>
    <hyperlink r:id="rId213" ref="F340"/>
    <hyperlink r:id="rId214" ref="G340"/>
    <hyperlink r:id="rId215" ref="F341"/>
    <hyperlink r:id="rId216" ref="F342"/>
    <hyperlink r:id="rId217" ref="F344"/>
    <hyperlink r:id="rId218" ref="F345"/>
    <hyperlink r:id="rId219" ref="F346"/>
    <hyperlink r:id="rId220" ref="F347"/>
    <hyperlink r:id="rId221" ref="F348"/>
    <hyperlink r:id="rId222" ref="F349"/>
    <hyperlink r:id="rId223" ref="F350"/>
    <hyperlink r:id="rId224" ref="F351"/>
    <hyperlink r:id="rId225" ref="G351"/>
    <hyperlink r:id="rId226" ref="F356"/>
    <hyperlink r:id="rId227" ref="F358"/>
    <hyperlink r:id="rId228" ref="F359"/>
    <hyperlink r:id="rId229" ref="F361"/>
    <hyperlink r:id="rId230" ref="F362"/>
    <hyperlink r:id="rId231" ref="F364"/>
    <hyperlink r:id="rId232" ref="F367"/>
    <hyperlink r:id="rId233" ref="F370"/>
    <hyperlink r:id="rId234" ref="F372"/>
    <hyperlink r:id="rId235" ref="F601"/>
  </hyperlinks>
  <drawing r:id="rId23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2026-03-12T08:17:38Z</dcterms:created>
</cp:coreProperties>
</file>